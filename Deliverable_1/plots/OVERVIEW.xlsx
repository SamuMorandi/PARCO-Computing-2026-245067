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all" sheetId="1" state="visible" r:id="rId3"/>
    <sheet name="speedup_tabl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<sst xmlns="http://schemas.openxmlformats.org/spreadsheetml/2006/main" count="858" uniqueCount="70">
  <si>
    <t xml:space="preserve">SEQUENTIAL</t>
  </si>
  <si>
    <t xml:space="preserve">matrice</t>
  </si>
  <si>
    <t xml:space="preserve">metrica</t>
  </si>
  <si>
    <t xml:space="preserve">Test 1</t>
  </si>
  <si>
    <t xml:space="preserve">Test 2</t>
  </si>
  <si>
    <t xml:space="preserve">Test 3</t>
  </si>
  <si>
    <t xml:space="preserve">Test 4</t>
  </si>
  <si>
    <t xml:space="preserve">Test 5</t>
  </si>
  <si>
    <t xml:space="preserve">Test 6</t>
  </si>
  <si>
    <t xml:space="preserve">Test 7</t>
  </si>
  <si>
    <t xml:space="preserve">Test 8</t>
  </si>
  <si>
    <t xml:space="preserve">Test 9</t>
  </si>
  <si>
    <t xml:space="preserve">Test 10</t>
  </si>
  <si>
    <t xml:space="preserve">90 percentile</t>
  </si>
  <si>
    <t xml:space="preserve">ML_Geer.mtx</t>
  </si>
  <si>
    <t xml:space="preserve">CPU</t>
  </si>
  <si>
    <t xml:space="preserve">REAL</t>
  </si>
  <si>
    <t xml:space="preserve">PFlow_742.mtx</t>
  </si>
  <si>
    <t xml:space="preserve">bmwcra_1.mtx</t>
  </si>
  <si>
    <t xml:space="preserve">msdoor.mtx</t>
  </si>
  <si>
    <t xml:space="preserve">nlpkkt240.mtx</t>
  </si>
  <si>
    <t xml:space="preserve">CHUNK_SIZE = AUTO (1)</t>
  </si>
  <si>
    <t xml:space="preserve">CHUNK_SIZE = AUTO (iterazioni rimaste/#theads)</t>
  </si>
  <si>
    <t xml:space="preserve">STATIC – 4</t>
  </si>
  <si>
    <t xml:space="preserve">DYNAMIC – 4</t>
  </si>
  <si>
    <t xml:space="preserve">GUIDED – 4</t>
  </si>
  <si>
    <t xml:space="preserve">Speedup</t>
  </si>
  <si>
    <t xml:space="preserve">Efficiency</t>
  </si>
  <si>
    <t xml:space="preserve">STATIC – 8</t>
  </si>
  <si>
    <t xml:space="preserve">DYNAMIC – 8</t>
  </si>
  <si>
    <t xml:space="preserve">GUIDED – 8</t>
  </si>
  <si>
    <t xml:space="preserve">STATIC – 16</t>
  </si>
  <si>
    <t xml:space="preserve">DYNAMIC – 16</t>
  </si>
  <si>
    <t xml:space="preserve">GUIDED – 16</t>
  </si>
  <si>
    <t xml:space="preserve">STATIC – 32</t>
  </si>
  <si>
    <t xml:space="preserve">DYNAMIC – 32 </t>
  </si>
  <si>
    <t xml:space="preserve">GUIDED – 32</t>
  </si>
  <si>
    <t xml:space="preserve">STATIC – 64</t>
  </si>
  <si>
    <t xml:space="preserve">DYNAMIC – 64</t>
  </si>
  <si>
    <t xml:space="preserve">GUIDED – 64</t>
  </si>
  <si>
    <t xml:space="preserve">CHUNK_SIZE = 100</t>
  </si>
  <si>
    <t xml:space="preserve">BEST TIME PER MATRIX</t>
  </si>
  <si>
    <t xml:space="preserve">matrix</t>
  </si>
  <si>
    <t xml:space="preserve">best time</t>
  </si>
  <si>
    <t xml:space="preserve">speedup</t>
  </si>
  <si>
    <t xml:space="preserve">config</t>
  </si>
  <si>
    <t xml:space="preserve">DYNAMIC – 4 – 100</t>
  </si>
  <si>
    <t xml:space="preserve">GUIDED – 4 – 100</t>
  </si>
  <si>
    <t xml:space="preserve">D-32-100</t>
  </si>
  <si>
    <t xml:space="preserve">D-16-100</t>
  </si>
  <si>
    <t xml:space="preserve">G-8-100</t>
  </si>
  <si>
    <t xml:space="preserve">DYNAMIC – 8 – 100</t>
  </si>
  <si>
    <t xml:space="preserve">GUIDED – 8 – 100</t>
  </si>
  <si>
    <t xml:space="preserve">DYNAMIC – 16 -100</t>
  </si>
  <si>
    <t xml:space="preserve">GUIDED – 16 – 100</t>
  </si>
  <si>
    <t xml:space="preserve">DYNAMIC – 32 -100</t>
  </si>
  <si>
    <t xml:space="preserve">GUIDED – 32 – 100</t>
  </si>
  <si>
    <t xml:space="preserve">DYNAMIC – 64 -100</t>
  </si>
  <si>
    <t xml:space="preserve">GUIDED – 64 – 100</t>
  </si>
  <si>
    <t xml:space="preserve">ML_Geer</t>
  </si>
  <si>
    <t xml:space="preserve">Number of threads</t>
  </si>
  <si>
    <t xml:space="preserve">Static</t>
  </si>
  <si>
    <t xml:space="preserve">Dynamic (default)</t>
  </si>
  <si>
    <t xml:space="preserve">Guided (default)</t>
  </si>
  <si>
    <t xml:space="preserve">Dynamic (100)</t>
  </si>
  <si>
    <t xml:space="preserve">Guided (100)</t>
  </si>
  <si>
    <t xml:space="preserve">Pflow_742</t>
  </si>
  <si>
    <t xml:space="preserve">bmwcra_1</t>
  </si>
  <si>
    <t xml:space="preserve">msdoor</t>
  </si>
  <si>
    <t xml:space="preserve">nlpkkt240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</si>
</sst>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</font>
    <font>
      <b val="true"/>
      <sz val="11"/>
      <name val="Cambria"/>
      <family val="0"/>
    </font>
    <font>
      <b val="true"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B2B2B2"/>
        <bgColor rgb="FF969696"/>
      </patternFill>
    </fill>
    <fill>
      <patternFill patternType="solid">
        <fgColor rgb="FF861141"/>
        <bgColor rgb="FF800080"/>
      </patternFill>
    </fill>
    <fill>
      <patternFill patternType="solid">
        <fgColor rgb="FFFF6D6D"/>
        <bgColor rgb="FFFF6600"/>
      </patternFill>
    </fill>
    <fill>
      <patternFill patternType="solid">
        <fgColor rgb="FFEC9BA4"/>
        <bgColor rgb="FFFFA6A6"/>
      </patternFill>
    </fill>
    <fill>
      <patternFill patternType="solid">
        <fgColor rgb="FFFFB66C"/>
        <bgColor rgb="FFFFA6A6"/>
      </patternFill>
    </fill>
    <fill>
      <patternFill patternType="solid">
        <fgColor rgb="FFFFA6A6"/>
        <bgColor rgb="FFEC9BA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61141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A6A6"/>
      <rgbColor rgb="FFEC9BA4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66"/>
  <sheetViews>
    <sheetView showFormulas="false" showGridLines="true" showRowColHeaders="true" showZeros="true" rightToLeft="false" tabSelected="true" showOutlineSymbols="true" defaultGridColor="true" view="normal" topLeftCell="AP57" colorId="64" zoomScale="104" zoomScaleNormal="104" zoomScalePageLayoutView="100" workbookViewId="0">
      <selection pane="topLeft" activeCell="BE89" activeCellId="0" sqref="BE8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32"/>
    <col collapsed="false" customWidth="true" hidden="false" outlineLevel="0" max="20" min="20" style="1" width="15.32"/>
    <col collapsed="false" customWidth="true" hidden="false" outlineLevel="0" max="39" min="39" style="1" width="15.32"/>
  </cols>
  <sheetData>
    <row r="1" customFormat="false" ht="13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customFormat="false" ht="13.8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5"/>
      <c r="N2" s="6" t="s">
        <v>13</v>
      </c>
      <c r="O2" s="7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customFormat="false" ht="13.8" hidden="false" customHeight="false" outlineLevel="0" collapsed="false">
      <c r="A3" s="4" t="s">
        <v>14</v>
      </c>
      <c r="B3" s="4" t="s">
        <v>15</v>
      </c>
      <c r="C3" s="1" t="n">
        <v>330</v>
      </c>
      <c r="D3" s="1" t="n">
        <v>330</v>
      </c>
      <c r="E3" s="1" t="n">
        <v>310</v>
      </c>
      <c r="F3" s="1" t="n">
        <v>280</v>
      </c>
      <c r="G3" s="1" t="n">
        <v>280</v>
      </c>
      <c r="H3" s="1" t="n">
        <v>290</v>
      </c>
      <c r="I3" s="1" t="n">
        <v>290</v>
      </c>
      <c r="J3" s="1" t="n">
        <v>280</v>
      </c>
      <c r="K3" s="1" t="n">
        <v>290</v>
      </c>
      <c r="L3" s="1" t="n">
        <v>290</v>
      </c>
      <c r="M3" s="8"/>
      <c r="N3" s="9" t="n">
        <f aca="false">PERCENTILE(C3:L3,0.9)</f>
        <v>330</v>
      </c>
      <c r="O3" s="10"/>
      <c r="P3" s="10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customFormat="false" ht="13.8" hidden="false" customHeight="false" outlineLevel="0" collapsed="false">
      <c r="A4" s="4"/>
      <c r="B4" s="4" t="s">
        <v>16</v>
      </c>
      <c r="C4" s="1" t="n">
        <v>337.897</v>
      </c>
      <c r="D4" s="1" t="n">
        <v>334.885</v>
      </c>
      <c r="E4" s="1" t="n">
        <v>315.053</v>
      </c>
      <c r="F4" s="1" t="n">
        <v>281.009</v>
      </c>
      <c r="G4" s="1" t="n">
        <v>285.559</v>
      </c>
      <c r="H4" s="1" t="n">
        <v>293.576</v>
      </c>
      <c r="I4" s="1" t="n">
        <v>296.252</v>
      </c>
      <c r="J4" s="1" t="n">
        <v>287.828</v>
      </c>
      <c r="K4" s="1" t="n">
        <v>289.84</v>
      </c>
      <c r="L4" s="1" t="n">
        <v>287.972</v>
      </c>
      <c r="M4" s="8"/>
      <c r="N4" s="9" t="n">
        <f aca="false">PERCENTILE(C4:L4,0.9)</f>
        <v>335.1862</v>
      </c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customFormat="false" ht="13.8" hidden="false" customHeight="false" outlineLevel="0" collapsed="false">
      <c r="A5" s="4" t="s">
        <v>17</v>
      </c>
      <c r="B5" s="4" t="s">
        <v>15</v>
      </c>
      <c r="C5" s="1" t="n">
        <v>110</v>
      </c>
      <c r="D5" s="1" t="n">
        <v>110</v>
      </c>
      <c r="E5" s="1" t="n">
        <v>100</v>
      </c>
      <c r="F5" s="1" t="n">
        <v>100</v>
      </c>
      <c r="G5" s="1" t="n">
        <v>100</v>
      </c>
      <c r="H5" s="1" t="n">
        <v>100</v>
      </c>
      <c r="I5" s="1" t="n">
        <v>90</v>
      </c>
      <c r="J5" s="1" t="n">
        <v>90</v>
      </c>
      <c r="K5" s="1" t="n">
        <v>90</v>
      </c>
      <c r="L5" s="1" t="n">
        <v>90</v>
      </c>
      <c r="M5" s="8"/>
      <c r="N5" s="9" t="n">
        <f aca="false">PERCENTILE(C5:L5,0.9)</f>
        <v>110</v>
      </c>
      <c r="O5" s="10"/>
      <c r="P5" s="10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customFormat="false" ht="13.8" hidden="false" customHeight="false" outlineLevel="0" collapsed="false">
      <c r="A6" s="4"/>
      <c r="B6" s="4" t="s">
        <v>16</v>
      </c>
      <c r="C6" s="1" t="n">
        <v>103.778</v>
      </c>
      <c r="D6" s="1" t="n">
        <v>107.721</v>
      </c>
      <c r="E6" s="1" t="n">
        <v>91.308</v>
      </c>
      <c r="F6" s="1" t="n">
        <v>93.819</v>
      </c>
      <c r="G6" s="1" t="n">
        <v>91.619</v>
      </c>
      <c r="H6" s="1" t="n">
        <v>94.419</v>
      </c>
      <c r="I6" s="1" t="n">
        <v>90.331</v>
      </c>
      <c r="J6" s="1" t="n">
        <v>92.612</v>
      </c>
      <c r="K6" s="1" t="n">
        <v>91.259</v>
      </c>
      <c r="L6" s="1" t="n">
        <v>93.925</v>
      </c>
      <c r="M6" s="8"/>
      <c r="N6" s="9" t="n">
        <f aca="false">PERCENTILE(C6:L6,0.9)</f>
        <v>104.1723</v>
      </c>
      <c r="O6" s="10"/>
      <c r="P6" s="10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</row>
    <row r="7" customFormat="false" ht="13.8" hidden="false" customHeight="false" outlineLevel="0" collapsed="false">
      <c r="A7" s="4" t="s">
        <v>18</v>
      </c>
      <c r="B7" s="4" t="s">
        <v>15</v>
      </c>
      <c r="C7" s="1" t="n">
        <v>30</v>
      </c>
      <c r="D7" s="1" t="n">
        <v>30</v>
      </c>
      <c r="E7" s="1" t="n">
        <v>30</v>
      </c>
      <c r="F7" s="1" t="n">
        <v>30</v>
      </c>
      <c r="G7" s="1" t="n">
        <v>30</v>
      </c>
      <c r="H7" s="1" t="n">
        <v>30</v>
      </c>
      <c r="I7" s="1" t="n">
        <v>30</v>
      </c>
      <c r="J7" s="1" t="n">
        <v>30</v>
      </c>
      <c r="K7" s="1" t="n">
        <v>30</v>
      </c>
      <c r="L7" s="1" t="n">
        <v>20</v>
      </c>
      <c r="M7" s="8"/>
      <c r="N7" s="9" t="n">
        <f aca="false">PERCENTILE(C7:L7,0.9)</f>
        <v>30</v>
      </c>
      <c r="O7" s="10"/>
      <c r="P7" s="10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customFormat="false" ht="13.8" hidden="false" customHeight="false" outlineLevel="0" collapsed="false">
      <c r="A8" s="4"/>
      <c r="B8" s="4" t="s">
        <v>16</v>
      </c>
      <c r="C8" s="1" t="n">
        <v>32.572</v>
      </c>
      <c r="D8" s="1" t="n">
        <v>31.383</v>
      </c>
      <c r="E8" s="1" t="n">
        <v>31.859</v>
      </c>
      <c r="F8" s="1" t="n">
        <v>29.893</v>
      </c>
      <c r="G8" s="1" t="n">
        <v>28.124</v>
      </c>
      <c r="H8" s="1" t="n">
        <v>28.328</v>
      </c>
      <c r="I8" s="1" t="n">
        <v>28.366</v>
      </c>
      <c r="J8" s="1" t="n">
        <v>28.933</v>
      </c>
      <c r="K8" s="1" t="n">
        <v>28.085</v>
      </c>
      <c r="L8" s="1" t="n">
        <v>27.885</v>
      </c>
      <c r="M8" s="8"/>
      <c r="N8" s="9" t="n">
        <f aca="false">PERCENTILE(C8:L8,0.9)</f>
        <v>31.9303</v>
      </c>
      <c r="O8" s="10"/>
      <c r="P8" s="10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 customFormat="false" ht="13.8" hidden="false" customHeight="false" outlineLevel="0" collapsed="false">
      <c r="A9" s="4" t="s">
        <v>19</v>
      </c>
      <c r="B9" s="4" t="s">
        <v>15</v>
      </c>
      <c r="C9" s="1" t="n">
        <v>60</v>
      </c>
      <c r="D9" s="1" t="n">
        <v>60</v>
      </c>
      <c r="E9" s="1" t="n">
        <v>60</v>
      </c>
      <c r="F9" s="1" t="n">
        <v>50</v>
      </c>
      <c r="G9" s="1" t="n">
        <v>40</v>
      </c>
      <c r="H9" s="1" t="n">
        <v>60</v>
      </c>
      <c r="I9" s="1" t="n">
        <v>50</v>
      </c>
      <c r="J9" s="1" t="n">
        <v>50</v>
      </c>
      <c r="K9" s="1" t="n">
        <v>50</v>
      </c>
      <c r="L9" s="1" t="n">
        <v>50</v>
      </c>
      <c r="M9" s="8"/>
      <c r="N9" s="9" t="n">
        <f aca="false">PERCENTILE(C9:L9,0.9)</f>
        <v>60</v>
      </c>
      <c r="O9" s="10"/>
      <c r="P9" s="10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</row>
    <row r="10" customFormat="false" ht="13.8" hidden="false" customHeight="false" outlineLevel="0" collapsed="false">
      <c r="A10" s="4"/>
      <c r="B10" s="4" t="s">
        <v>16</v>
      </c>
      <c r="C10" s="1" t="n">
        <v>109.421</v>
      </c>
      <c r="D10" s="1" t="n">
        <v>59.474</v>
      </c>
      <c r="E10" s="1" t="n">
        <v>58.849</v>
      </c>
      <c r="F10" s="1" t="n">
        <v>50.369</v>
      </c>
      <c r="G10" s="1" t="n">
        <v>49.794</v>
      </c>
      <c r="H10" s="1" t="n">
        <v>51.653</v>
      </c>
      <c r="I10" s="1" t="n">
        <v>52.727</v>
      </c>
      <c r="J10" s="1" t="n">
        <v>50.733</v>
      </c>
      <c r="K10" s="1" t="n">
        <v>51.269</v>
      </c>
      <c r="L10" s="1" t="n">
        <v>50.823</v>
      </c>
      <c r="M10" s="8"/>
      <c r="N10" s="9" t="n">
        <f aca="false">PERCENTILE(C10:L10,0.9)</f>
        <v>64.4687</v>
      </c>
      <c r="O10" s="10"/>
      <c r="P10" s="10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</row>
    <row r="11" customFormat="false" ht="13.8" hidden="false" customHeight="false" outlineLevel="0" collapsed="false">
      <c r="A11" s="4" t="s">
        <v>20</v>
      </c>
      <c r="B11" s="4" t="s">
        <v>15</v>
      </c>
      <c r="C11" s="1" t="n">
        <v>1840</v>
      </c>
      <c r="D11" s="1" t="n">
        <v>1880</v>
      </c>
      <c r="E11" s="1" t="n">
        <v>1690</v>
      </c>
      <c r="F11" s="1" t="n">
        <v>1840</v>
      </c>
      <c r="G11" s="1" t="n">
        <v>1620</v>
      </c>
      <c r="H11" s="1" t="n">
        <v>1800</v>
      </c>
      <c r="I11" s="1" t="n">
        <v>1770</v>
      </c>
      <c r="J11" s="1" t="n">
        <v>1660</v>
      </c>
      <c r="K11" s="1" t="n">
        <v>1650</v>
      </c>
      <c r="L11" s="1" t="n">
        <v>1670</v>
      </c>
      <c r="M11" s="8"/>
      <c r="N11" s="9" t="n">
        <f aca="false">PERCENTILE(C11:L11,0.9)</f>
        <v>1844</v>
      </c>
      <c r="O11" s="10"/>
      <c r="P11" s="10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customFormat="false" ht="13.8" hidden="false" customHeight="false" outlineLevel="0" collapsed="false">
      <c r="A12" s="4"/>
      <c r="B12" s="4" t="s">
        <v>16</v>
      </c>
      <c r="C12" s="1" t="n">
        <v>1844.783</v>
      </c>
      <c r="D12" s="1" t="n">
        <v>1883.559</v>
      </c>
      <c r="E12" s="1" t="n">
        <v>1695.884</v>
      </c>
      <c r="F12" s="1" t="n">
        <v>1844.39</v>
      </c>
      <c r="G12" s="1" t="n">
        <v>1630.52</v>
      </c>
      <c r="H12" s="1" t="n">
        <v>1801.218</v>
      </c>
      <c r="I12" s="1" t="n">
        <v>1775.783</v>
      </c>
      <c r="J12" s="1" t="n">
        <v>1658.855</v>
      </c>
      <c r="K12" s="1" t="n">
        <v>1653.927</v>
      </c>
      <c r="L12" s="1" t="n">
        <v>1672.572</v>
      </c>
      <c r="M12" s="8"/>
      <c r="N12" s="9" t="n">
        <f aca="false">PERCENTILE(C12:L12,0.9)</f>
        <v>1848.6606</v>
      </c>
      <c r="O12" s="10"/>
      <c r="P12" s="10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customFormat="false" ht="12.8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customFormat="false" ht="12.8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</row>
    <row r="15" customFormat="false" ht="12.8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customFormat="false" ht="12.8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4" t="s">
        <v>21</v>
      </c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3"/>
      <c r="AK16" s="13"/>
      <c r="AL16" s="13"/>
      <c r="AM16" s="14" t="s">
        <v>22</v>
      </c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</row>
    <row r="17" customFormat="false" ht="12.8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customFormat="false" ht="12.8" hidden="false" customHeight="false" outlineLevel="0" collapsed="false">
      <c r="A18" s="15" t="s">
        <v>23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3"/>
      <c r="R18" s="3"/>
      <c r="S18" s="3"/>
      <c r="T18" s="16" t="s">
        <v>24</v>
      </c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3"/>
      <c r="AK18" s="3"/>
      <c r="AL18" s="3"/>
      <c r="AM18" s="17" t="s">
        <v>25</v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</row>
    <row r="19" customFormat="false" ht="13.8" hidden="false" customHeight="false" outlineLevel="0" collapsed="false">
      <c r="A19" s="4" t="s">
        <v>1</v>
      </c>
      <c r="B19" s="4" t="s">
        <v>2</v>
      </c>
      <c r="C19" s="4" t="s">
        <v>3</v>
      </c>
      <c r="D19" s="4" t="s">
        <v>4</v>
      </c>
      <c r="E19" s="4" t="s">
        <v>5</v>
      </c>
      <c r="F19" s="4" t="s">
        <v>6</v>
      </c>
      <c r="G19" s="4" t="s">
        <v>7</v>
      </c>
      <c r="H19" s="4" t="s">
        <v>8</v>
      </c>
      <c r="I19" s="4" t="s">
        <v>9</v>
      </c>
      <c r="J19" s="4" t="s">
        <v>10</v>
      </c>
      <c r="K19" s="4" t="s">
        <v>11</v>
      </c>
      <c r="L19" s="4" t="s">
        <v>12</v>
      </c>
      <c r="M19" s="5"/>
      <c r="N19" s="6" t="s">
        <v>13</v>
      </c>
      <c r="O19" s="6" t="s">
        <v>26</v>
      </c>
      <c r="P19" s="6" t="s">
        <v>27</v>
      </c>
      <c r="Q19" s="3"/>
      <c r="R19" s="3"/>
      <c r="S19" s="3"/>
      <c r="T19" s="4" t="s">
        <v>1</v>
      </c>
      <c r="U19" s="4" t="s">
        <v>2</v>
      </c>
      <c r="V19" s="4" t="s">
        <v>3</v>
      </c>
      <c r="W19" s="4" t="s">
        <v>4</v>
      </c>
      <c r="X19" s="4" t="s">
        <v>5</v>
      </c>
      <c r="Y19" s="4" t="s">
        <v>6</v>
      </c>
      <c r="Z19" s="4" t="s">
        <v>7</v>
      </c>
      <c r="AA19" s="4" t="s">
        <v>8</v>
      </c>
      <c r="AB19" s="4" t="s">
        <v>9</v>
      </c>
      <c r="AC19" s="4" t="s">
        <v>10</v>
      </c>
      <c r="AD19" s="4" t="s">
        <v>11</v>
      </c>
      <c r="AE19" s="4" t="s">
        <v>12</v>
      </c>
      <c r="AF19" s="5"/>
      <c r="AG19" s="6" t="s">
        <v>13</v>
      </c>
      <c r="AH19" s="6" t="s">
        <v>26</v>
      </c>
      <c r="AI19" s="6" t="s">
        <v>27</v>
      </c>
      <c r="AJ19" s="3"/>
      <c r="AK19" s="3"/>
      <c r="AL19" s="3"/>
      <c r="AM19" s="4" t="s">
        <v>1</v>
      </c>
      <c r="AN19" s="4" t="s">
        <v>2</v>
      </c>
      <c r="AO19" s="4" t="s">
        <v>3</v>
      </c>
      <c r="AP19" s="4" t="s">
        <v>4</v>
      </c>
      <c r="AQ19" s="4" t="s">
        <v>5</v>
      </c>
      <c r="AR19" s="4" t="s">
        <v>6</v>
      </c>
      <c r="AS19" s="4" t="s">
        <v>7</v>
      </c>
      <c r="AT19" s="4" t="s">
        <v>8</v>
      </c>
      <c r="AU19" s="4" t="s">
        <v>9</v>
      </c>
      <c r="AV19" s="4" t="s">
        <v>10</v>
      </c>
      <c r="AW19" s="4" t="s">
        <v>11</v>
      </c>
      <c r="AX19" s="4" t="s">
        <v>12</v>
      </c>
      <c r="AY19" s="5"/>
      <c r="AZ19" s="6" t="s">
        <v>13</v>
      </c>
      <c r="BA19" s="6" t="s">
        <v>26</v>
      </c>
      <c r="BB19" s="6" t="s">
        <v>27</v>
      </c>
    </row>
    <row r="20" customFormat="false" ht="13.8" hidden="false" customHeight="false" outlineLevel="0" collapsed="false">
      <c r="A20" s="4" t="s">
        <v>14</v>
      </c>
      <c r="B20" s="4" t="s">
        <v>15</v>
      </c>
      <c r="C20" s="1" t="n">
        <v>160</v>
      </c>
      <c r="D20" s="1" t="n">
        <v>170</v>
      </c>
      <c r="E20" s="1" t="n">
        <v>160</v>
      </c>
      <c r="F20" s="1" t="n">
        <v>150</v>
      </c>
      <c r="G20" s="1" t="n">
        <v>180</v>
      </c>
      <c r="H20" s="1" t="n">
        <v>2040</v>
      </c>
      <c r="I20" s="1" t="n">
        <v>160</v>
      </c>
      <c r="J20" s="1" t="n">
        <v>160</v>
      </c>
      <c r="K20" s="1" t="n">
        <v>160</v>
      </c>
      <c r="L20" s="1" t="n">
        <v>150</v>
      </c>
      <c r="M20" s="8"/>
      <c r="N20" s="9" t="n">
        <f aca="false">PERCENTILE(C20:L20,0.9)</f>
        <v>365.999999999999</v>
      </c>
      <c r="O20" s="9"/>
      <c r="P20" s="9"/>
      <c r="Q20" s="3"/>
      <c r="R20" s="3"/>
      <c r="S20" s="3"/>
      <c r="T20" s="4" t="s">
        <v>14</v>
      </c>
      <c r="U20" s="4" t="s">
        <v>15</v>
      </c>
      <c r="V20" s="1" t="n">
        <v>1460</v>
      </c>
      <c r="W20" s="1" t="n">
        <v>1450</v>
      </c>
      <c r="X20" s="1" t="n">
        <v>1450</v>
      </c>
      <c r="Y20" s="1" t="n">
        <v>1380</v>
      </c>
      <c r="Z20" s="1" t="n">
        <v>1440</v>
      </c>
      <c r="AA20" s="1" t="n">
        <v>1710</v>
      </c>
      <c r="AB20" s="1" t="n">
        <v>1460</v>
      </c>
      <c r="AC20" s="1" t="n">
        <v>1220</v>
      </c>
      <c r="AD20" s="1" t="n">
        <v>1310</v>
      </c>
      <c r="AE20" s="1" t="n">
        <v>1120</v>
      </c>
      <c r="AF20" s="8"/>
      <c r="AG20" s="9" t="n">
        <f aca="false">PERCENTILE(V20:AE20,0.9)</f>
        <v>1485</v>
      </c>
      <c r="AH20" s="9"/>
      <c r="AI20" s="9"/>
      <c r="AJ20" s="3"/>
      <c r="AK20" s="3"/>
      <c r="AL20" s="3"/>
      <c r="AM20" s="4" t="s">
        <v>14</v>
      </c>
      <c r="AN20" s="4" t="s">
        <v>15</v>
      </c>
      <c r="AO20" s="1" t="n">
        <v>1010</v>
      </c>
      <c r="AP20" s="1" t="n">
        <v>440</v>
      </c>
      <c r="AQ20" s="1" t="n">
        <v>400</v>
      </c>
      <c r="AR20" s="1" t="n">
        <v>500</v>
      </c>
      <c r="AS20" s="1" t="n">
        <v>510</v>
      </c>
      <c r="AT20" s="1" t="n">
        <v>690</v>
      </c>
      <c r="AU20" s="1" t="n">
        <v>460</v>
      </c>
      <c r="AV20" s="1" t="n">
        <v>800</v>
      </c>
      <c r="AW20" s="1" t="n">
        <v>530</v>
      </c>
      <c r="AX20" s="1" t="n">
        <v>2570</v>
      </c>
      <c r="AY20" s="8"/>
      <c r="AZ20" s="9" t="n">
        <f aca="false">PERCENTILE(AO20:AX20,0.9)</f>
        <v>1166</v>
      </c>
      <c r="BA20" s="9"/>
      <c r="BB20" s="9"/>
    </row>
    <row r="21" customFormat="false" ht="13.8" hidden="false" customHeight="false" outlineLevel="0" collapsed="false">
      <c r="A21" s="4"/>
      <c r="B21" s="4" t="s">
        <v>16</v>
      </c>
      <c r="C21" s="1" t="n">
        <v>41.969</v>
      </c>
      <c r="D21" s="1" t="n">
        <v>41.731</v>
      </c>
      <c r="E21" s="1" t="n">
        <v>41.918</v>
      </c>
      <c r="F21" s="1" t="n">
        <v>37.43</v>
      </c>
      <c r="G21" s="1" t="n">
        <v>48.763</v>
      </c>
      <c r="H21" s="1" t="n">
        <v>782.105</v>
      </c>
      <c r="I21" s="1" t="n">
        <v>42.062</v>
      </c>
      <c r="J21" s="1" t="n">
        <v>41.185</v>
      </c>
      <c r="K21" s="1" t="n">
        <v>41.278</v>
      </c>
      <c r="L21" s="1" t="n">
        <v>40.574</v>
      </c>
      <c r="M21" s="8"/>
      <c r="N21" s="9" t="n">
        <f aca="false">PERCENTILE(C21:L21,0.9)</f>
        <v>122.0972</v>
      </c>
      <c r="O21" s="9" t="n">
        <f aca="false">N4/N21</f>
        <v>2.74524067709989</v>
      </c>
      <c r="P21" s="9" t="n">
        <f aca="false">O21/4</f>
        <v>0.686310169274973</v>
      </c>
      <c r="Q21" s="3"/>
      <c r="R21" s="3"/>
      <c r="S21" s="3"/>
      <c r="T21" s="4"/>
      <c r="U21" s="4" t="s">
        <v>16</v>
      </c>
      <c r="V21" s="1" t="n">
        <v>365.342</v>
      </c>
      <c r="W21" s="1" t="n">
        <v>364.068</v>
      </c>
      <c r="X21" s="1" t="n">
        <v>365.226</v>
      </c>
      <c r="Y21" s="1" t="n">
        <v>346.562</v>
      </c>
      <c r="Z21" s="1" t="n">
        <v>362.534</v>
      </c>
      <c r="AA21" s="1" t="n">
        <v>428.369</v>
      </c>
      <c r="AB21" s="1" t="n">
        <v>366.158</v>
      </c>
      <c r="AC21" s="1" t="n">
        <v>307.163</v>
      </c>
      <c r="AD21" s="1" t="n">
        <v>336.303</v>
      </c>
      <c r="AE21" s="1" t="n">
        <v>280.71</v>
      </c>
      <c r="AF21" s="8"/>
      <c r="AG21" s="9" t="n">
        <f aca="false">PERCENTILE(V21:AE21,0.9)</f>
        <v>372.3791</v>
      </c>
      <c r="AH21" s="9" t="n">
        <f aca="false">N4/AG21</f>
        <v>0.900120871445256</v>
      </c>
      <c r="AI21" s="9" t="n">
        <f aca="false">AH21/4</f>
        <v>0.225030217861314</v>
      </c>
      <c r="AJ21" s="3"/>
      <c r="AK21" s="3"/>
      <c r="AL21" s="3"/>
      <c r="AM21" s="4"/>
      <c r="AN21" s="4" t="s">
        <v>16</v>
      </c>
      <c r="AO21" s="1" t="n">
        <v>379.34</v>
      </c>
      <c r="AP21" s="1" t="n">
        <v>208.954</v>
      </c>
      <c r="AQ21" s="1" t="n">
        <v>195.569</v>
      </c>
      <c r="AR21" s="1" t="n">
        <v>238.803</v>
      </c>
      <c r="AS21" s="1" t="n">
        <v>212.555</v>
      </c>
      <c r="AT21" s="1" t="n">
        <v>206.07</v>
      </c>
      <c r="AU21" s="1" t="n">
        <v>233.166</v>
      </c>
      <c r="AV21" s="1" t="n">
        <v>400.443</v>
      </c>
      <c r="AW21" s="1" t="n">
        <v>220.402</v>
      </c>
      <c r="AX21" s="1" t="n">
        <v>727.669</v>
      </c>
      <c r="AY21" s="8"/>
      <c r="AZ21" s="9" t="n">
        <f aca="false">PERCENTILE(AO21:AX21,0.9)</f>
        <v>433.1656</v>
      </c>
      <c r="BA21" s="9" t="n">
        <f aca="false">N4/AZ21</f>
        <v>0.773806137883526</v>
      </c>
      <c r="BB21" s="9" t="n">
        <f aca="false">BA21/4</f>
        <v>0.193451534470881</v>
      </c>
    </row>
    <row r="22" customFormat="false" ht="13.8" hidden="false" customHeight="false" outlineLevel="0" collapsed="false">
      <c r="A22" s="4" t="s">
        <v>17</v>
      </c>
      <c r="B22" s="4" t="s">
        <v>15</v>
      </c>
      <c r="C22" s="1" t="n">
        <v>70</v>
      </c>
      <c r="D22" s="1" t="n">
        <v>70</v>
      </c>
      <c r="E22" s="1" t="n">
        <v>70</v>
      </c>
      <c r="F22" s="1" t="n">
        <v>60</v>
      </c>
      <c r="G22" s="1" t="n">
        <v>110</v>
      </c>
      <c r="H22" s="1" t="n">
        <v>70</v>
      </c>
      <c r="I22" s="1" t="n">
        <v>50</v>
      </c>
      <c r="J22" s="1" t="n">
        <v>60</v>
      </c>
      <c r="K22" s="1" t="n">
        <v>60</v>
      </c>
      <c r="L22" s="1" t="n">
        <v>60</v>
      </c>
      <c r="M22" s="8"/>
      <c r="N22" s="9" t="n">
        <f aca="false">PERCENTILE(C22:L22,0.9)</f>
        <v>74</v>
      </c>
      <c r="O22" s="9"/>
      <c r="P22" s="9"/>
      <c r="Q22" s="3"/>
      <c r="R22" s="3"/>
      <c r="S22" s="3"/>
      <c r="T22" s="4" t="s">
        <v>17</v>
      </c>
      <c r="U22" s="4" t="s">
        <v>15</v>
      </c>
      <c r="V22" s="1" t="n">
        <v>650</v>
      </c>
      <c r="W22" s="1" t="n">
        <v>630</v>
      </c>
      <c r="X22" s="1" t="n">
        <v>650</v>
      </c>
      <c r="Y22" s="1" t="n">
        <v>500</v>
      </c>
      <c r="Z22" s="1" t="n">
        <v>650</v>
      </c>
      <c r="AA22" s="1" t="n">
        <v>640</v>
      </c>
      <c r="AB22" s="1" t="n">
        <v>490</v>
      </c>
      <c r="AC22" s="1" t="n">
        <v>480</v>
      </c>
      <c r="AD22" s="1" t="n">
        <v>1370</v>
      </c>
      <c r="AE22" s="1" t="n">
        <v>480</v>
      </c>
      <c r="AF22" s="8"/>
      <c r="AG22" s="9" t="n">
        <f aca="false">PERCENTILE(V22:AE22,0.9)</f>
        <v>722</v>
      </c>
      <c r="AH22" s="9"/>
      <c r="AI22" s="9"/>
      <c r="AJ22" s="3"/>
      <c r="AK22" s="3"/>
      <c r="AL22" s="3"/>
      <c r="AM22" s="4" t="s">
        <v>17</v>
      </c>
      <c r="AN22" s="4" t="s">
        <v>15</v>
      </c>
      <c r="AO22" s="1" t="n">
        <v>170</v>
      </c>
      <c r="AP22" s="1" t="n">
        <v>260</v>
      </c>
      <c r="AQ22" s="1" t="n">
        <v>170</v>
      </c>
      <c r="AR22" s="1" t="n">
        <v>160</v>
      </c>
      <c r="AS22" s="1" t="n">
        <v>200</v>
      </c>
      <c r="AT22" s="1" t="n">
        <v>210</v>
      </c>
      <c r="AU22" s="1" t="n">
        <v>220</v>
      </c>
      <c r="AV22" s="1" t="n">
        <v>160</v>
      </c>
      <c r="AW22" s="1" t="n">
        <v>520</v>
      </c>
      <c r="AX22" s="1" t="n">
        <v>660</v>
      </c>
      <c r="AY22" s="8"/>
      <c r="AZ22" s="9" t="n">
        <f aca="false">PERCENTILE(AO22:AX22,0.9)</f>
        <v>534</v>
      </c>
      <c r="BA22" s="9"/>
      <c r="BB22" s="9"/>
    </row>
    <row r="23" customFormat="false" ht="13.8" hidden="false" customHeight="false" outlineLevel="0" collapsed="false">
      <c r="A23" s="4"/>
      <c r="B23" s="4" t="s">
        <v>16</v>
      </c>
      <c r="C23" s="1" t="n">
        <v>17.16</v>
      </c>
      <c r="D23" s="1" t="n">
        <v>17.433</v>
      </c>
      <c r="E23" s="1" t="n">
        <v>17.494</v>
      </c>
      <c r="F23" s="1" t="n">
        <v>14.029</v>
      </c>
      <c r="G23" s="1" t="n">
        <v>34.694</v>
      </c>
      <c r="H23" s="1" t="n">
        <v>17.442</v>
      </c>
      <c r="I23" s="1" t="n">
        <v>13.808</v>
      </c>
      <c r="J23" s="1" t="n">
        <v>15.99</v>
      </c>
      <c r="K23" s="1" t="n">
        <v>16.954</v>
      </c>
      <c r="L23" s="1" t="n">
        <v>15.945</v>
      </c>
      <c r="M23" s="8"/>
      <c r="N23" s="9" t="n">
        <f aca="false">PERCENTILE(C23:L23,0.9)</f>
        <v>19.214</v>
      </c>
      <c r="O23" s="9" t="n">
        <f aca="false">N6/N23</f>
        <v>5.42168731133549</v>
      </c>
      <c r="P23" s="9" t="n">
        <f aca="false">O23/4</f>
        <v>1.35542182783387</v>
      </c>
      <c r="Q23" s="18"/>
      <c r="R23" s="3"/>
      <c r="S23" s="3"/>
      <c r="T23" s="4"/>
      <c r="U23" s="4" t="s">
        <v>16</v>
      </c>
      <c r="V23" s="1" t="n">
        <v>161.398</v>
      </c>
      <c r="W23" s="1" t="n">
        <v>159.687</v>
      </c>
      <c r="X23" s="1" t="n">
        <v>163.299</v>
      </c>
      <c r="Y23" s="1" t="n">
        <v>124.532</v>
      </c>
      <c r="Z23" s="1" t="n">
        <v>162.618</v>
      </c>
      <c r="AA23" s="1" t="n">
        <v>160.575</v>
      </c>
      <c r="AB23" s="1" t="n">
        <v>120.616</v>
      </c>
      <c r="AC23" s="1" t="n">
        <v>121.187</v>
      </c>
      <c r="AD23" s="1" t="n">
        <v>401.593</v>
      </c>
      <c r="AE23" s="1" t="n">
        <v>121.325</v>
      </c>
      <c r="AF23" s="8"/>
      <c r="AG23" s="9" t="n">
        <f aca="false">PERCENTILE(V23:AE23,0.9)</f>
        <v>187.1284</v>
      </c>
      <c r="AH23" s="9" t="n">
        <f aca="false">N6/AG23</f>
        <v>0.556688883141202</v>
      </c>
      <c r="AI23" s="9" t="n">
        <f aca="false">AH23/4</f>
        <v>0.1391722207853</v>
      </c>
      <c r="AJ23" s="3"/>
      <c r="AK23" s="3"/>
      <c r="AL23" s="3"/>
      <c r="AM23" s="4"/>
      <c r="AN23" s="4" t="s">
        <v>16</v>
      </c>
      <c r="AO23" s="1" t="n">
        <v>81.977</v>
      </c>
      <c r="AP23" s="1" t="n">
        <v>80.517</v>
      </c>
      <c r="AQ23" s="1" t="n">
        <v>90.874</v>
      </c>
      <c r="AR23" s="1" t="n">
        <v>84.765</v>
      </c>
      <c r="AS23" s="1" t="n">
        <v>77.15</v>
      </c>
      <c r="AT23" s="1" t="n">
        <v>82.719</v>
      </c>
      <c r="AU23" s="1" t="n">
        <v>102.134</v>
      </c>
      <c r="AV23" s="1" t="n">
        <v>80.363</v>
      </c>
      <c r="AW23" s="1" t="n">
        <v>128.259</v>
      </c>
      <c r="AX23" s="1" t="n">
        <v>165.009</v>
      </c>
      <c r="AY23" s="8"/>
      <c r="AZ23" s="9" t="n">
        <f aca="false">PERCENTILE(AO23:AX23,0.9)</f>
        <v>131.934</v>
      </c>
      <c r="BA23" s="9" t="n">
        <f aca="false">N6/AZ23</f>
        <v>0.789578880349266</v>
      </c>
      <c r="BB23" s="9" t="n">
        <f aca="false">BA23/4</f>
        <v>0.197394720087316</v>
      </c>
    </row>
    <row r="24" customFormat="false" ht="13.8" hidden="false" customHeight="false" outlineLevel="0" collapsed="false">
      <c r="A24" s="4" t="s">
        <v>18</v>
      </c>
      <c r="B24" s="4" t="s">
        <v>15</v>
      </c>
      <c r="C24" s="1" t="n">
        <v>20</v>
      </c>
      <c r="D24" s="1" t="n">
        <v>100</v>
      </c>
      <c r="E24" s="1" t="n">
        <v>20</v>
      </c>
      <c r="F24" s="1" t="n">
        <v>20</v>
      </c>
      <c r="G24" s="1" t="n">
        <v>20</v>
      </c>
      <c r="H24" s="1" t="n">
        <v>90</v>
      </c>
      <c r="I24" s="1" t="n">
        <v>30</v>
      </c>
      <c r="J24" s="1" t="n">
        <v>20</v>
      </c>
      <c r="K24" s="1" t="n">
        <v>20</v>
      </c>
      <c r="L24" s="1" t="n">
        <v>20</v>
      </c>
      <c r="M24" s="8"/>
      <c r="N24" s="9" t="n">
        <f aca="false">PERCENTILE(C24:L24,0.9)</f>
        <v>91</v>
      </c>
      <c r="O24" s="9"/>
      <c r="P24" s="9"/>
      <c r="Q24" s="3"/>
      <c r="R24" s="3"/>
      <c r="S24" s="3"/>
      <c r="T24" s="4" t="s">
        <v>18</v>
      </c>
      <c r="U24" s="4" t="s">
        <v>15</v>
      </c>
      <c r="V24" s="1" t="n">
        <v>140</v>
      </c>
      <c r="W24" s="1" t="n">
        <v>140</v>
      </c>
      <c r="X24" s="1" t="n">
        <v>140</v>
      </c>
      <c r="Y24" s="1" t="n">
        <v>150</v>
      </c>
      <c r="Z24" s="1" t="n">
        <v>150</v>
      </c>
      <c r="AA24" s="1" t="n">
        <v>170</v>
      </c>
      <c r="AB24" s="1" t="n">
        <v>150</v>
      </c>
      <c r="AC24" s="1" t="n">
        <v>110</v>
      </c>
      <c r="AD24" s="1" t="n">
        <v>110</v>
      </c>
      <c r="AE24" s="1" t="n">
        <v>110</v>
      </c>
      <c r="AF24" s="8"/>
      <c r="AG24" s="9" t="n">
        <f aca="false">PERCENTILE(V24:AE24,0.9)</f>
        <v>152</v>
      </c>
      <c r="AH24" s="9"/>
      <c r="AI24" s="9"/>
      <c r="AJ24" s="3"/>
      <c r="AK24" s="3"/>
      <c r="AL24" s="3"/>
      <c r="AM24" s="4" t="s">
        <v>18</v>
      </c>
      <c r="AN24" s="4" t="s">
        <v>15</v>
      </c>
      <c r="AO24" s="1" t="n">
        <v>70</v>
      </c>
      <c r="AP24" s="1" t="n">
        <v>60</v>
      </c>
      <c r="AQ24" s="1" t="n">
        <v>60</v>
      </c>
      <c r="AR24" s="1" t="n">
        <v>60</v>
      </c>
      <c r="AS24" s="1" t="n">
        <v>50</v>
      </c>
      <c r="AT24" s="1" t="n">
        <v>50</v>
      </c>
      <c r="AU24" s="1" t="n">
        <v>60</v>
      </c>
      <c r="AV24" s="1" t="n">
        <v>60</v>
      </c>
      <c r="AW24" s="1" t="n">
        <v>60</v>
      </c>
      <c r="AX24" s="1" t="n">
        <v>110</v>
      </c>
      <c r="AY24" s="8"/>
      <c r="AZ24" s="9" t="n">
        <f aca="false">PERCENTILE(AO24:AX24,0.9)</f>
        <v>74</v>
      </c>
      <c r="BA24" s="9"/>
      <c r="BB24" s="9"/>
    </row>
    <row r="25" customFormat="false" ht="13.8" hidden="false" customHeight="false" outlineLevel="0" collapsed="false">
      <c r="A25" s="4"/>
      <c r="B25" s="4" t="s">
        <v>16</v>
      </c>
      <c r="C25" s="1" t="n">
        <v>4.571</v>
      </c>
      <c r="D25" s="1" t="n">
        <v>44.046</v>
      </c>
      <c r="E25" s="1" t="n">
        <v>5.123</v>
      </c>
      <c r="F25" s="1" t="n">
        <v>5.124</v>
      </c>
      <c r="G25" s="1" t="n">
        <v>5.197</v>
      </c>
      <c r="H25" s="1" t="n">
        <v>47.409</v>
      </c>
      <c r="I25" s="1" t="n">
        <v>9.815</v>
      </c>
      <c r="J25" s="1" t="n">
        <v>5.545</v>
      </c>
      <c r="K25" s="1" t="n">
        <v>4.364</v>
      </c>
      <c r="L25" s="1" t="n">
        <v>4.625</v>
      </c>
      <c r="M25" s="8"/>
      <c r="N25" s="9" t="n">
        <f aca="false">PERCENTILE(C25:L25,0.9)</f>
        <v>44.3823</v>
      </c>
      <c r="O25" s="9" t="n">
        <f aca="false">N8/N25</f>
        <v>0.719437703769296</v>
      </c>
      <c r="P25" s="9" t="n">
        <f aca="false">O25/4</f>
        <v>0.179859425942324</v>
      </c>
      <c r="Q25" s="3"/>
      <c r="R25" s="3"/>
      <c r="S25" s="3"/>
      <c r="T25" s="4"/>
      <c r="U25" s="4" t="s">
        <v>16</v>
      </c>
      <c r="V25" s="1" t="n">
        <v>36.094</v>
      </c>
      <c r="W25" s="1" t="n">
        <v>35.925</v>
      </c>
      <c r="X25" s="1" t="n">
        <v>36.208</v>
      </c>
      <c r="Y25" s="1" t="n">
        <v>36.347</v>
      </c>
      <c r="Z25" s="1" t="n">
        <v>36.184</v>
      </c>
      <c r="AA25" s="1" t="n">
        <v>42.437</v>
      </c>
      <c r="AB25" s="1" t="n">
        <v>36.572</v>
      </c>
      <c r="AC25" s="1" t="n">
        <v>27.661</v>
      </c>
      <c r="AD25" s="1" t="n">
        <v>27.306</v>
      </c>
      <c r="AE25" s="1" t="n">
        <v>27.401</v>
      </c>
      <c r="AF25" s="8"/>
      <c r="AG25" s="9" t="n">
        <f aca="false">PERCENTILE(V25:AE25,0.9)</f>
        <v>37.1585</v>
      </c>
      <c r="AH25" s="9" t="n">
        <f aca="false">N8/AG25</f>
        <v>0.859300025566156</v>
      </c>
      <c r="AI25" s="9" t="n">
        <f aca="false">AH25/4</f>
        <v>0.214825006391539</v>
      </c>
      <c r="AJ25" s="3"/>
      <c r="AK25" s="3"/>
      <c r="AL25" s="3"/>
      <c r="AM25" s="4"/>
      <c r="AN25" s="4" t="s">
        <v>16</v>
      </c>
      <c r="AO25" s="1" t="n">
        <v>34.565</v>
      </c>
      <c r="AP25" s="1" t="n">
        <v>34.723</v>
      </c>
      <c r="AQ25" s="1" t="n">
        <v>27.891</v>
      </c>
      <c r="AR25" s="1" t="n">
        <v>35.471</v>
      </c>
      <c r="AS25" s="1" t="n">
        <v>25.394</v>
      </c>
      <c r="AT25" s="1" t="n">
        <v>27.817</v>
      </c>
      <c r="AU25" s="1" t="n">
        <v>34.534</v>
      </c>
      <c r="AV25" s="1" t="n">
        <v>27.582</v>
      </c>
      <c r="AW25" s="1" t="n">
        <v>27.898</v>
      </c>
      <c r="AX25" s="1" t="n">
        <v>28.556</v>
      </c>
      <c r="AY25" s="8"/>
      <c r="AZ25" s="9" t="n">
        <f aca="false">PERCENTILE(AO25:AX25,0.9)</f>
        <v>34.7978</v>
      </c>
      <c r="BA25" s="9" t="n">
        <f aca="false">N8/AZ25</f>
        <v>0.917595365224239</v>
      </c>
      <c r="BB25" s="9" t="n">
        <f aca="false">BA25/4</f>
        <v>0.22939884130606</v>
      </c>
    </row>
    <row r="26" customFormat="false" ht="13.8" hidden="false" customHeight="false" outlineLevel="0" collapsed="false">
      <c r="A26" s="4" t="s">
        <v>19</v>
      </c>
      <c r="B26" s="4" t="s">
        <v>15</v>
      </c>
      <c r="C26" s="1" t="n">
        <v>30</v>
      </c>
      <c r="D26" s="1" t="n">
        <v>40</v>
      </c>
      <c r="E26" s="1" t="n">
        <v>40</v>
      </c>
      <c r="F26" s="1" t="n">
        <v>30</v>
      </c>
      <c r="G26" s="1" t="n">
        <v>40</v>
      </c>
      <c r="H26" s="1" t="n">
        <v>40</v>
      </c>
      <c r="I26" s="1" t="n">
        <v>50</v>
      </c>
      <c r="J26" s="1" t="n">
        <v>30</v>
      </c>
      <c r="K26" s="1" t="n">
        <v>30</v>
      </c>
      <c r="L26" s="1" t="n">
        <v>30</v>
      </c>
      <c r="M26" s="8"/>
      <c r="N26" s="9" t="n">
        <f aca="false">PERCENTILE(C26:L26,0.9)</f>
        <v>41</v>
      </c>
      <c r="O26" s="9"/>
      <c r="P26" s="9"/>
      <c r="Q26" s="3"/>
      <c r="R26" s="3"/>
      <c r="S26" s="3"/>
      <c r="T26" s="4" t="s">
        <v>19</v>
      </c>
      <c r="U26" s="4" t="s">
        <v>15</v>
      </c>
      <c r="V26" s="1" t="n">
        <v>770</v>
      </c>
      <c r="W26" s="1" t="n">
        <v>620</v>
      </c>
      <c r="X26" s="1" t="n">
        <v>270</v>
      </c>
      <c r="Y26" s="1" t="n">
        <v>350</v>
      </c>
      <c r="Z26" s="1" t="n">
        <v>360</v>
      </c>
      <c r="AA26" s="1" t="n">
        <v>370</v>
      </c>
      <c r="AB26" s="1" t="n">
        <v>360</v>
      </c>
      <c r="AC26" s="1" t="n">
        <v>270</v>
      </c>
      <c r="AD26" s="1" t="n">
        <v>260</v>
      </c>
      <c r="AE26" s="1" t="n">
        <v>270</v>
      </c>
      <c r="AF26" s="8"/>
      <c r="AG26" s="9" t="n">
        <f aca="false">PERCENTILE(V26:AE26,0.9)</f>
        <v>635</v>
      </c>
      <c r="AH26" s="9"/>
      <c r="AI26" s="9"/>
      <c r="AJ26" s="3"/>
      <c r="AK26" s="3"/>
      <c r="AL26" s="3"/>
      <c r="AM26" s="4" t="s">
        <v>19</v>
      </c>
      <c r="AN26" s="4" t="s">
        <v>15</v>
      </c>
      <c r="AO26" s="1" t="n">
        <v>210</v>
      </c>
      <c r="AP26" s="1" t="n">
        <v>130</v>
      </c>
      <c r="AQ26" s="1" t="n">
        <v>120</v>
      </c>
      <c r="AR26" s="1" t="n">
        <v>130</v>
      </c>
      <c r="AS26" s="1" t="n">
        <v>100</v>
      </c>
      <c r="AT26" s="1" t="n">
        <v>160</v>
      </c>
      <c r="AU26" s="1" t="n">
        <v>110</v>
      </c>
      <c r="AV26" s="1" t="n">
        <v>120</v>
      </c>
      <c r="AW26" s="1" t="n">
        <v>110</v>
      </c>
      <c r="AX26" s="1" t="n">
        <v>290</v>
      </c>
      <c r="AY26" s="8"/>
      <c r="AZ26" s="9" t="n">
        <f aca="false">PERCENTILE(AO26:AX26,0.9)</f>
        <v>218</v>
      </c>
      <c r="BA26" s="9"/>
      <c r="BB26" s="9"/>
    </row>
    <row r="27" customFormat="false" ht="13.8" hidden="false" customHeight="false" outlineLevel="0" collapsed="false">
      <c r="A27" s="4"/>
      <c r="B27" s="4" t="s">
        <v>16</v>
      </c>
      <c r="C27" s="1" t="n">
        <v>8.59</v>
      </c>
      <c r="D27" s="1" t="n">
        <v>8.468</v>
      </c>
      <c r="E27" s="1" t="n">
        <v>10.105</v>
      </c>
      <c r="F27" s="1" t="n">
        <v>7.56</v>
      </c>
      <c r="G27" s="1" t="n">
        <v>10.099</v>
      </c>
      <c r="H27" s="1" t="n">
        <v>10.3</v>
      </c>
      <c r="I27" s="1" t="n">
        <v>9.78</v>
      </c>
      <c r="J27" s="1" t="n">
        <v>9.54</v>
      </c>
      <c r="K27" s="1" t="n">
        <v>9.443</v>
      </c>
      <c r="L27" s="1" t="n">
        <v>8.446</v>
      </c>
      <c r="M27" s="8"/>
      <c r="N27" s="9" t="n">
        <f aca="false">PERCENTILE(C27:L27,0.9)</f>
        <v>10.1245</v>
      </c>
      <c r="O27" s="9" t="n">
        <f aca="false">N10/N27</f>
        <v>6.3675934614055</v>
      </c>
      <c r="P27" s="9" t="n">
        <f aca="false">O27/4</f>
        <v>1.59189836535137</v>
      </c>
      <c r="Q27" s="18"/>
      <c r="R27" s="3"/>
      <c r="S27" s="3"/>
      <c r="T27" s="4"/>
      <c r="U27" s="4" t="s">
        <v>16</v>
      </c>
      <c r="V27" s="1" t="n">
        <v>219.52</v>
      </c>
      <c r="W27" s="1" t="n">
        <v>170.692</v>
      </c>
      <c r="X27" s="1" t="n">
        <v>70.273</v>
      </c>
      <c r="Y27" s="1" t="n">
        <v>86.188</v>
      </c>
      <c r="Z27" s="1" t="n">
        <v>90.421</v>
      </c>
      <c r="AA27" s="1" t="n">
        <v>92.326</v>
      </c>
      <c r="AB27" s="1" t="n">
        <v>91.573</v>
      </c>
      <c r="AC27" s="1" t="n">
        <v>67.044</v>
      </c>
      <c r="AD27" s="1" t="n">
        <v>67.72</v>
      </c>
      <c r="AE27" s="1" t="n">
        <v>68.534</v>
      </c>
      <c r="AF27" s="8"/>
      <c r="AG27" s="9" t="n">
        <f aca="false">PERCENTILE(V27:AE27,0.9)</f>
        <v>175.5748</v>
      </c>
      <c r="AH27" s="9" t="n">
        <f aca="false">N10/AG27</f>
        <v>0.3671865210725</v>
      </c>
      <c r="AI27" s="9" t="n">
        <f aca="false">AH27/4</f>
        <v>0.091796630268125</v>
      </c>
      <c r="AJ27" s="3"/>
      <c r="AK27" s="3"/>
      <c r="AL27" s="3"/>
      <c r="AM27" s="4"/>
      <c r="AN27" s="4" t="s">
        <v>16</v>
      </c>
      <c r="AO27" s="1" t="n">
        <v>94.217</v>
      </c>
      <c r="AP27" s="1" t="n">
        <v>51.032</v>
      </c>
      <c r="AQ27" s="1" t="n">
        <v>60.917</v>
      </c>
      <c r="AR27" s="1" t="n">
        <v>54.348</v>
      </c>
      <c r="AS27" s="1" t="n">
        <v>50.037</v>
      </c>
      <c r="AT27" s="1" t="n">
        <v>71.977</v>
      </c>
      <c r="AU27" s="1" t="n">
        <v>61.117</v>
      </c>
      <c r="AV27" s="1" t="n">
        <v>62.411</v>
      </c>
      <c r="AW27" s="1" t="n">
        <v>60.923</v>
      </c>
      <c r="AX27" s="1" t="n">
        <v>73.257</v>
      </c>
      <c r="AY27" s="8"/>
      <c r="AZ27" s="9" t="n">
        <f aca="false">PERCENTILE(AO27:AX27,0.9)</f>
        <v>75.353</v>
      </c>
      <c r="BA27" s="9" t="n">
        <f aca="false">N10/AZ27</f>
        <v>0.855555850463817</v>
      </c>
      <c r="BB27" s="9" t="n">
        <f aca="false">BA27/4</f>
        <v>0.213888962615954</v>
      </c>
    </row>
    <row r="28" customFormat="false" ht="13.8" hidden="false" customHeight="false" outlineLevel="0" collapsed="false">
      <c r="A28" s="4" t="s">
        <v>20</v>
      </c>
      <c r="B28" s="4" t="s">
        <v>15</v>
      </c>
      <c r="C28" s="1" t="n">
        <v>5260</v>
      </c>
      <c r="D28" s="1" t="n">
        <v>1250</v>
      </c>
      <c r="E28" s="1" t="n">
        <v>5790</v>
      </c>
      <c r="F28" s="1" t="n">
        <v>3730</v>
      </c>
      <c r="G28" s="1" t="n">
        <v>2430</v>
      </c>
      <c r="H28" s="1" t="n">
        <v>5000</v>
      </c>
      <c r="I28" s="1" t="n">
        <v>1050</v>
      </c>
      <c r="J28" s="1" t="n">
        <v>8500</v>
      </c>
      <c r="K28" s="1" t="n">
        <v>1150</v>
      </c>
      <c r="L28" s="1" t="n">
        <v>1050</v>
      </c>
      <c r="M28" s="8"/>
      <c r="N28" s="9" t="n">
        <f aca="false">PERCENTILE(C28:L28,0.9)</f>
        <v>6061</v>
      </c>
      <c r="O28" s="9"/>
      <c r="P28" s="9"/>
      <c r="Q28" s="3"/>
      <c r="R28" s="3"/>
      <c r="S28" s="3"/>
      <c r="T28" s="4" t="s">
        <v>20</v>
      </c>
      <c r="U28" s="4" t="s">
        <v>15</v>
      </c>
      <c r="V28" s="1" t="n">
        <v>21260</v>
      </c>
      <c r="W28" s="1" t="n">
        <v>35350</v>
      </c>
      <c r="X28" s="1" t="n">
        <v>57500</v>
      </c>
      <c r="Y28" s="1" t="n">
        <v>68140</v>
      </c>
      <c r="Z28" s="1" t="n">
        <v>20580</v>
      </c>
      <c r="AA28" s="1" t="n">
        <v>38870</v>
      </c>
      <c r="AB28" s="1" t="n">
        <v>21770</v>
      </c>
      <c r="AC28" s="1" t="n">
        <v>45230</v>
      </c>
      <c r="AD28" s="1" t="n">
        <v>59580</v>
      </c>
      <c r="AE28" s="1" t="n">
        <v>50020</v>
      </c>
      <c r="AF28" s="8"/>
      <c r="AG28" s="9" t="n">
        <f aca="false">PERCENTILE(V28:AE28,0.9)</f>
        <v>60436</v>
      </c>
      <c r="AH28" s="9"/>
      <c r="AI28" s="9"/>
      <c r="AJ28" s="3"/>
      <c r="AK28" s="3"/>
      <c r="AL28" s="3"/>
      <c r="AM28" s="4" t="s">
        <v>20</v>
      </c>
      <c r="AN28" s="4" t="s">
        <v>15</v>
      </c>
      <c r="AO28" s="1" t="n">
        <v>34630</v>
      </c>
      <c r="AP28" s="1" t="n">
        <v>16220</v>
      </c>
      <c r="AQ28" s="1" t="n">
        <v>15640</v>
      </c>
      <c r="AR28" s="1" t="n">
        <v>15880</v>
      </c>
      <c r="AS28" s="1" t="n">
        <v>15640</v>
      </c>
      <c r="AT28" s="1" t="n">
        <v>8550</v>
      </c>
      <c r="AU28" s="1" t="n">
        <v>26660</v>
      </c>
      <c r="AV28" s="1" t="n">
        <v>8280</v>
      </c>
      <c r="AW28" s="1" t="n">
        <v>31470</v>
      </c>
      <c r="AX28" s="1" t="n">
        <v>52370</v>
      </c>
      <c r="AY28" s="8"/>
      <c r="AZ28" s="9" t="n">
        <f aca="false">PERCENTILE(AO28:AX28,0.9)</f>
        <v>36404</v>
      </c>
      <c r="BA28" s="9"/>
      <c r="BB28" s="9"/>
    </row>
    <row r="29" customFormat="false" ht="13.8" hidden="false" customHeight="false" outlineLevel="0" collapsed="false">
      <c r="A29" s="4"/>
      <c r="B29" s="4" t="s">
        <v>16</v>
      </c>
      <c r="C29" s="1" t="n">
        <v>1873.344</v>
      </c>
      <c r="D29" s="1" t="n">
        <v>345.6</v>
      </c>
      <c r="E29" s="1" t="n">
        <v>2491.296</v>
      </c>
      <c r="F29" s="1" t="n">
        <v>1234.578</v>
      </c>
      <c r="G29" s="1" t="n">
        <v>832.239</v>
      </c>
      <c r="H29" s="1" t="n">
        <v>2186.588</v>
      </c>
      <c r="I29" s="1" t="n">
        <v>292.841</v>
      </c>
      <c r="J29" s="1" t="n">
        <v>3530.571</v>
      </c>
      <c r="K29" s="1" t="n">
        <v>324.268</v>
      </c>
      <c r="L29" s="1" t="n">
        <v>288.956</v>
      </c>
      <c r="M29" s="8"/>
      <c r="N29" s="9" t="n">
        <f aca="false">PERCENTILE(C29:L29,0.9)</f>
        <v>2595.2235</v>
      </c>
      <c r="O29" s="9" t="n">
        <f aca="false">N12/N29</f>
        <v>0.712331943664968</v>
      </c>
      <c r="P29" s="9" t="n">
        <f aca="false">O29/4</f>
        <v>0.178082985916242</v>
      </c>
      <c r="Q29" s="3"/>
      <c r="R29" s="3"/>
      <c r="S29" s="3"/>
      <c r="T29" s="4"/>
      <c r="U29" s="4" t="s">
        <v>16</v>
      </c>
      <c r="V29" s="1" t="n">
        <v>6002.818</v>
      </c>
      <c r="W29" s="1" t="n">
        <v>10307.937</v>
      </c>
      <c r="X29" s="1" t="n">
        <v>16757.794</v>
      </c>
      <c r="Y29" s="1" t="n">
        <v>19599.747</v>
      </c>
      <c r="Z29" s="1" t="n">
        <v>5165.61</v>
      </c>
      <c r="AA29" s="1" t="n">
        <v>11407.926</v>
      </c>
      <c r="AB29" s="1" t="n">
        <v>6056.375</v>
      </c>
      <c r="AC29" s="1" t="n">
        <v>12704.355</v>
      </c>
      <c r="AD29" s="1" t="n">
        <v>17251.298</v>
      </c>
      <c r="AE29" s="1" t="n">
        <v>13983.424</v>
      </c>
      <c r="AF29" s="8"/>
      <c r="AG29" s="9" t="n">
        <f aca="false">PERCENTILE(V29:AE29,0.9)</f>
        <v>17486.1429</v>
      </c>
      <c r="AH29" s="9" t="n">
        <f aca="false">N12/AG29</f>
        <v>0.105721462450132</v>
      </c>
      <c r="AI29" s="9" t="n">
        <f aca="false">AH29/4</f>
        <v>0.0264303656125331</v>
      </c>
      <c r="AJ29" s="3"/>
      <c r="AK29" s="3"/>
      <c r="AL29" s="3"/>
      <c r="AM29" s="4"/>
      <c r="AN29" s="4" t="s">
        <v>16</v>
      </c>
      <c r="AO29" s="1" t="n">
        <v>12423.998</v>
      </c>
      <c r="AP29" s="1" t="n">
        <v>5023.034</v>
      </c>
      <c r="AQ29" s="1" t="n">
        <v>4328.091</v>
      </c>
      <c r="AR29" s="1" t="n">
        <v>4056.046</v>
      </c>
      <c r="AS29" s="1" t="n">
        <v>4203.333</v>
      </c>
      <c r="AT29" s="1" t="n">
        <v>2208.453</v>
      </c>
      <c r="AU29" s="1" t="n">
        <v>8329.773</v>
      </c>
      <c r="AV29" s="1" t="n">
        <v>2209.656</v>
      </c>
      <c r="AW29" s="1" t="n">
        <v>8873.681</v>
      </c>
      <c r="AX29" s="1" t="n">
        <v>15184.945</v>
      </c>
      <c r="AY29" s="8"/>
      <c r="AZ29" s="9" t="n">
        <f aca="false">PERCENTILE(AO29:AX29,0.9)</f>
        <v>12700.0927</v>
      </c>
      <c r="BA29" s="9" t="n">
        <f aca="false">N12/AZ29</f>
        <v>0.145562764278091</v>
      </c>
      <c r="BB29" s="9" t="n">
        <f aca="false">BA29/4</f>
        <v>0.0363906910695227</v>
      </c>
    </row>
    <row r="30" customFormat="false" ht="12.8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10"/>
      <c r="O30" s="10"/>
      <c r="P30" s="10"/>
      <c r="Q30" s="3"/>
      <c r="R30" s="3"/>
      <c r="S30" s="3"/>
      <c r="T30" s="3"/>
      <c r="U30" s="3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3"/>
      <c r="AG30" s="3"/>
      <c r="AH30" s="3"/>
      <c r="AI30" s="3"/>
      <c r="AJ30" s="3"/>
      <c r="AK30" s="3"/>
      <c r="AL30" s="3"/>
      <c r="AM30" s="3"/>
      <c r="AN30" s="3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3"/>
      <c r="AZ30" s="3"/>
      <c r="BA30" s="3"/>
      <c r="BB30" s="3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10"/>
      <c r="O31" s="10"/>
      <c r="P31" s="10"/>
      <c r="Q31" s="3"/>
      <c r="R31" s="3"/>
      <c r="S31" s="3"/>
      <c r="T31" s="3"/>
      <c r="U31" s="3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3"/>
      <c r="AG31" s="3"/>
      <c r="AH31" s="3"/>
      <c r="AI31" s="3"/>
      <c r="AJ31" s="3"/>
      <c r="AK31" s="3"/>
      <c r="AL31" s="3"/>
      <c r="AM31" s="3"/>
      <c r="AN31" s="3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3"/>
      <c r="AZ31" s="3"/>
      <c r="BA31" s="3"/>
      <c r="BB31" s="3"/>
    </row>
    <row r="32" customFormat="false" ht="12.8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10"/>
      <c r="O32" s="10"/>
      <c r="P32" s="10"/>
      <c r="Q32" s="3"/>
      <c r="R32" s="3"/>
      <c r="S32" s="3"/>
      <c r="T32" s="3"/>
      <c r="U32" s="3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3"/>
      <c r="AG32" s="3"/>
      <c r="AH32" s="3"/>
      <c r="AI32" s="3"/>
      <c r="AJ32" s="3"/>
      <c r="AK32" s="3"/>
      <c r="AL32" s="3"/>
      <c r="AM32" s="3"/>
      <c r="AN32" s="3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3"/>
      <c r="AZ32" s="3"/>
      <c r="BA32" s="3"/>
      <c r="BB32" s="3"/>
    </row>
    <row r="33" customFormat="false" ht="12.8" hidden="false" customHeight="false" outlineLevel="0" collapsed="false">
      <c r="A33" s="15" t="s">
        <v>28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3"/>
      <c r="R33" s="3"/>
      <c r="S33" s="3"/>
      <c r="T33" s="16" t="s">
        <v>29</v>
      </c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3"/>
      <c r="AK33" s="3"/>
      <c r="AL33" s="3"/>
      <c r="AM33" s="17" t="s">
        <v>30</v>
      </c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</row>
    <row r="34" customFormat="false" ht="13.8" hidden="false" customHeight="false" outlineLevel="0" collapsed="false">
      <c r="A34" s="4" t="s">
        <v>1</v>
      </c>
      <c r="B34" s="4" t="s">
        <v>2</v>
      </c>
      <c r="C34" s="4" t="s">
        <v>3</v>
      </c>
      <c r="D34" s="4" t="s">
        <v>4</v>
      </c>
      <c r="E34" s="4" t="s">
        <v>5</v>
      </c>
      <c r="F34" s="4" t="s">
        <v>6</v>
      </c>
      <c r="G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5"/>
      <c r="N34" s="6" t="s">
        <v>13</v>
      </c>
      <c r="O34" s="6" t="s">
        <v>26</v>
      </c>
      <c r="P34" s="6" t="s">
        <v>27</v>
      </c>
      <c r="Q34" s="3"/>
      <c r="R34" s="3"/>
      <c r="S34" s="3"/>
      <c r="T34" s="4" t="s">
        <v>1</v>
      </c>
      <c r="U34" s="4" t="s">
        <v>2</v>
      </c>
      <c r="V34" s="4" t="s">
        <v>3</v>
      </c>
      <c r="W34" s="4" t="s">
        <v>4</v>
      </c>
      <c r="X34" s="4" t="s">
        <v>5</v>
      </c>
      <c r="Y34" s="4" t="s">
        <v>6</v>
      </c>
      <c r="Z34" s="4" t="s">
        <v>7</v>
      </c>
      <c r="AA34" s="4" t="s">
        <v>8</v>
      </c>
      <c r="AB34" s="4" t="s">
        <v>9</v>
      </c>
      <c r="AC34" s="4" t="s">
        <v>10</v>
      </c>
      <c r="AD34" s="4" t="s">
        <v>11</v>
      </c>
      <c r="AE34" s="4" t="s">
        <v>12</v>
      </c>
      <c r="AF34" s="5"/>
      <c r="AG34" s="6" t="s">
        <v>13</v>
      </c>
      <c r="AH34" s="6" t="s">
        <v>26</v>
      </c>
      <c r="AI34" s="6" t="s">
        <v>27</v>
      </c>
      <c r="AJ34" s="3"/>
      <c r="AK34" s="3"/>
      <c r="AL34" s="3"/>
      <c r="AM34" s="4" t="s">
        <v>1</v>
      </c>
      <c r="AN34" s="4" t="s">
        <v>2</v>
      </c>
      <c r="AO34" s="4" t="s">
        <v>3</v>
      </c>
      <c r="AP34" s="4" t="s">
        <v>4</v>
      </c>
      <c r="AQ34" s="4" t="s">
        <v>5</v>
      </c>
      <c r="AR34" s="4" t="s">
        <v>6</v>
      </c>
      <c r="AS34" s="4" t="s">
        <v>7</v>
      </c>
      <c r="AT34" s="4" t="s">
        <v>8</v>
      </c>
      <c r="AU34" s="4" t="s">
        <v>9</v>
      </c>
      <c r="AV34" s="4" t="s">
        <v>10</v>
      </c>
      <c r="AW34" s="4" t="s">
        <v>11</v>
      </c>
      <c r="AX34" s="4" t="s">
        <v>12</v>
      </c>
      <c r="AY34" s="5"/>
      <c r="AZ34" s="6" t="s">
        <v>13</v>
      </c>
      <c r="BA34" s="6" t="s">
        <v>26</v>
      </c>
      <c r="BB34" s="6" t="s">
        <v>27</v>
      </c>
    </row>
    <row r="35" customFormat="false" ht="13.8" hidden="false" customHeight="false" outlineLevel="0" collapsed="false">
      <c r="A35" s="4" t="s">
        <v>14</v>
      </c>
      <c r="B35" s="4" t="s">
        <v>15</v>
      </c>
      <c r="C35" s="1" t="n">
        <v>500</v>
      </c>
      <c r="D35" s="1" t="n">
        <v>500</v>
      </c>
      <c r="E35" s="1" t="n">
        <v>500</v>
      </c>
      <c r="F35" s="1" t="n">
        <v>510</v>
      </c>
      <c r="G35" s="1" t="n">
        <v>490</v>
      </c>
      <c r="H35" s="1" t="n">
        <v>500</v>
      </c>
      <c r="I35" s="1" t="n">
        <v>490</v>
      </c>
      <c r="J35" s="1" t="n">
        <v>500</v>
      </c>
      <c r="K35" s="1" t="n">
        <v>500</v>
      </c>
      <c r="L35" s="1" t="n">
        <v>500</v>
      </c>
      <c r="M35" s="8"/>
      <c r="N35" s="9" t="n">
        <f aca="false">PERCENTILE(C35:L35,0.9)</f>
        <v>501</v>
      </c>
      <c r="O35" s="9"/>
      <c r="P35" s="9"/>
      <c r="Q35" s="3"/>
      <c r="R35" s="3"/>
      <c r="S35" s="3"/>
      <c r="T35" s="4" t="s">
        <v>14</v>
      </c>
      <c r="U35" s="4" t="s">
        <v>15</v>
      </c>
      <c r="V35" s="1" t="n">
        <v>2140</v>
      </c>
      <c r="W35" s="1" t="n">
        <v>2280</v>
      </c>
      <c r="X35" s="1" t="n">
        <v>2210</v>
      </c>
      <c r="Y35" s="1" t="n">
        <v>3460</v>
      </c>
      <c r="Z35" s="1" t="n">
        <v>2220</v>
      </c>
      <c r="AA35" s="1" t="n">
        <v>2290</v>
      </c>
      <c r="AB35" s="1" t="n">
        <v>2270</v>
      </c>
      <c r="AC35" s="1" t="n">
        <v>2260</v>
      </c>
      <c r="AD35" s="1" t="n">
        <v>2230</v>
      </c>
      <c r="AE35" s="1" t="n">
        <v>2240</v>
      </c>
      <c r="AF35" s="8"/>
      <c r="AG35" s="9" t="n">
        <f aca="false">PERCENTILE(V35:AE35,0.9)</f>
        <v>2407</v>
      </c>
      <c r="AH35" s="9"/>
      <c r="AI35" s="9"/>
      <c r="AJ35" s="3"/>
      <c r="AK35" s="3"/>
      <c r="AL35" s="3"/>
      <c r="AM35" s="4" t="s">
        <v>14</v>
      </c>
      <c r="AN35" s="4" t="s">
        <v>15</v>
      </c>
      <c r="AO35" s="1" t="n">
        <v>2080</v>
      </c>
      <c r="AP35" s="1" t="n">
        <v>1940</v>
      </c>
      <c r="AQ35" s="1" t="n">
        <v>850</v>
      </c>
      <c r="AR35" s="1" t="n">
        <v>1560</v>
      </c>
      <c r="AS35" s="1" t="n">
        <v>1190</v>
      </c>
      <c r="AT35" s="1" t="n">
        <v>930</v>
      </c>
      <c r="AU35" s="1" t="n">
        <v>1320</v>
      </c>
      <c r="AV35" s="1" t="n">
        <v>1210</v>
      </c>
      <c r="AW35" s="1" t="n">
        <v>1230</v>
      </c>
      <c r="AX35" s="1" t="n">
        <v>2210</v>
      </c>
      <c r="AY35" s="8"/>
      <c r="AZ35" s="9" t="n">
        <f aca="false">PERCENTILE(AO35:AX35,0.9)</f>
        <v>2093</v>
      </c>
      <c r="BA35" s="9"/>
      <c r="BB35" s="9"/>
    </row>
    <row r="36" customFormat="false" ht="13.8" hidden="false" customHeight="false" outlineLevel="0" collapsed="false">
      <c r="A36" s="4"/>
      <c r="B36" s="4" t="s">
        <v>16</v>
      </c>
      <c r="C36" s="1" t="n">
        <v>62.336</v>
      </c>
      <c r="D36" s="1" t="n">
        <v>62.127</v>
      </c>
      <c r="E36" s="1" t="n">
        <v>62.003</v>
      </c>
      <c r="F36" s="1" t="n">
        <v>62.127</v>
      </c>
      <c r="G36" s="1" t="n">
        <v>62.452</v>
      </c>
      <c r="H36" s="1" t="n">
        <v>62.316</v>
      </c>
      <c r="I36" s="1" t="n">
        <v>61.911</v>
      </c>
      <c r="J36" s="1" t="n">
        <v>61.912</v>
      </c>
      <c r="K36" s="1" t="n">
        <v>63.208</v>
      </c>
      <c r="L36" s="1" t="n">
        <v>62.443</v>
      </c>
      <c r="M36" s="8"/>
      <c r="N36" s="9" t="n">
        <f aca="false">PERCENTILE(C36:L36,0.9)</f>
        <v>62.5276</v>
      </c>
      <c r="O36" s="9" t="n">
        <f aca="false">N4/N36</f>
        <v>5.36061195376122</v>
      </c>
      <c r="P36" s="9" t="n">
        <f aca="false">O36/8</f>
        <v>0.670076494220152</v>
      </c>
      <c r="Q36" s="3"/>
      <c r="R36" s="3"/>
      <c r="S36" s="3"/>
      <c r="T36" s="4"/>
      <c r="U36" s="4" t="s">
        <v>16</v>
      </c>
      <c r="V36" s="1" t="n">
        <v>268.887</v>
      </c>
      <c r="W36" s="1" t="n">
        <v>285.317</v>
      </c>
      <c r="X36" s="1" t="n">
        <v>277.165</v>
      </c>
      <c r="Y36" s="1" t="n">
        <v>472.389</v>
      </c>
      <c r="Z36" s="1" t="n">
        <v>279.299</v>
      </c>
      <c r="AA36" s="1" t="n">
        <v>287.782</v>
      </c>
      <c r="AB36" s="1" t="n">
        <v>284.56</v>
      </c>
      <c r="AC36" s="1" t="n">
        <v>283.272</v>
      </c>
      <c r="AD36" s="1" t="n">
        <v>279.935</v>
      </c>
      <c r="AE36" s="1" t="n">
        <v>281.369</v>
      </c>
      <c r="AF36" s="8"/>
      <c r="AG36" s="9" t="n">
        <f aca="false">PERCENTILE(V36:AE36,0.9)</f>
        <v>306.2427</v>
      </c>
      <c r="AH36" s="9" t="n">
        <f aca="false">N4/AG36</f>
        <v>1.09451164060401</v>
      </c>
      <c r="AI36" s="9" t="n">
        <f aca="false">AH36/8</f>
        <v>0.136813955075501</v>
      </c>
      <c r="AJ36" s="3"/>
      <c r="AK36" s="3"/>
      <c r="AL36" s="3"/>
      <c r="AM36" s="4"/>
      <c r="AN36" s="4" t="s">
        <v>16</v>
      </c>
      <c r="AO36" s="1" t="n">
        <v>518.591</v>
      </c>
      <c r="AP36" s="1" t="n">
        <v>359.484</v>
      </c>
      <c r="AQ36" s="1" t="n">
        <v>208.164</v>
      </c>
      <c r="AR36" s="1" t="n">
        <v>315.3</v>
      </c>
      <c r="AS36" s="1" t="n">
        <v>249.867</v>
      </c>
      <c r="AT36" s="1" t="n">
        <v>222.34</v>
      </c>
      <c r="AU36" s="1" t="n">
        <v>250.995</v>
      </c>
      <c r="AV36" s="1" t="n">
        <v>274.293</v>
      </c>
      <c r="AW36" s="1" t="n">
        <v>268.533</v>
      </c>
      <c r="AX36" s="1" t="n">
        <v>277.032</v>
      </c>
      <c r="AY36" s="8"/>
      <c r="AZ36" s="9" t="n">
        <f aca="false">PERCENTILE(AO36:AX36,0.9)</f>
        <v>375.3947</v>
      </c>
      <c r="BA36" s="9" t="n">
        <f aca="false">N4/AZ36</f>
        <v>0.892890070104879</v>
      </c>
      <c r="BB36" s="9" t="n">
        <f aca="false">BA36/8</f>
        <v>0.11161125876311</v>
      </c>
    </row>
    <row r="37" customFormat="false" ht="13.8" hidden="false" customHeight="false" outlineLevel="0" collapsed="false">
      <c r="A37" s="4" t="s">
        <v>17</v>
      </c>
      <c r="B37" s="4" t="s">
        <v>15</v>
      </c>
      <c r="C37" s="1" t="n">
        <v>170</v>
      </c>
      <c r="D37" s="1" t="n">
        <v>160</v>
      </c>
      <c r="E37" s="1" t="n">
        <v>180</v>
      </c>
      <c r="F37" s="1" t="n">
        <v>180</v>
      </c>
      <c r="G37" s="1" t="n">
        <v>180</v>
      </c>
      <c r="H37" s="1" t="n">
        <v>180</v>
      </c>
      <c r="I37" s="1" t="n">
        <v>170</v>
      </c>
      <c r="J37" s="1" t="n">
        <v>180</v>
      </c>
      <c r="K37" s="1" t="n">
        <v>190</v>
      </c>
      <c r="L37" s="1" t="n">
        <v>180</v>
      </c>
      <c r="M37" s="8"/>
      <c r="N37" s="9" t="n">
        <f aca="false">PERCENTILE(C37:L37,0.9)</f>
        <v>181</v>
      </c>
      <c r="O37" s="9"/>
      <c r="P37" s="9"/>
      <c r="Q37" s="3"/>
      <c r="R37" s="3"/>
      <c r="S37" s="3"/>
      <c r="T37" s="4" t="s">
        <v>17</v>
      </c>
      <c r="U37" s="4" t="s">
        <v>15</v>
      </c>
      <c r="V37" s="1" t="n">
        <v>980</v>
      </c>
      <c r="W37" s="1" t="n">
        <v>1010</v>
      </c>
      <c r="X37" s="1" t="n">
        <v>1150</v>
      </c>
      <c r="Y37" s="1" t="n">
        <v>1080</v>
      </c>
      <c r="Z37" s="1" t="n">
        <v>1010</v>
      </c>
      <c r="AA37" s="1" t="n">
        <v>1030</v>
      </c>
      <c r="AB37" s="1" t="n">
        <v>990</v>
      </c>
      <c r="AC37" s="1" t="n">
        <v>1000</v>
      </c>
      <c r="AD37" s="1" t="n">
        <v>1040</v>
      </c>
      <c r="AE37" s="1" t="n">
        <v>1010</v>
      </c>
      <c r="AF37" s="8"/>
      <c r="AG37" s="9" t="n">
        <f aca="false">PERCENTILE(V37:AE37,0.9)</f>
        <v>1087</v>
      </c>
      <c r="AH37" s="9"/>
      <c r="AI37" s="9"/>
      <c r="AJ37" s="3"/>
      <c r="AK37" s="3"/>
      <c r="AL37" s="3"/>
      <c r="AM37" s="4" t="s">
        <v>17</v>
      </c>
      <c r="AN37" s="4" t="s">
        <v>15</v>
      </c>
      <c r="AO37" s="1" t="n">
        <v>430</v>
      </c>
      <c r="AP37" s="1" t="n">
        <v>560</v>
      </c>
      <c r="AQ37" s="1" t="n">
        <v>440</v>
      </c>
      <c r="AR37" s="1" t="n">
        <v>640</v>
      </c>
      <c r="AS37" s="1" t="n">
        <v>590</v>
      </c>
      <c r="AT37" s="1" t="n">
        <v>750</v>
      </c>
      <c r="AU37" s="1" t="n">
        <v>880</v>
      </c>
      <c r="AV37" s="1" t="n">
        <v>640</v>
      </c>
      <c r="AW37" s="1" t="n">
        <v>990</v>
      </c>
      <c r="AX37" s="1" t="n">
        <v>990</v>
      </c>
      <c r="AY37" s="8"/>
      <c r="AZ37" s="9" t="n">
        <f aca="false">PERCENTILE(AO37:AX37,0.9)</f>
        <v>990</v>
      </c>
      <c r="BA37" s="9"/>
      <c r="BB37" s="9"/>
    </row>
    <row r="38" customFormat="false" ht="13.8" hidden="false" customHeight="false" outlineLevel="0" collapsed="false">
      <c r="A38" s="4"/>
      <c r="B38" s="4" t="s">
        <v>16</v>
      </c>
      <c r="C38" s="1" t="n">
        <v>22.201</v>
      </c>
      <c r="D38" s="1" t="n">
        <v>21.052</v>
      </c>
      <c r="E38" s="1" t="n">
        <v>22.158</v>
      </c>
      <c r="F38" s="1" t="n">
        <v>22.283</v>
      </c>
      <c r="G38" s="1" t="n">
        <v>22.343</v>
      </c>
      <c r="H38" s="1" t="n">
        <v>22.216</v>
      </c>
      <c r="I38" s="1" t="n">
        <v>22.273</v>
      </c>
      <c r="J38" s="1" t="n">
        <v>22.185</v>
      </c>
      <c r="K38" s="1" t="n">
        <v>22.193</v>
      </c>
      <c r="L38" s="1" t="n">
        <v>23.223</v>
      </c>
      <c r="M38" s="8"/>
      <c r="N38" s="9" t="n">
        <f aca="false">PERCENTILE(C38:L38,0.9)</f>
        <v>22.431</v>
      </c>
      <c r="O38" s="9" t="n">
        <f aca="false">N6/N38</f>
        <v>4.64412197405377</v>
      </c>
      <c r="P38" s="9" t="n">
        <f aca="false">O38/8</f>
        <v>0.580515246756721</v>
      </c>
      <c r="Q38" s="3"/>
      <c r="R38" s="3"/>
      <c r="S38" s="3"/>
      <c r="T38" s="4"/>
      <c r="U38" s="4" t="s">
        <v>16</v>
      </c>
      <c r="V38" s="1" t="n">
        <v>123.017</v>
      </c>
      <c r="W38" s="1" t="n">
        <v>126.703</v>
      </c>
      <c r="X38" s="1" t="n">
        <v>231.395</v>
      </c>
      <c r="Y38" s="1" t="n">
        <v>209.109</v>
      </c>
      <c r="Z38" s="1" t="n">
        <v>125.663</v>
      </c>
      <c r="AA38" s="1" t="n">
        <v>129.601</v>
      </c>
      <c r="AB38" s="1" t="n">
        <v>124.017</v>
      </c>
      <c r="AC38" s="1" t="n">
        <v>125.809</v>
      </c>
      <c r="AD38" s="1" t="n">
        <v>130.269</v>
      </c>
      <c r="AE38" s="1" t="n">
        <v>126.311</v>
      </c>
      <c r="AF38" s="8"/>
      <c r="AG38" s="9" t="n">
        <f aca="false">PERCENTILE(V38:AE38,0.9)</f>
        <v>211.3376</v>
      </c>
      <c r="AH38" s="9" t="n">
        <f aca="false">N6/AG38</f>
        <v>0.492918912678104</v>
      </c>
      <c r="AI38" s="9" t="n">
        <f aca="false">AH38/8</f>
        <v>0.061614864084763</v>
      </c>
      <c r="AJ38" s="3"/>
      <c r="AK38" s="3"/>
      <c r="AL38" s="3"/>
      <c r="AM38" s="4"/>
      <c r="AN38" s="4" t="s">
        <v>16</v>
      </c>
      <c r="AO38" s="1" t="n">
        <v>99.202</v>
      </c>
      <c r="AP38" s="1" t="n">
        <v>110.803</v>
      </c>
      <c r="AQ38" s="1" t="n">
        <v>104.959</v>
      </c>
      <c r="AR38" s="1" t="n">
        <v>119.442</v>
      </c>
      <c r="AS38" s="1" t="n">
        <v>113.134</v>
      </c>
      <c r="AT38" s="1" t="n">
        <v>127.368</v>
      </c>
      <c r="AU38" s="1" t="n">
        <v>124.971</v>
      </c>
      <c r="AV38" s="1" t="n">
        <v>156.529</v>
      </c>
      <c r="AW38" s="1" t="n">
        <v>123.229</v>
      </c>
      <c r="AX38" s="1" t="n">
        <v>124.838</v>
      </c>
      <c r="AY38" s="8"/>
      <c r="AZ38" s="9" t="n">
        <f aca="false">PERCENTILE(AO38:AX38,0.9)</f>
        <v>130.2841</v>
      </c>
      <c r="BA38" s="9" t="n">
        <f aca="false">N6/AZ38</f>
        <v>0.799577999157227</v>
      </c>
      <c r="BB38" s="9" t="n">
        <f aca="false">BA38/8</f>
        <v>0.0999472498946533</v>
      </c>
    </row>
    <row r="39" customFormat="false" ht="13.8" hidden="false" customHeight="false" outlineLevel="0" collapsed="false">
      <c r="A39" s="4" t="s">
        <v>18</v>
      </c>
      <c r="B39" s="4" t="s">
        <v>15</v>
      </c>
      <c r="C39" s="1" t="n">
        <v>50</v>
      </c>
      <c r="D39" s="1" t="n">
        <v>40</v>
      </c>
      <c r="E39" s="1" t="n">
        <v>50</v>
      </c>
      <c r="F39" s="1" t="n">
        <v>50</v>
      </c>
      <c r="G39" s="1" t="n">
        <v>40</v>
      </c>
      <c r="H39" s="1" t="n">
        <v>50</v>
      </c>
      <c r="I39" s="1" t="n">
        <v>50</v>
      </c>
      <c r="J39" s="1" t="n">
        <v>50</v>
      </c>
      <c r="K39" s="1" t="n">
        <v>50</v>
      </c>
      <c r="L39" s="1" t="n">
        <v>50</v>
      </c>
      <c r="M39" s="8"/>
      <c r="N39" s="9" t="n">
        <f aca="false">PERCENTILE(C39:L39,0.9)</f>
        <v>50</v>
      </c>
      <c r="O39" s="9"/>
      <c r="P39" s="9"/>
      <c r="Q39" s="3"/>
      <c r="R39" s="3"/>
      <c r="S39" s="3"/>
      <c r="T39" s="4" t="s">
        <v>18</v>
      </c>
      <c r="U39" s="4" t="s">
        <v>15</v>
      </c>
      <c r="V39" s="1" t="n">
        <v>220</v>
      </c>
      <c r="W39" s="1" t="n">
        <v>220</v>
      </c>
      <c r="X39" s="1" t="n">
        <v>220</v>
      </c>
      <c r="Y39" s="1" t="n">
        <v>270</v>
      </c>
      <c r="Z39" s="1" t="n">
        <v>350</v>
      </c>
      <c r="AA39" s="1" t="n">
        <v>220</v>
      </c>
      <c r="AB39" s="1" t="n">
        <v>220</v>
      </c>
      <c r="AC39" s="1" t="n">
        <v>230</v>
      </c>
      <c r="AD39" s="1" t="n">
        <v>220</v>
      </c>
      <c r="AE39" s="1" t="n">
        <v>220</v>
      </c>
      <c r="AF39" s="8"/>
      <c r="AG39" s="9" t="n">
        <f aca="false">PERCENTILE(V39:AE39,0.9)</f>
        <v>278</v>
      </c>
      <c r="AH39" s="9"/>
      <c r="AI39" s="9"/>
      <c r="AJ39" s="3"/>
      <c r="AK39" s="3"/>
      <c r="AL39" s="3"/>
      <c r="AM39" s="4" t="s">
        <v>18</v>
      </c>
      <c r="AN39" s="4" t="s">
        <v>15</v>
      </c>
      <c r="AO39" s="1" t="n">
        <v>150</v>
      </c>
      <c r="AP39" s="1" t="n">
        <v>90</v>
      </c>
      <c r="AQ39" s="1" t="n">
        <v>200</v>
      </c>
      <c r="AR39" s="1" t="n">
        <v>150</v>
      </c>
      <c r="AS39" s="1" t="n">
        <v>150</v>
      </c>
      <c r="AT39" s="1" t="n">
        <v>170</v>
      </c>
      <c r="AU39" s="1" t="n">
        <v>140</v>
      </c>
      <c r="AV39" s="1" t="n">
        <v>130</v>
      </c>
      <c r="AW39" s="1" t="n">
        <v>150</v>
      </c>
      <c r="AX39" s="1" t="n">
        <v>210</v>
      </c>
      <c r="AY39" s="8"/>
      <c r="AZ39" s="9" t="n">
        <f aca="false">PERCENTILE(AO39:AX39,0.9)</f>
        <v>201</v>
      </c>
      <c r="BA39" s="9"/>
      <c r="BB39" s="9"/>
    </row>
    <row r="40" customFormat="false" ht="13.8" hidden="false" customHeight="false" outlineLevel="0" collapsed="false">
      <c r="A40" s="4"/>
      <c r="B40" s="4" t="s">
        <v>16</v>
      </c>
      <c r="C40" s="1" t="n">
        <v>6.133</v>
      </c>
      <c r="D40" s="1" t="n">
        <v>6.249</v>
      </c>
      <c r="E40" s="1" t="n">
        <v>6.237</v>
      </c>
      <c r="F40" s="1" t="n">
        <v>6.195</v>
      </c>
      <c r="G40" s="1" t="n">
        <v>6.249</v>
      </c>
      <c r="H40" s="1" t="n">
        <v>6.109</v>
      </c>
      <c r="I40" s="1" t="n">
        <v>6.23</v>
      </c>
      <c r="J40" s="1" t="n">
        <v>6.191</v>
      </c>
      <c r="K40" s="1" t="n">
        <v>6.214</v>
      </c>
      <c r="L40" s="1" t="n">
        <v>6.228</v>
      </c>
      <c r="M40" s="8"/>
      <c r="N40" s="9" t="n">
        <f aca="false">PERCENTILE(C40:L40,0.9)</f>
        <v>6.249</v>
      </c>
      <c r="O40" s="9" t="n">
        <f aca="false">N8/N40</f>
        <v>5.10966554648744</v>
      </c>
      <c r="P40" s="9" t="n">
        <f aca="false">O40/8</f>
        <v>0.63870819331093</v>
      </c>
      <c r="Q40" s="3"/>
      <c r="R40" s="3"/>
      <c r="S40" s="3"/>
      <c r="T40" s="4"/>
      <c r="U40" s="4" t="s">
        <v>16</v>
      </c>
      <c r="V40" s="1" t="n">
        <v>28.296</v>
      </c>
      <c r="W40" s="1" t="n">
        <v>26.964</v>
      </c>
      <c r="X40" s="1" t="n">
        <v>27.966</v>
      </c>
      <c r="Y40" s="1" t="n">
        <v>54.898</v>
      </c>
      <c r="Z40" s="1" t="n">
        <v>68.488</v>
      </c>
      <c r="AA40" s="1" t="n">
        <v>27.787</v>
      </c>
      <c r="AB40" s="1" t="n">
        <v>28.103</v>
      </c>
      <c r="AC40" s="1" t="n">
        <v>28.927</v>
      </c>
      <c r="AD40" s="1" t="n">
        <v>28.39</v>
      </c>
      <c r="AE40" s="1" t="n">
        <v>27.781</v>
      </c>
      <c r="AF40" s="8"/>
      <c r="AG40" s="9" t="n">
        <f aca="false">PERCENTILE(V40:AE40,0.9)</f>
        <v>56.257</v>
      </c>
      <c r="AH40" s="9" t="n">
        <f aca="false">N8/AG40</f>
        <v>0.567579145706312</v>
      </c>
      <c r="AI40" s="9" t="n">
        <f aca="false">AH40/8</f>
        <v>0.070947393213289</v>
      </c>
      <c r="AJ40" s="3"/>
      <c r="AK40" s="3"/>
      <c r="AL40" s="3"/>
      <c r="AM40" s="4"/>
      <c r="AN40" s="4" t="s">
        <v>16</v>
      </c>
      <c r="AO40" s="1" t="n">
        <v>39.588</v>
      </c>
      <c r="AP40" s="1" t="n">
        <v>24.545</v>
      </c>
      <c r="AQ40" s="1" t="n">
        <v>25.421</v>
      </c>
      <c r="AR40" s="1" t="n">
        <v>40.786</v>
      </c>
      <c r="AS40" s="1" t="n">
        <v>38.557</v>
      </c>
      <c r="AT40" s="1" t="n">
        <v>40.568</v>
      </c>
      <c r="AU40" s="1" t="n">
        <v>36.275</v>
      </c>
      <c r="AV40" s="1" t="n">
        <v>30.548</v>
      </c>
      <c r="AW40" s="1" t="n">
        <v>32.82</v>
      </c>
      <c r="AX40" s="1" t="n">
        <v>27.403</v>
      </c>
      <c r="AY40" s="8"/>
      <c r="AZ40" s="9" t="n">
        <f aca="false">PERCENTILE(AO40:AX40,0.9)</f>
        <v>40.5898</v>
      </c>
      <c r="BA40" s="9" t="n">
        <f aca="false">N8/AZ40</f>
        <v>0.786658224480042</v>
      </c>
      <c r="BB40" s="9" t="n">
        <f aca="false">BA40/8</f>
        <v>0.0983322780600052</v>
      </c>
    </row>
    <row r="41" customFormat="false" ht="13.8" hidden="false" customHeight="false" outlineLevel="0" collapsed="false">
      <c r="A41" s="4" t="s">
        <v>19</v>
      </c>
      <c r="B41" s="4" t="s">
        <v>15</v>
      </c>
      <c r="C41" s="1" t="n">
        <v>100</v>
      </c>
      <c r="D41" s="1" t="n">
        <v>100</v>
      </c>
      <c r="E41" s="1" t="n">
        <v>100</v>
      </c>
      <c r="F41" s="1" t="n">
        <v>90</v>
      </c>
      <c r="G41" s="1" t="n">
        <v>90</v>
      </c>
      <c r="H41" s="1" t="n">
        <v>100</v>
      </c>
      <c r="I41" s="1" t="n">
        <v>90</v>
      </c>
      <c r="J41" s="1" t="n">
        <v>110</v>
      </c>
      <c r="K41" s="1" t="n">
        <v>100</v>
      </c>
      <c r="L41" s="1" t="n">
        <v>100</v>
      </c>
      <c r="M41" s="8"/>
      <c r="N41" s="9" t="n">
        <f aca="false">PERCENTILE(C41:L41,0.9)</f>
        <v>101</v>
      </c>
      <c r="O41" s="9"/>
      <c r="P41" s="9"/>
      <c r="Q41" s="3"/>
      <c r="R41" s="3"/>
      <c r="S41" s="3"/>
      <c r="T41" s="4" t="s">
        <v>19</v>
      </c>
      <c r="U41" s="4" t="s">
        <v>15</v>
      </c>
      <c r="V41" s="1" t="n">
        <v>590</v>
      </c>
      <c r="W41" s="1" t="n">
        <v>580</v>
      </c>
      <c r="X41" s="1" t="n">
        <v>580</v>
      </c>
      <c r="Y41" s="1" t="n">
        <v>570</v>
      </c>
      <c r="Z41" s="1" t="n">
        <v>560</v>
      </c>
      <c r="AA41" s="1" t="n">
        <v>560</v>
      </c>
      <c r="AB41" s="1" t="n">
        <v>600</v>
      </c>
      <c r="AC41" s="1" t="n">
        <v>580</v>
      </c>
      <c r="AD41" s="1" t="n">
        <v>610</v>
      </c>
      <c r="AE41" s="1" t="n">
        <v>580</v>
      </c>
      <c r="AF41" s="8"/>
      <c r="AG41" s="9" t="n">
        <f aca="false">PERCENTILE(V41:AE41,0.9)</f>
        <v>601</v>
      </c>
      <c r="AH41" s="9"/>
      <c r="AI41" s="9"/>
      <c r="AJ41" s="3"/>
      <c r="AK41" s="3"/>
      <c r="AL41" s="3"/>
      <c r="AM41" s="4" t="s">
        <v>19</v>
      </c>
      <c r="AN41" s="4" t="s">
        <v>15</v>
      </c>
      <c r="AO41" s="1" t="n">
        <v>260</v>
      </c>
      <c r="AP41" s="1" t="n">
        <v>270</v>
      </c>
      <c r="AQ41" s="1" t="n">
        <v>280</v>
      </c>
      <c r="AR41" s="1" t="n">
        <v>220</v>
      </c>
      <c r="AS41" s="1" t="n">
        <v>310</v>
      </c>
      <c r="AT41" s="1" t="n">
        <v>440</v>
      </c>
      <c r="AU41" s="1" t="n">
        <v>220</v>
      </c>
      <c r="AV41" s="1" t="n">
        <v>270</v>
      </c>
      <c r="AW41" s="1" t="n">
        <v>230</v>
      </c>
      <c r="AX41" s="1" t="n">
        <v>570</v>
      </c>
      <c r="AY41" s="8"/>
      <c r="AZ41" s="9" t="n">
        <f aca="false">PERCENTILE(AO41:AX41,0.9)</f>
        <v>453</v>
      </c>
      <c r="BA41" s="9"/>
      <c r="BB41" s="9"/>
    </row>
    <row r="42" customFormat="false" ht="13.8" hidden="false" customHeight="false" outlineLevel="0" collapsed="false">
      <c r="A42" s="4"/>
      <c r="B42" s="4" t="s">
        <v>16</v>
      </c>
      <c r="C42" s="1" t="n">
        <v>12.399</v>
      </c>
      <c r="D42" s="1" t="n">
        <v>12.105</v>
      </c>
      <c r="E42" s="1" t="n">
        <v>12.109</v>
      </c>
      <c r="F42" s="1" t="n">
        <v>12.124</v>
      </c>
      <c r="G42" s="1" t="n">
        <v>12.162</v>
      </c>
      <c r="H42" s="1" t="n">
        <v>12.321</v>
      </c>
      <c r="I42" s="1" t="n">
        <v>12.083</v>
      </c>
      <c r="J42" s="1" t="n">
        <v>12.107</v>
      </c>
      <c r="K42" s="1" t="n">
        <v>12.079</v>
      </c>
      <c r="L42" s="1" t="n">
        <v>12.116</v>
      </c>
      <c r="M42" s="8"/>
      <c r="N42" s="9" t="n">
        <f aca="false">PERCENTILE(C42:L42,0.9)</f>
        <v>12.3288</v>
      </c>
      <c r="O42" s="9" t="n">
        <f aca="false">N10/N42</f>
        <v>5.22911394458504</v>
      </c>
      <c r="P42" s="9" t="n">
        <f aca="false">O42/8</f>
        <v>0.65363924307313</v>
      </c>
      <c r="Q42" s="3"/>
      <c r="R42" s="3"/>
      <c r="S42" s="3"/>
      <c r="T42" s="4"/>
      <c r="U42" s="4" t="s">
        <v>16</v>
      </c>
      <c r="V42" s="1" t="n">
        <v>74.059</v>
      </c>
      <c r="W42" s="1" t="n">
        <v>73.035</v>
      </c>
      <c r="X42" s="1" t="n">
        <v>72.112</v>
      </c>
      <c r="Y42" s="1" t="n">
        <v>96.733</v>
      </c>
      <c r="Z42" s="1" t="n">
        <v>71.057</v>
      </c>
      <c r="AA42" s="1" t="n">
        <v>70.799</v>
      </c>
      <c r="AB42" s="1" t="n">
        <v>75.101</v>
      </c>
      <c r="AC42" s="1" t="n">
        <v>73.002</v>
      </c>
      <c r="AD42" s="1" t="n">
        <v>75.848</v>
      </c>
      <c r="AE42" s="1" t="n">
        <v>72.082</v>
      </c>
      <c r="AF42" s="8"/>
      <c r="AG42" s="9" t="n">
        <f aca="false">PERCENTILE(V42:AE42,0.9)</f>
        <v>77.9365</v>
      </c>
      <c r="AH42" s="9" t="n">
        <f aca="false">N10/AG42</f>
        <v>0.827195216618657</v>
      </c>
      <c r="AI42" s="9" t="n">
        <f aca="false">AH42/8</f>
        <v>0.103399402077332</v>
      </c>
      <c r="AJ42" s="3"/>
      <c r="AK42" s="3"/>
      <c r="AL42" s="3"/>
      <c r="AM42" s="4"/>
      <c r="AN42" s="4" t="s">
        <v>16</v>
      </c>
      <c r="AO42" s="1" t="n">
        <v>67.251</v>
      </c>
      <c r="AP42" s="1" t="n">
        <v>63.333</v>
      </c>
      <c r="AQ42" s="1" t="n">
        <v>66.852</v>
      </c>
      <c r="AR42" s="1" t="n">
        <v>56.028</v>
      </c>
      <c r="AS42" s="1" t="n">
        <v>76.006</v>
      </c>
      <c r="AT42" s="1" t="n">
        <v>100.218</v>
      </c>
      <c r="AU42" s="1" t="n">
        <v>59.359</v>
      </c>
      <c r="AV42" s="1" t="n">
        <v>60.697</v>
      </c>
      <c r="AW42" s="1" t="n">
        <v>57.887</v>
      </c>
      <c r="AX42" s="1" t="n">
        <v>70.837</v>
      </c>
      <c r="AY42" s="8"/>
      <c r="AZ42" s="9" t="n">
        <f aca="false">PERCENTILE(AO42:AX42,0.9)</f>
        <v>78.4272</v>
      </c>
      <c r="BA42" s="9" t="n">
        <f aca="false">N10/AZ42</f>
        <v>0.822019656445723</v>
      </c>
      <c r="BB42" s="9" t="n">
        <f aca="false">BA42/8</f>
        <v>0.102752457055715</v>
      </c>
    </row>
    <row r="43" customFormat="false" ht="13.8" hidden="false" customHeight="false" outlineLevel="0" collapsed="false">
      <c r="A43" s="4" t="s">
        <v>20</v>
      </c>
      <c r="B43" s="4" t="s">
        <v>15</v>
      </c>
      <c r="C43" s="1" t="n">
        <v>3660</v>
      </c>
      <c r="D43" s="1" t="n">
        <v>2820</v>
      </c>
      <c r="E43" s="1" t="n">
        <v>2830</v>
      </c>
      <c r="F43" s="1" t="n">
        <v>2850</v>
      </c>
      <c r="G43" s="1" t="n">
        <v>2840</v>
      </c>
      <c r="H43" s="1" t="n">
        <v>3630</v>
      </c>
      <c r="I43" s="1" t="n">
        <v>2830</v>
      </c>
      <c r="J43" s="1" t="n">
        <v>2820</v>
      </c>
      <c r="K43" s="1" t="n">
        <v>2830</v>
      </c>
      <c r="L43" s="1" t="n">
        <v>3190</v>
      </c>
      <c r="M43" s="8"/>
      <c r="N43" s="9" t="n">
        <f aca="false">PERCENTILE(C43:L43,0.9)</f>
        <v>3633</v>
      </c>
      <c r="O43" s="9"/>
      <c r="P43" s="9"/>
      <c r="Q43" s="3"/>
      <c r="R43" s="3"/>
      <c r="S43" s="3"/>
      <c r="T43" s="4" t="s">
        <v>20</v>
      </c>
      <c r="U43" s="4" t="s">
        <v>15</v>
      </c>
      <c r="V43" s="1" t="n">
        <v>40800</v>
      </c>
      <c r="W43" s="1" t="n">
        <v>33860</v>
      </c>
      <c r="X43" s="1" t="n">
        <v>44860</v>
      </c>
      <c r="Y43" s="1" t="n">
        <v>30340</v>
      </c>
      <c r="Z43" s="1" t="n">
        <v>35280</v>
      </c>
      <c r="AA43" s="1" t="n">
        <v>35350</v>
      </c>
      <c r="AB43" s="1" t="n">
        <v>35270</v>
      </c>
      <c r="AC43" s="1" t="n">
        <v>35730</v>
      </c>
      <c r="AD43" s="1" t="n">
        <v>35690</v>
      </c>
      <c r="AE43" s="1" t="n">
        <v>34420</v>
      </c>
      <c r="AF43" s="8"/>
      <c r="AG43" s="9" t="n">
        <f aca="false">PERCENTILE(V43:AE43,0.9)</f>
        <v>41206</v>
      </c>
      <c r="AH43" s="9"/>
      <c r="AI43" s="9"/>
      <c r="AJ43" s="3"/>
      <c r="AK43" s="3"/>
      <c r="AL43" s="3"/>
      <c r="AM43" s="4" t="s">
        <v>20</v>
      </c>
      <c r="AN43" s="4" t="s">
        <v>15</v>
      </c>
      <c r="AO43" s="1" t="n">
        <v>28110</v>
      </c>
      <c r="AP43" s="1" t="n">
        <v>17730</v>
      </c>
      <c r="AQ43" s="1" t="n">
        <v>27280</v>
      </c>
      <c r="AR43" s="1" t="n">
        <v>23450</v>
      </c>
      <c r="AS43" s="1" t="n">
        <v>24800</v>
      </c>
      <c r="AT43" s="1" t="n">
        <v>23060</v>
      </c>
      <c r="AU43" s="1" t="n">
        <v>29400</v>
      </c>
      <c r="AV43" s="1" t="n">
        <v>20650</v>
      </c>
      <c r="AW43" s="1" t="n">
        <v>94260</v>
      </c>
      <c r="AX43" s="1" t="n">
        <v>55600</v>
      </c>
      <c r="AY43" s="8"/>
      <c r="AZ43" s="9" t="n">
        <f aca="false">PERCENTILE(AO43:AX43,0.9)</f>
        <v>59466</v>
      </c>
      <c r="BA43" s="9"/>
      <c r="BB43" s="9"/>
    </row>
    <row r="44" customFormat="false" ht="13.8" hidden="false" customHeight="false" outlineLevel="0" collapsed="false">
      <c r="A44" s="4"/>
      <c r="B44" s="4" t="s">
        <v>16</v>
      </c>
      <c r="C44" s="1" t="n">
        <v>466.598</v>
      </c>
      <c r="D44" s="1" t="n">
        <v>391.003</v>
      </c>
      <c r="E44" s="1" t="n">
        <v>390.656</v>
      </c>
      <c r="F44" s="1" t="n">
        <v>391.992</v>
      </c>
      <c r="G44" s="1" t="n">
        <v>392.102</v>
      </c>
      <c r="H44" s="1" t="n">
        <v>461.876</v>
      </c>
      <c r="I44" s="1" t="n">
        <v>391.163</v>
      </c>
      <c r="J44" s="1" t="n">
        <v>391.264</v>
      </c>
      <c r="K44" s="1" t="n">
        <v>391.172</v>
      </c>
      <c r="L44" s="1" t="n">
        <v>439.941</v>
      </c>
      <c r="M44" s="8"/>
      <c r="N44" s="9" t="n">
        <f aca="false">PERCENTILE(C44:L44,0.9)</f>
        <v>462.3482</v>
      </c>
      <c r="O44" s="9" t="n">
        <f aca="false">N12/N44</f>
        <v>3.99841634508364</v>
      </c>
      <c r="P44" s="9" t="n">
        <f aca="false">O44/8</f>
        <v>0.499802043135455</v>
      </c>
      <c r="Q44" s="3"/>
      <c r="R44" s="3"/>
      <c r="S44" s="3"/>
      <c r="T44" s="4"/>
      <c r="U44" s="4" t="s">
        <v>16</v>
      </c>
      <c r="V44" s="1" t="n">
        <v>5233.24</v>
      </c>
      <c r="W44" s="1" t="n">
        <v>4252.426</v>
      </c>
      <c r="X44" s="1" t="n">
        <v>6510.184</v>
      </c>
      <c r="Y44" s="1" t="n">
        <v>3910.162</v>
      </c>
      <c r="Z44" s="1" t="n">
        <v>4420.59</v>
      </c>
      <c r="AA44" s="1" t="n">
        <v>4440.839</v>
      </c>
      <c r="AB44" s="1" t="n">
        <v>4430.698</v>
      </c>
      <c r="AC44" s="1" t="n">
        <v>4488.114</v>
      </c>
      <c r="AD44" s="1" t="n">
        <v>4480.684</v>
      </c>
      <c r="AE44" s="1" t="n">
        <v>4322.436</v>
      </c>
      <c r="AF44" s="8"/>
      <c r="AG44" s="9" t="n">
        <f aca="false">PERCENTILE(V44:AE44,0.9)</f>
        <v>5360.9344</v>
      </c>
      <c r="AH44" s="9" t="n">
        <f aca="false">N12/AG44</f>
        <v>0.344839250411272</v>
      </c>
      <c r="AI44" s="9" t="n">
        <f aca="false">AH44/8</f>
        <v>0.043104906301409</v>
      </c>
      <c r="AJ44" s="3"/>
      <c r="AK44" s="3"/>
      <c r="AL44" s="3"/>
      <c r="AM44" s="4"/>
      <c r="AN44" s="4" t="s">
        <v>16</v>
      </c>
      <c r="AO44" s="1" t="n">
        <v>3549.218</v>
      </c>
      <c r="AP44" s="1" t="n">
        <v>2367.393</v>
      </c>
      <c r="AQ44" s="1" t="n">
        <v>3696.341</v>
      </c>
      <c r="AR44" s="1" t="n">
        <v>3029.196</v>
      </c>
      <c r="AS44" s="1" t="n">
        <v>3183.944</v>
      </c>
      <c r="AT44" s="1" t="n">
        <v>3099.597</v>
      </c>
      <c r="AU44" s="1" t="n">
        <v>4079.037</v>
      </c>
      <c r="AV44" s="1" t="n">
        <v>2754.894</v>
      </c>
      <c r="AW44" s="1" t="n">
        <v>12574.075</v>
      </c>
      <c r="AX44" s="1" t="n">
        <v>7220.296</v>
      </c>
      <c r="AY44" s="8"/>
      <c r="AZ44" s="9" t="n">
        <f aca="false">PERCENTILE(AO44:AX44,0.9)</f>
        <v>7755.6739</v>
      </c>
      <c r="BA44" s="9" t="n">
        <f aca="false">N12/AZ44</f>
        <v>0.238362342697261</v>
      </c>
      <c r="BB44" s="9" t="n">
        <f aca="false">BA44/8</f>
        <v>0.0297952928371576</v>
      </c>
    </row>
    <row r="45" customFormat="false" ht="12.8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0"/>
      <c r="O45" s="10"/>
      <c r="P45" s="10"/>
      <c r="Q45" s="3"/>
      <c r="R45" s="3"/>
      <c r="S45" s="3"/>
      <c r="T45" s="3"/>
      <c r="U45" s="3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3"/>
      <c r="AG45" s="3"/>
      <c r="AH45" s="3"/>
      <c r="AI45" s="3"/>
      <c r="AJ45" s="3"/>
      <c r="AK45" s="3"/>
      <c r="AL45" s="3"/>
      <c r="AM45" s="3"/>
      <c r="AN45" s="3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3"/>
      <c r="AZ45" s="3"/>
      <c r="BA45" s="3"/>
      <c r="BB45" s="3"/>
    </row>
    <row r="46" customFormat="false" ht="12.8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10"/>
      <c r="O46" s="10"/>
      <c r="P46" s="10"/>
      <c r="Q46" s="3"/>
      <c r="R46" s="3"/>
      <c r="S46" s="3"/>
      <c r="T46" s="3"/>
      <c r="U46" s="3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3"/>
      <c r="AG46" s="3"/>
      <c r="AH46" s="3"/>
      <c r="AI46" s="3"/>
      <c r="AJ46" s="3"/>
      <c r="AK46" s="3"/>
      <c r="AL46" s="3"/>
      <c r="AM46" s="3"/>
      <c r="AN46" s="3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3"/>
      <c r="AZ46" s="3"/>
      <c r="BA46" s="3"/>
      <c r="BB46" s="3"/>
    </row>
    <row r="47" customFormat="false" ht="12.8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10"/>
      <c r="O47" s="10"/>
      <c r="P47" s="10"/>
      <c r="Q47" s="3"/>
      <c r="R47" s="3"/>
      <c r="S47" s="3"/>
      <c r="T47" s="3"/>
      <c r="U47" s="3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3"/>
      <c r="AG47" s="3"/>
      <c r="AH47" s="3"/>
      <c r="AI47" s="3"/>
      <c r="AJ47" s="3"/>
      <c r="AK47" s="3"/>
      <c r="AL47" s="3"/>
      <c r="AM47" s="3"/>
      <c r="AN47" s="3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3"/>
      <c r="AZ47" s="3"/>
      <c r="BA47" s="3"/>
      <c r="BB47" s="3"/>
    </row>
    <row r="48" customFormat="false" ht="12.8" hidden="false" customHeight="false" outlineLevel="0" collapsed="false">
      <c r="A48" s="15" t="s">
        <v>31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3"/>
      <c r="R48" s="3"/>
      <c r="S48" s="3"/>
      <c r="T48" s="16" t="s">
        <v>32</v>
      </c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3"/>
      <c r="AK48" s="3"/>
      <c r="AL48" s="3"/>
      <c r="AM48" s="17" t="s">
        <v>33</v>
      </c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</row>
    <row r="49" customFormat="false" ht="13.8" hidden="false" customHeight="false" outlineLevel="0" collapsed="false">
      <c r="A49" s="4" t="s">
        <v>1</v>
      </c>
      <c r="B49" s="4" t="s">
        <v>2</v>
      </c>
      <c r="C49" s="4" t="s">
        <v>3</v>
      </c>
      <c r="D49" s="4" t="s">
        <v>4</v>
      </c>
      <c r="E49" s="4" t="s">
        <v>5</v>
      </c>
      <c r="F49" s="4" t="s">
        <v>6</v>
      </c>
      <c r="G49" s="4" t="s">
        <v>7</v>
      </c>
      <c r="H49" s="4" t="s">
        <v>8</v>
      </c>
      <c r="I49" s="4" t="s">
        <v>9</v>
      </c>
      <c r="J49" s="4" t="s">
        <v>10</v>
      </c>
      <c r="K49" s="4" t="s">
        <v>11</v>
      </c>
      <c r="L49" s="4" t="s">
        <v>12</v>
      </c>
      <c r="M49" s="5"/>
      <c r="N49" s="6" t="s">
        <v>13</v>
      </c>
      <c r="O49" s="6" t="s">
        <v>26</v>
      </c>
      <c r="P49" s="6" t="s">
        <v>27</v>
      </c>
      <c r="Q49" s="3"/>
      <c r="R49" s="3"/>
      <c r="S49" s="3"/>
      <c r="T49" s="4" t="s">
        <v>1</v>
      </c>
      <c r="U49" s="4" t="s">
        <v>2</v>
      </c>
      <c r="V49" s="4" t="s">
        <v>3</v>
      </c>
      <c r="W49" s="4" t="s">
        <v>4</v>
      </c>
      <c r="X49" s="4" t="s">
        <v>5</v>
      </c>
      <c r="Y49" s="4" t="s">
        <v>6</v>
      </c>
      <c r="Z49" s="4" t="s">
        <v>7</v>
      </c>
      <c r="AA49" s="4" t="s">
        <v>8</v>
      </c>
      <c r="AB49" s="4" t="s">
        <v>9</v>
      </c>
      <c r="AC49" s="4" t="s">
        <v>10</v>
      </c>
      <c r="AD49" s="4" t="s">
        <v>11</v>
      </c>
      <c r="AE49" s="4" t="s">
        <v>12</v>
      </c>
      <c r="AF49" s="5"/>
      <c r="AG49" s="6" t="s">
        <v>13</v>
      </c>
      <c r="AH49" s="6" t="s">
        <v>26</v>
      </c>
      <c r="AI49" s="6" t="s">
        <v>27</v>
      </c>
      <c r="AJ49" s="3"/>
      <c r="AK49" s="3"/>
      <c r="AL49" s="3"/>
      <c r="AM49" s="4" t="s">
        <v>1</v>
      </c>
      <c r="AN49" s="4" t="s">
        <v>2</v>
      </c>
      <c r="AO49" s="4" t="s">
        <v>3</v>
      </c>
      <c r="AP49" s="4" t="s">
        <v>4</v>
      </c>
      <c r="AQ49" s="4" t="s">
        <v>5</v>
      </c>
      <c r="AR49" s="4" t="s">
        <v>6</v>
      </c>
      <c r="AS49" s="4" t="s">
        <v>7</v>
      </c>
      <c r="AT49" s="4" t="s">
        <v>8</v>
      </c>
      <c r="AU49" s="4" t="s">
        <v>9</v>
      </c>
      <c r="AV49" s="4" t="s">
        <v>10</v>
      </c>
      <c r="AW49" s="4" t="s">
        <v>11</v>
      </c>
      <c r="AX49" s="4" t="s">
        <v>12</v>
      </c>
      <c r="AY49" s="5"/>
      <c r="AZ49" s="6" t="s">
        <v>13</v>
      </c>
      <c r="BA49" s="6" t="s">
        <v>26</v>
      </c>
      <c r="BB49" s="6" t="s">
        <v>27</v>
      </c>
    </row>
    <row r="50" customFormat="false" ht="13.8" hidden="false" customHeight="false" outlineLevel="0" collapsed="false">
      <c r="A50" s="4" t="s">
        <v>14</v>
      </c>
      <c r="B50" s="4" t="s">
        <v>15</v>
      </c>
      <c r="C50" s="1" t="n">
        <v>880</v>
      </c>
      <c r="D50" s="1" t="n">
        <v>740</v>
      </c>
      <c r="E50" s="1" t="n">
        <v>870</v>
      </c>
      <c r="F50" s="1" t="n">
        <v>780</v>
      </c>
      <c r="G50" s="1" t="n">
        <v>890</v>
      </c>
      <c r="H50" s="1" t="n">
        <v>880</v>
      </c>
      <c r="I50" s="1" t="n">
        <v>830</v>
      </c>
      <c r="J50" s="1" t="n">
        <v>930</v>
      </c>
      <c r="K50" s="1" t="n">
        <v>890</v>
      </c>
      <c r="L50" s="1" t="n">
        <v>930</v>
      </c>
      <c r="M50" s="8"/>
      <c r="N50" s="9" t="n">
        <f aca="false">PERCENTILE(C50:L50,0.9)</f>
        <v>930</v>
      </c>
      <c r="O50" s="9"/>
      <c r="P50" s="9"/>
      <c r="Q50" s="3"/>
      <c r="R50" s="3"/>
      <c r="S50" s="3"/>
      <c r="T50" s="4" t="s">
        <v>14</v>
      </c>
      <c r="U50" s="4" t="s">
        <v>15</v>
      </c>
      <c r="V50" s="1" t="n">
        <v>3240</v>
      </c>
      <c r="W50" s="1" t="n">
        <v>3250</v>
      </c>
      <c r="X50" s="1" t="n">
        <v>3280</v>
      </c>
      <c r="Y50" s="1" t="n">
        <v>3210</v>
      </c>
      <c r="Z50" s="1" t="n">
        <v>3350</v>
      </c>
      <c r="AA50" s="1" t="n">
        <v>3270</v>
      </c>
      <c r="AB50" s="1" t="n">
        <v>3260</v>
      </c>
      <c r="AC50" s="1" t="n">
        <v>3350</v>
      </c>
      <c r="AD50" s="1" t="n">
        <v>3240</v>
      </c>
      <c r="AE50" s="1" t="n">
        <v>3270</v>
      </c>
      <c r="AF50" s="8"/>
      <c r="AG50" s="9" t="n">
        <f aca="false">PERCENTILE(V50:AE50,0.9)</f>
        <v>3350</v>
      </c>
      <c r="AH50" s="9"/>
      <c r="AI50" s="9"/>
      <c r="AJ50" s="3"/>
      <c r="AK50" s="3"/>
      <c r="AL50" s="3"/>
      <c r="AM50" s="4" t="s">
        <v>14</v>
      </c>
      <c r="AN50" s="4" t="s">
        <v>15</v>
      </c>
      <c r="AO50" s="1" t="n">
        <v>2910</v>
      </c>
      <c r="AP50" s="1" t="n">
        <v>3110</v>
      </c>
      <c r="AQ50" s="1" t="n">
        <v>3090</v>
      </c>
      <c r="AR50" s="1" t="n">
        <v>3150</v>
      </c>
      <c r="AS50" s="1" t="n">
        <v>3100</v>
      </c>
      <c r="AT50" s="1" t="n">
        <v>3100</v>
      </c>
      <c r="AU50" s="1" t="n">
        <v>3120</v>
      </c>
      <c r="AV50" s="1" t="n">
        <v>3140</v>
      </c>
      <c r="AW50" s="1" t="n">
        <v>2870</v>
      </c>
      <c r="AX50" s="1" t="n">
        <v>3050</v>
      </c>
      <c r="AY50" s="8"/>
      <c r="AZ50" s="9" t="n">
        <f aca="false">PERCENTILE(AO50:AX50,0.9)</f>
        <v>3141</v>
      </c>
      <c r="BA50" s="9"/>
      <c r="BB50" s="9"/>
    </row>
    <row r="51" customFormat="false" ht="13.8" hidden="false" customHeight="false" outlineLevel="0" collapsed="false">
      <c r="A51" s="4"/>
      <c r="B51" s="4" t="s">
        <v>16</v>
      </c>
      <c r="C51" s="1" t="n">
        <v>60.258</v>
      </c>
      <c r="D51" s="1" t="n">
        <v>50.04</v>
      </c>
      <c r="E51" s="1" t="n">
        <v>59.812</v>
      </c>
      <c r="F51" s="1" t="n">
        <v>52.349</v>
      </c>
      <c r="G51" s="1" t="n">
        <v>59.793</v>
      </c>
      <c r="H51" s="1" t="n">
        <v>59.222</v>
      </c>
      <c r="I51" s="1" t="n">
        <v>55.301</v>
      </c>
      <c r="J51" s="1" t="n">
        <v>66.137</v>
      </c>
      <c r="K51" s="1" t="n">
        <v>59.124</v>
      </c>
      <c r="L51" s="1" t="n">
        <v>66.143</v>
      </c>
      <c r="M51" s="8"/>
      <c r="N51" s="9" t="n">
        <f aca="false">PERCENTILE(C51:L51,0.9)</f>
        <v>66.1376</v>
      </c>
      <c r="O51" s="9" t="n">
        <f aca="false">N4/N51</f>
        <v>5.06801274917747</v>
      </c>
      <c r="P51" s="9" t="n">
        <f aca="false">O51/16</f>
        <v>0.316750796823592</v>
      </c>
      <c r="Q51" s="3"/>
      <c r="R51" s="3"/>
      <c r="S51" s="3"/>
      <c r="T51" s="4"/>
      <c r="U51" s="4" t="s">
        <v>16</v>
      </c>
      <c r="V51" s="1" t="n">
        <v>233.016</v>
      </c>
      <c r="W51" s="1" t="n">
        <v>203.631</v>
      </c>
      <c r="X51" s="1" t="n">
        <v>205.86</v>
      </c>
      <c r="Y51" s="1" t="n">
        <v>201.053</v>
      </c>
      <c r="Z51" s="1" t="n">
        <v>210.609</v>
      </c>
      <c r="AA51" s="1" t="n">
        <v>205.564</v>
      </c>
      <c r="AB51" s="1" t="n">
        <v>204.63</v>
      </c>
      <c r="AC51" s="1" t="n">
        <v>209.428</v>
      </c>
      <c r="AD51" s="1" t="n">
        <v>203.284</v>
      </c>
      <c r="AE51" s="1" t="n">
        <v>204.68</v>
      </c>
      <c r="AF51" s="8"/>
      <c r="AG51" s="9" t="n">
        <f aca="false">PERCENTILE(V51:AE51,0.9)</f>
        <v>212.8497</v>
      </c>
      <c r="AH51" s="9" t="n">
        <f aca="false">N4/AG51</f>
        <v>1.57475533204886</v>
      </c>
      <c r="AI51" s="9" t="n">
        <f aca="false">AH51/16</f>
        <v>0.0984222082530537</v>
      </c>
      <c r="AJ51" s="3"/>
      <c r="AK51" s="3"/>
      <c r="AL51" s="3"/>
      <c r="AM51" s="4"/>
      <c r="AN51" s="4" t="s">
        <v>16</v>
      </c>
      <c r="AO51" s="1" t="n">
        <v>182.381</v>
      </c>
      <c r="AP51" s="1" t="n">
        <v>194.802</v>
      </c>
      <c r="AQ51" s="1" t="n">
        <v>193.575</v>
      </c>
      <c r="AR51" s="1" t="n">
        <v>198.081</v>
      </c>
      <c r="AS51" s="1" t="n">
        <v>194.841</v>
      </c>
      <c r="AT51" s="1" t="n">
        <v>194.982</v>
      </c>
      <c r="AU51" s="1" t="n">
        <v>195.514</v>
      </c>
      <c r="AV51" s="1" t="n">
        <v>196.857</v>
      </c>
      <c r="AW51" s="1" t="n">
        <v>179.805</v>
      </c>
      <c r="AX51" s="1" t="n">
        <v>191.55</v>
      </c>
      <c r="AY51" s="8"/>
      <c r="AZ51" s="9" t="n">
        <f aca="false">PERCENTILE(AO51:AX51,0.9)</f>
        <v>196.9794</v>
      </c>
      <c r="BA51" s="9" t="n">
        <f aca="false">N4/AZ51</f>
        <v>1.70163072889855</v>
      </c>
      <c r="BB51" s="9" t="n">
        <f aca="false">BA51/16</f>
        <v>0.10635192055616</v>
      </c>
    </row>
    <row r="52" customFormat="false" ht="13.8" hidden="false" customHeight="false" outlineLevel="0" collapsed="false">
      <c r="A52" s="4" t="s">
        <v>17</v>
      </c>
      <c r="B52" s="4" t="s">
        <v>15</v>
      </c>
      <c r="C52" s="1" t="n">
        <v>310</v>
      </c>
      <c r="D52" s="1" t="n">
        <v>340</v>
      </c>
      <c r="E52" s="1" t="n">
        <v>320</v>
      </c>
      <c r="F52" s="1" t="n">
        <v>310</v>
      </c>
      <c r="G52" s="1" t="n">
        <v>340</v>
      </c>
      <c r="H52" s="1" t="n">
        <v>310</v>
      </c>
      <c r="I52" s="1" t="n">
        <v>310</v>
      </c>
      <c r="J52" s="1" t="n">
        <v>280</v>
      </c>
      <c r="K52" s="1" t="n">
        <v>260</v>
      </c>
      <c r="L52" s="1" t="n">
        <v>340</v>
      </c>
      <c r="M52" s="8"/>
      <c r="N52" s="9" t="n">
        <f aca="false">PERCENTILE(C52:L52,0.9)</f>
        <v>340</v>
      </c>
      <c r="O52" s="9"/>
      <c r="P52" s="9"/>
      <c r="Q52" s="3"/>
      <c r="R52" s="3"/>
      <c r="S52" s="3"/>
      <c r="T52" s="4" t="s">
        <v>17</v>
      </c>
      <c r="U52" s="4" t="s">
        <v>15</v>
      </c>
      <c r="V52" s="1" t="n">
        <v>1560</v>
      </c>
      <c r="W52" s="1" t="n">
        <v>1500</v>
      </c>
      <c r="X52" s="1" t="n">
        <v>1540</v>
      </c>
      <c r="Y52" s="1" t="n">
        <v>1530</v>
      </c>
      <c r="Z52" s="1" t="n">
        <v>1500</v>
      </c>
      <c r="AA52" s="1" t="n">
        <v>1550</v>
      </c>
      <c r="AB52" s="1" t="n">
        <v>1570</v>
      </c>
      <c r="AC52" s="1" t="n">
        <v>1550</v>
      </c>
      <c r="AD52" s="1" t="n">
        <v>1530</v>
      </c>
      <c r="AE52" s="1" t="n">
        <v>1560</v>
      </c>
      <c r="AF52" s="8"/>
      <c r="AG52" s="9" t="n">
        <f aca="false">PERCENTILE(V52:AE52,0.9)</f>
        <v>1561</v>
      </c>
      <c r="AH52" s="9"/>
      <c r="AI52" s="9"/>
      <c r="AJ52" s="3"/>
      <c r="AK52" s="3"/>
      <c r="AL52" s="3"/>
      <c r="AM52" s="4" t="s">
        <v>17</v>
      </c>
      <c r="AN52" s="4" t="s">
        <v>15</v>
      </c>
      <c r="AO52" s="1" t="n">
        <v>1460</v>
      </c>
      <c r="AP52" s="1" t="n">
        <v>1480</v>
      </c>
      <c r="AQ52" s="1" t="n">
        <v>1470</v>
      </c>
      <c r="AR52" s="1" t="n">
        <v>1460</v>
      </c>
      <c r="AS52" s="1" t="n">
        <v>7540</v>
      </c>
      <c r="AT52" s="1" t="n">
        <v>1360</v>
      </c>
      <c r="AU52" s="1" t="n">
        <v>1480</v>
      </c>
      <c r="AV52" s="1" t="n">
        <v>1420</v>
      </c>
      <c r="AW52" s="1" t="n">
        <v>1460</v>
      </c>
      <c r="AX52" s="1" t="n">
        <v>1480</v>
      </c>
      <c r="AY52" s="8"/>
      <c r="AZ52" s="9" t="n">
        <f aca="false">PERCENTILE(AO52:AX52,0.9)</f>
        <v>2086</v>
      </c>
      <c r="BA52" s="9"/>
      <c r="BB52" s="9"/>
    </row>
    <row r="53" customFormat="false" ht="13.8" hidden="false" customHeight="false" outlineLevel="0" collapsed="false">
      <c r="A53" s="4"/>
      <c r="B53" s="4" t="s">
        <v>16</v>
      </c>
      <c r="C53" s="1" t="n">
        <v>21.3</v>
      </c>
      <c r="D53" s="1" t="n">
        <v>24.444</v>
      </c>
      <c r="E53" s="1" t="n">
        <v>21.4</v>
      </c>
      <c r="F53" s="1" t="n">
        <v>21.153</v>
      </c>
      <c r="G53" s="1" t="n">
        <v>24.858</v>
      </c>
      <c r="H53" s="1" t="n">
        <v>21.282</v>
      </c>
      <c r="I53" s="1" t="n">
        <v>21.377</v>
      </c>
      <c r="J53" s="1" t="n">
        <v>18.673</v>
      </c>
      <c r="K53" s="1" t="n">
        <v>17.779</v>
      </c>
      <c r="L53" s="1" t="n">
        <v>24.495</v>
      </c>
      <c r="M53" s="8"/>
      <c r="N53" s="9" t="n">
        <f aca="false">PERCENTILE(C53:L53,0.9)</f>
        <v>24.5313</v>
      </c>
      <c r="O53" s="9" t="n">
        <f aca="false">N6/N53</f>
        <v>4.24650548482959</v>
      </c>
      <c r="P53" s="9" t="n">
        <f aca="false">O53/16</f>
        <v>0.265406592801849</v>
      </c>
      <c r="Q53" s="3"/>
      <c r="R53" s="3"/>
      <c r="S53" s="3"/>
      <c r="T53" s="4"/>
      <c r="U53" s="4" t="s">
        <v>16</v>
      </c>
      <c r="V53" s="1" t="n">
        <v>98.562</v>
      </c>
      <c r="W53" s="1" t="n">
        <v>94.404</v>
      </c>
      <c r="X53" s="1" t="n">
        <v>96.958</v>
      </c>
      <c r="Y53" s="1" t="n">
        <v>96.559</v>
      </c>
      <c r="Z53" s="1" t="n">
        <v>94.612</v>
      </c>
      <c r="AA53" s="1" t="n">
        <v>97.759</v>
      </c>
      <c r="AB53" s="1" t="n">
        <v>98.091</v>
      </c>
      <c r="AC53" s="1" t="n">
        <v>96.772</v>
      </c>
      <c r="AD53" s="1" t="n">
        <v>96.597</v>
      </c>
      <c r="AE53" s="1" t="n">
        <v>98.358</v>
      </c>
      <c r="AF53" s="8"/>
      <c r="AG53" s="9" t="n">
        <f aca="false">PERCENTILE(V53:AE53,0.9)</f>
        <v>98.3784</v>
      </c>
      <c r="AH53" s="9" t="n">
        <f aca="false">N6/AG53</f>
        <v>1.0588940255178</v>
      </c>
      <c r="AI53" s="9" t="n">
        <f aca="false">AH53/16</f>
        <v>0.0661808765948623</v>
      </c>
      <c r="AJ53" s="3"/>
      <c r="AK53" s="3"/>
      <c r="AL53" s="3"/>
      <c r="AM53" s="4"/>
      <c r="AN53" s="4" t="s">
        <v>16</v>
      </c>
      <c r="AO53" s="1" t="n">
        <v>92.22</v>
      </c>
      <c r="AP53" s="1" t="n">
        <v>93.115</v>
      </c>
      <c r="AQ53" s="1" t="n">
        <v>92.54</v>
      </c>
      <c r="AR53" s="1" t="n">
        <v>91.753</v>
      </c>
      <c r="AS53" s="1" t="n">
        <v>476.968</v>
      </c>
      <c r="AT53" s="1" t="n">
        <v>85.845</v>
      </c>
      <c r="AU53" s="1" t="n">
        <v>93.407</v>
      </c>
      <c r="AV53" s="1" t="n">
        <v>89.789</v>
      </c>
      <c r="AW53" s="1" t="n">
        <v>91.657</v>
      </c>
      <c r="AX53" s="1" t="n">
        <v>93.074</v>
      </c>
      <c r="AY53" s="8"/>
      <c r="AZ53" s="9" t="n">
        <f aca="false">PERCENTILE(AO53:AX53,0.9)</f>
        <v>131.7631</v>
      </c>
      <c r="BA53" s="9" t="n">
        <f aca="false">N6/AZ53</f>
        <v>0.79060298368815</v>
      </c>
      <c r="BB53" s="9" t="n">
        <f aca="false">BA53/16</f>
        <v>0.0494126864805094</v>
      </c>
    </row>
    <row r="54" customFormat="false" ht="13.8" hidden="false" customHeight="false" outlineLevel="0" collapsed="false">
      <c r="A54" s="4" t="s">
        <v>18</v>
      </c>
      <c r="B54" s="4" t="s">
        <v>15</v>
      </c>
      <c r="C54" s="1" t="n">
        <v>80</v>
      </c>
      <c r="D54" s="1" t="n">
        <v>100</v>
      </c>
      <c r="E54" s="1" t="n">
        <v>90</v>
      </c>
      <c r="F54" s="1" t="n">
        <v>100</v>
      </c>
      <c r="G54" s="1" t="n">
        <v>90</v>
      </c>
      <c r="H54" s="1" t="n">
        <v>90</v>
      </c>
      <c r="I54" s="1" t="n">
        <v>90</v>
      </c>
      <c r="J54" s="1" t="n">
        <v>90</v>
      </c>
      <c r="K54" s="1" t="n">
        <v>90</v>
      </c>
      <c r="L54" s="1" t="n">
        <v>90</v>
      </c>
      <c r="M54" s="8"/>
      <c r="N54" s="9" t="n">
        <f aca="false">PERCENTILE(C54:L54,0.9)</f>
        <v>100</v>
      </c>
      <c r="O54" s="9"/>
      <c r="P54" s="9"/>
      <c r="Q54" s="3"/>
      <c r="R54" s="3"/>
      <c r="S54" s="3"/>
      <c r="T54" s="4" t="s">
        <v>18</v>
      </c>
      <c r="U54" s="4" t="s">
        <v>15</v>
      </c>
      <c r="V54" s="1" t="n">
        <v>490</v>
      </c>
      <c r="W54" s="1" t="n">
        <v>2530</v>
      </c>
      <c r="X54" s="1" t="n">
        <v>930</v>
      </c>
      <c r="Y54" s="1" t="n">
        <v>2110</v>
      </c>
      <c r="Z54" s="1" t="n">
        <v>310</v>
      </c>
      <c r="AA54" s="1" t="n">
        <v>330</v>
      </c>
      <c r="AB54" s="1" t="n">
        <v>310</v>
      </c>
      <c r="AC54" s="1" t="n">
        <v>290</v>
      </c>
      <c r="AD54" s="1" t="n">
        <v>350</v>
      </c>
      <c r="AE54" s="1" t="n">
        <v>310</v>
      </c>
      <c r="AF54" s="8"/>
      <c r="AG54" s="9" t="n">
        <f aca="false">PERCENTILE(V54:AE54,0.9)</f>
        <v>2152</v>
      </c>
      <c r="AH54" s="9"/>
      <c r="AI54" s="9"/>
      <c r="AJ54" s="3"/>
      <c r="AK54" s="3"/>
      <c r="AL54" s="3"/>
      <c r="AM54" s="4" t="s">
        <v>18</v>
      </c>
      <c r="AN54" s="4" t="s">
        <v>15</v>
      </c>
      <c r="AO54" s="1" t="n">
        <v>330</v>
      </c>
      <c r="AP54" s="1" t="n">
        <v>310</v>
      </c>
      <c r="AQ54" s="1" t="n">
        <v>320</v>
      </c>
      <c r="AR54" s="1" t="n">
        <v>320</v>
      </c>
      <c r="AS54" s="1" t="n">
        <v>310</v>
      </c>
      <c r="AT54" s="1" t="n">
        <v>310</v>
      </c>
      <c r="AU54" s="1" t="n">
        <v>320</v>
      </c>
      <c r="AV54" s="1" t="n">
        <v>320</v>
      </c>
      <c r="AW54" s="1" t="n">
        <v>320</v>
      </c>
      <c r="AX54" s="1" t="n">
        <v>320</v>
      </c>
      <c r="AY54" s="8"/>
      <c r="AZ54" s="9" t="n">
        <f aca="false">PERCENTILE(AO54:AX54,0.9)</f>
        <v>321</v>
      </c>
      <c r="BA54" s="9"/>
      <c r="BB54" s="9"/>
    </row>
    <row r="55" customFormat="false" ht="13.8" hidden="false" customHeight="false" outlineLevel="0" collapsed="false">
      <c r="A55" s="4"/>
      <c r="B55" s="4" t="s">
        <v>16</v>
      </c>
      <c r="C55" s="1" t="n">
        <v>5.326</v>
      </c>
      <c r="D55" s="1" t="n">
        <v>7.051</v>
      </c>
      <c r="E55" s="1" t="n">
        <v>5.93</v>
      </c>
      <c r="F55" s="1" t="n">
        <v>7.046</v>
      </c>
      <c r="G55" s="1" t="n">
        <v>5.935</v>
      </c>
      <c r="H55" s="1" t="n">
        <v>5.87</v>
      </c>
      <c r="I55" s="1" t="n">
        <v>6.081</v>
      </c>
      <c r="J55" s="1" t="n">
        <v>5.596</v>
      </c>
      <c r="K55" s="1" t="n">
        <v>5.395</v>
      </c>
      <c r="L55" s="1" t="n">
        <v>5.923</v>
      </c>
      <c r="M55" s="8"/>
      <c r="N55" s="9" t="n">
        <f aca="false">PERCENTILE(C55:L55,0.9)</f>
        <v>7.0465</v>
      </c>
      <c r="O55" s="9" t="n">
        <f aca="false">N8/N55</f>
        <v>4.53137018377918</v>
      </c>
      <c r="P55" s="9" t="n">
        <f aca="false">O55/16</f>
        <v>0.283210636486199</v>
      </c>
      <c r="Q55" s="3"/>
      <c r="R55" s="3"/>
      <c r="S55" s="3"/>
      <c r="T55" s="4"/>
      <c r="U55" s="4" t="s">
        <v>16</v>
      </c>
      <c r="V55" s="1" t="n">
        <v>32.803</v>
      </c>
      <c r="W55" s="1" t="n">
        <v>163.518</v>
      </c>
      <c r="X55" s="1" t="n">
        <v>59.752</v>
      </c>
      <c r="Y55" s="1" t="n">
        <v>136.513</v>
      </c>
      <c r="Z55" s="1" t="n">
        <v>20.108</v>
      </c>
      <c r="AA55" s="1" t="n">
        <v>21.196</v>
      </c>
      <c r="AB55" s="1" t="n">
        <v>19.886</v>
      </c>
      <c r="AC55" s="1" t="n">
        <v>18.631</v>
      </c>
      <c r="AD55" s="1" t="n">
        <v>22.259</v>
      </c>
      <c r="AE55" s="1" t="n">
        <v>19.473</v>
      </c>
      <c r="AF55" s="8"/>
      <c r="AG55" s="9" t="n">
        <f aca="false">PERCENTILE(V55:AE55,0.9)</f>
        <v>139.2135</v>
      </c>
      <c r="AH55" s="9" t="n">
        <f aca="false">N8/AG55</f>
        <v>0.229362094911772</v>
      </c>
      <c r="AI55" s="9" t="n">
        <f aca="false">AH55/16</f>
        <v>0.0143351309319858</v>
      </c>
      <c r="AJ55" s="3"/>
      <c r="AK55" s="3"/>
      <c r="AL55" s="3"/>
      <c r="AM55" s="4"/>
      <c r="AN55" s="4" t="s">
        <v>16</v>
      </c>
      <c r="AO55" s="1" t="n">
        <v>20.207</v>
      </c>
      <c r="AP55" s="1" t="n">
        <v>20.294</v>
      </c>
      <c r="AQ55" s="1" t="n">
        <v>20.128</v>
      </c>
      <c r="AR55" s="1" t="n">
        <v>20.257</v>
      </c>
      <c r="AS55" s="1" t="n">
        <v>20.185</v>
      </c>
      <c r="AT55" s="1" t="n">
        <v>19.934</v>
      </c>
      <c r="AU55" s="1" t="n">
        <v>20.38</v>
      </c>
      <c r="AV55" s="1" t="n">
        <v>20.155</v>
      </c>
      <c r="AW55" s="1" t="n">
        <v>20.264</v>
      </c>
      <c r="AX55" s="1" t="n">
        <v>20.366</v>
      </c>
      <c r="AY55" s="8"/>
      <c r="AZ55" s="9" t="n">
        <f aca="false">PERCENTILE(AO55:AX55,0.9)</f>
        <v>20.3674</v>
      </c>
      <c r="BA55" s="9" t="n">
        <f aca="false">N8/AZ55</f>
        <v>1.56771605605036</v>
      </c>
      <c r="BB55" s="9" t="n">
        <f aca="false">BA55/16</f>
        <v>0.0979822535031472</v>
      </c>
    </row>
    <row r="56" customFormat="false" ht="13.8" hidden="false" customHeight="false" outlineLevel="0" collapsed="false">
      <c r="A56" s="4" t="s">
        <v>19</v>
      </c>
      <c r="B56" s="4" t="s">
        <v>15</v>
      </c>
      <c r="C56" s="1" t="n">
        <v>160</v>
      </c>
      <c r="D56" s="1" t="n">
        <v>170</v>
      </c>
      <c r="E56" s="1" t="n">
        <v>190</v>
      </c>
      <c r="F56" s="1" t="n">
        <v>170</v>
      </c>
      <c r="G56" s="1" t="n">
        <v>190</v>
      </c>
      <c r="H56" s="1" t="n">
        <v>190</v>
      </c>
      <c r="I56" s="1" t="n">
        <v>170</v>
      </c>
      <c r="J56" s="1" t="n">
        <v>170</v>
      </c>
      <c r="K56" s="1" t="n">
        <v>190</v>
      </c>
      <c r="L56" s="1" t="n">
        <v>170</v>
      </c>
      <c r="M56" s="8"/>
      <c r="N56" s="9" t="n">
        <f aca="false">PERCENTILE(C56:L56,0.9)</f>
        <v>190</v>
      </c>
      <c r="O56" s="9"/>
      <c r="P56" s="9"/>
      <c r="Q56" s="3"/>
      <c r="R56" s="3"/>
      <c r="S56" s="3"/>
      <c r="T56" s="4" t="s">
        <v>19</v>
      </c>
      <c r="U56" s="4" t="s">
        <v>15</v>
      </c>
      <c r="V56" s="1" t="n">
        <v>980</v>
      </c>
      <c r="W56" s="1" t="n">
        <v>870</v>
      </c>
      <c r="X56" s="1" t="n">
        <v>850</v>
      </c>
      <c r="Y56" s="1" t="n">
        <v>860</v>
      </c>
      <c r="Z56" s="1" t="n">
        <v>880</v>
      </c>
      <c r="AA56" s="1" t="n">
        <v>880</v>
      </c>
      <c r="AB56" s="1" t="n">
        <v>900</v>
      </c>
      <c r="AC56" s="1" t="n">
        <v>870</v>
      </c>
      <c r="AD56" s="1" t="n">
        <v>900</v>
      </c>
      <c r="AE56" s="1" t="n">
        <v>890</v>
      </c>
      <c r="AF56" s="8"/>
      <c r="AG56" s="9" t="n">
        <f aca="false">PERCENTILE(V56:AE56,0.9)</f>
        <v>908</v>
      </c>
      <c r="AH56" s="9"/>
      <c r="AI56" s="9"/>
      <c r="AJ56" s="3"/>
      <c r="AK56" s="3"/>
      <c r="AL56" s="3"/>
      <c r="AM56" s="4" t="s">
        <v>19</v>
      </c>
      <c r="AN56" s="4" t="s">
        <v>15</v>
      </c>
      <c r="AO56" s="1" t="n">
        <v>820</v>
      </c>
      <c r="AP56" s="1" t="n">
        <v>820</v>
      </c>
      <c r="AQ56" s="1" t="n">
        <v>820</v>
      </c>
      <c r="AR56" s="1" t="n">
        <v>800</v>
      </c>
      <c r="AS56" s="1" t="n">
        <v>830</v>
      </c>
      <c r="AT56" s="1" t="n">
        <v>850</v>
      </c>
      <c r="AU56" s="1" t="n">
        <v>830</v>
      </c>
      <c r="AV56" s="1" t="n">
        <v>800</v>
      </c>
      <c r="AW56" s="1" t="n">
        <v>830</v>
      </c>
      <c r="AX56" s="1" t="n">
        <v>830</v>
      </c>
      <c r="AY56" s="8"/>
      <c r="AZ56" s="9" t="n">
        <f aca="false">PERCENTILE(AO56:AX56,0.9)</f>
        <v>832</v>
      </c>
      <c r="BA56" s="9"/>
      <c r="BB56" s="9"/>
    </row>
    <row r="57" customFormat="false" ht="13.8" hidden="false" customHeight="false" outlineLevel="0" collapsed="false">
      <c r="A57" s="4"/>
      <c r="B57" s="4" t="s">
        <v>16</v>
      </c>
      <c r="C57" s="1" t="n">
        <v>10.158</v>
      </c>
      <c r="D57" s="1" t="n">
        <v>10.58</v>
      </c>
      <c r="E57" s="1" t="n">
        <v>13.346</v>
      </c>
      <c r="F57" s="1" t="n">
        <v>10.857</v>
      </c>
      <c r="G57" s="1" t="n">
        <v>11.383</v>
      </c>
      <c r="H57" s="1" t="n">
        <v>13.454</v>
      </c>
      <c r="I57" s="1" t="n">
        <v>11.545</v>
      </c>
      <c r="J57" s="1" t="n">
        <v>11.49</v>
      </c>
      <c r="K57" s="1" t="n">
        <v>13.459</v>
      </c>
      <c r="L57" s="1" t="n">
        <v>10.883</v>
      </c>
      <c r="M57" s="8"/>
      <c r="N57" s="9" t="n">
        <f aca="false">PERCENTILE(C57:L57,0.9)</f>
        <v>13.4545</v>
      </c>
      <c r="O57" s="9" t="n">
        <f aca="false">N10/N57</f>
        <v>4.79160875543498</v>
      </c>
      <c r="P57" s="9" t="n">
        <f aca="false">O57/16</f>
        <v>0.299475547214686</v>
      </c>
      <c r="Q57" s="3"/>
      <c r="R57" s="3"/>
      <c r="S57" s="3"/>
      <c r="T57" s="4"/>
      <c r="U57" s="4" t="s">
        <v>16</v>
      </c>
      <c r="V57" s="1" t="n">
        <v>66.008</v>
      </c>
      <c r="W57" s="1" t="n">
        <v>55.233</v>
      </c>
      <c r="X57" s="1" t="n">
        <v>53.856</v>
      </c>
      <c r="Y57" s="1" t="n">
        <v>54.405</v>
      </c>
      <c r="Z57" s="1" t="n">
        <v>55.932</v>
      </c>
      <c r="AA57" s="1" t="n">
        <v>55.529</v>
      </c>
      <c r="AB57" s="1" t="n">
        <v>56.676</v>
      </c>
      <c r="AC57" s="1" t="n">
        <v>54.724</v>
      </c>
      <c r="AD57" s="1" t="n">
        <v>57.259</v>
      </c>
      <c r="AE57" s="1" t="n">
        <v>56.293</v>
      </c>
      <c r="AF57" s="8"/>
      <c r="AG57" s="9" t="n">
        <f aca="false">PERCENTILE(V57:AE57,0.9)</f>
        <v>58.1339</v>
      </c>
      <c r="AH57" s="9" t="n">
        <f aca="false">N10/AG57</f>
        <v>1.10896912128724</v>
      </c>
      <c r="AI57" s="9" t="n">
        <f aca="false">AH57/16</f>
        <v>0.0693105700804522</v>
      </c>
      <c r="AJ57" s="3"/>
      <c r="AK57" s="3"/>
      <c r="AL57" s="3"/>
      <c r="AM57" s="4"/>
      <c r="AN57" s="4" t="s">
        <v>16</v>
      </c>
      <c r="AO57" s="1" t="n">
        <v>51.866</v>
      </c>
      <c r="AP57" s="1" t="n">
        <v>51.894</v>
      </c>
      <c r="AQ57" s="1" t="n">
        <v>51.617</v>
      </c>
      <c r="AR57" s="1" t="n">
        <v>50.076</v>
      </c>
      <c r="AS57" s="1" t="n">
        <v>52.577</v>
      </c>
      <c r="AT57" s="1" t="n">
        <v>52.999</v>
      </c>
      <c r="AU57" s="1" t="n">
        <v>52.423</v>
      </c>
      <c r="AV57" s="1" t="n">
        <v>50.69</v>
      </c>
      <c r="AW57" s="1" t="n">
        <v>52.337</v>
      </c>
      <c r="AX57" s="1" t="n">
        <v>52.629</v>
      </c>
      <c r="AY57" s="8"/>
      <c r="AZ57" s="9" t="n">
        <f aca="false">PERCENTILE(AO57:AX57,0.9)</f>
        <v>52.666</v>
      </c>
      <c r="BA57" s="9" t="n">
        <f aca="false">N10/AZ57</f>
        <v>1.22410473550298</v>
      </c>
      <c r="BB57" s="9" t="n">
        <f aca="false">BA57/16</f>
        <v>0.0765065459689363</v>
      </c>
    </row>
    <row r="58" customFormat="false" ht="13.8" hidden="false" customHeight="false" outlineLevel="0" collapsed="false">
      <c r="A58" s="4" t="s">
        <v>20</v>
      </c>
      <c r="B58" s="4" t="s">
        <v>15</v>
      </c>
      <c r="C58" s="1" t="n">
        <v>5520</v>
      </c>
      <c r="D58" s="1" t="n">
        <v>6460</v>
      </c>
      <c r="E58" s="1" t="n">
        <v>6260</v>
      </c>
      <c r="F58" s="1" t="n">
        <v>5440</v>
      </c>
      <c r="G58" s="1" t="n">
        <v>6230</v>
      </c>
      <c r="H58" s="1" t="n">
        <v>6180</v>
      </c>
      <c r="I58" s="1" t="n">
        <v>6410</v>
      </c>
      <c r="J58" s="1" t="n">
        <v>5800</v>
      </c>
      <c r="K58" s="1" t="n">
        <v>6090</v>
      </c>
      <c r="L58" s="1" t="n">
        <v>6160</v>
      </c>
      <c r="M58" s="8"/>
      <c r="N58" s="9" t="n">
        <f aca="false">PERCENTILE(C58:L58,0.9)</f>
        <v>6415</v>
      </c>
      <c r="O58" s="9"/>
      <c r="P58" s="9"/>
      <c r="Q58" s="3"/>
      <c r="R58" s="3"/>
      <c r="S58" s="3"/>
      <c r="T58" s="4" t="s">
        <v>20</v>
      </c>
      <c r="U58" s="4" t="s">
        <v>15</v>
      </c>
      <c r="V58" s="1" t="n">
        <v>55140</v>
      </c>
      <c r="W58" s="1" t="n">
        <v>55420</v>
      </c>
      <c r="X58" s="1" t="n">
        <v>54230</v>
      </c>
      <c r="Y58" s="1" t="n">
        <v>55530</v>
      </c>
      <c r="Z58" s="1" t="n">
        <v>54840</v>
      </c>
      <c r="AA58" s="1" t="n">
        <v>55600</v>
      </c>
      <c r="AB58" s="1" t="n">
        <v>56760</v>
      </c>
      <c r="AC58" s="1" t="n">
        <v>55090</v>
      </c>
      <c r="AD58" s="1" t="n">
        <v>56200</v>
      </c>
      <c r="AE58" s="1" t="n">
        <v>56460</v>
      </c>
      <c r="AF58" s="8"/>
      <c r="AG58" s="9" t="n">
        <f aca="false">PERCENTILE(V58:AE58,0.9)</f>
        <v>56490</v>
      </c>
      <c r="AH58" s="9"/>
      <c r="AI58" s="9"/>
      <c r="AJ58" s="3"/>
      <c r="AK58" s="3"/>
      <c r="AL58" s="3"/>
      <c r="AM58" s="4" t="s">
        <v>20</v>
      </c>
      <c r="AN58" s="4" t="s">
        <v>15</v>
      </c>
      <c r="AO58" s="1" t="n">
        <v>211870</v>
      </c>
      <c r="AP58" s="1" t="n">
        <v>198370</v>
      </c>
      <c r="AQ58" s="1" t="n">
        <v>192990</v>
      </c>
      <c r="AR58" s="1" t="n">
        <v>219900</v>
      </c>
      <c r="AS58" s="1" t="n">
        <v>53080</v>
      </c>
      <c r="AT58" s="1" t="n">
        <v>52310</v>
      </c>
      <c r="AU58" s="1" t="n">
        <v>210130</v>
      </c>
      <c r="AV58" s="1" t="n">
        <v>52700</v>
      </c>
      <c r="AW58" s="1" t="n">
        <v>202640</v>
      </c>
      <c r="AX58" s="1" t="n">
        <v>53210</v>
      </c>
      <c r="AY58" s="8"/>
      <c r="AZ58" s="9" t="n">
        <f aca="false">PERCENTILE(AO58:AX58,0.9)</f>
        <v>212673</v>
      </c>
      <c r="BA58" s="9"/>
      <c r="BB58" s="9"/>
    </row>
    <row r="59" customFormat="false" ht="13.8" hidden="false" customHeight="false" outlineLevel="0" collapsed="false">
      <c r="A59" s="4"/>
      <c r="B59" s="4" t="s">
        <v>16</v>
      </c>
      <c r="C59" s="1" t="n">
        <v>383.365</v>
      </c>
      <c r="D59" s="1" t="n">
        <v>477.952</v>
      </c>
      <c r="E59" s="1" t="n">
        <v>428.643</v>
      </c>
      <c r="F59" s="1" t="n">
        <v>387.09</v>
      </c>
      <c r="G59" s="1" t="n">
        <v>426.959</v>
      </c>
      <c r="H59" s="1" t="n">
        <v>421.729</v>
      </c>
      <c r="I59" s="1" t="n">
        <v>475.175</v>
      </c>
      <c r="J59" s="1" t="n">
        <v>410.935</v>
      </c>
      <c r="K59" s="1" t="n">
        <v>422.29</v>
      </c>
      <c r="L59" s="1" t="n">
        <v>429.194</v>
      </c>
      <c r="M59" s="8"/>
      <c r="N59" s="9" t="n">
        <f aca="false">PERCENTILE(C59:L59,0.9)</f>
        <v>475.4527</v>
      </c>
      <c r="O59" s="9" t="n">
        <f aca="false">N12/N59</f>
        <v>3.88821138254131</v>
      </c>
      <c r="P59" s="9" t="n">
        <f aca="false">O59/16</f>
        <v>0.243013211408832</v>
      </c>
      <c r="Q59" s="3"/>
      <c r="R59" s="3"/>
      <c r="S59" s="3"/>
      <c r="T59" s="4"/>
      <c r="U59" s="4" t="s">
        <v>16</v>
      </c>
      <c r="V59" s="1" t="n">
        <v>3454.396</v>
      </c>
      <c r="W59" s="1" t="n">
        <v>3471.803</v>
      </c>
      <c r="X59" s="1" t="n">
        <v>3397.921</v>
      </c>
      <c r="Y59" s="1" t="n">
        <v>3478.948</v>
      </c>
      <c r="Z59" s="1" t="n">
        <v>3435.938</v>
      </c>
      <c r="AA59" s="1" t="n">
        <v>3483.275</v>
      </c>
      <c r="AB59" s="1" t="n">
        <v>3556.131</v>
      </c>
      <c r="AC59" s="1" t="n">
        <v>3452.089</v>
      </c>
      <c r="AD59" s="1" t="n">
        <v>3521.699</v>
      </c>
      <c r="AE59" s="1" t="n">
        <v>3536.942</v>
      </c>
      <c r="AF59" s="8"/>
      <c r="AG59" s="9" t="n">
        <f aca="false">PERCENTILE(V59:AE59,0.9)</f>
        <v>3538.8609</v>
      </c>
      <c r="AH59" s="9" t="n">
        <f aca="false">N12/AG59</f>
        <v>0.522388602502009</v>
      </c>
      <c r="AI59" s="9" t="n">
        <f aca="false">AH59/16</f>
        <v>0.0326492876563755</v>
      </c>
      <c r="AJ59" s="3"/>
      <c r="AK59" s="3"/>
      <c r="AL59" s="3"/>
      <c r="AM59" s="4"/>
      <c r="AN59" s="4" t="s">
        <v>16</v>
      </c>
      <c r="AO59" s="1" t="n">
        <v>13438.606</v>
      </c>
      <c r="AP59" s="1" t="n">
        <v>12565.975</v>
      </c>
      <c r="AQ59" s="1" t="n">
        <v>12184.784</v>
      </c>
      <c r="AR59" s="1" t="n">
        <v>13994.418</v>
      </c>
      <c r="AS59" s="1" t="n">
        <v>3325.9</v>
      </c>
      <c r="AT59" s="1" t="n">
        <v>3277.048</v>
      </c>
      <c r="AU59" s="1" t="n">
        <v>13302.701</v>
      </c>
      <c r="AV59" s="1" t="n">
        <v>3307.541</v>
      </c>
      <c r="AW59" s="1" t="n">
        <v>12823.885</v>
      </c>
      <c r="AX59" s="1" t="n">
        <v>3333.151</v>
      </c>
      <c r="AY59" s="8"/>
      <c r="AZ59" s="9" t="n">
        <f aca="false">PERCENTILE(AO59:AX59,0.9)</f>
        <v>13494.1872</v>
      </c>
      <c r="BA59" s="9" t="n">
        <f aca="false">N12/AZ59</f>
        <v>0.136996810004236</v>
      </c>
      <c r="BB59" s="9" t="n">
        <f aca="false">BA59/16</f>
        <v>0.00856230062526478</v>
      </c>
    </row>
    <row r="60" customFormat="false" ht="12.8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10"/>
      <c r="O60" s="10"/>
      <c r="P60" s="10"/>
      <c r="Q60" s="3"/>
      <c r="R60" s="3"/>
      <c r="S60" s="3"/>
      <c r="T60" s="3"/>
      <c r="U60" s="3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3"/>
      <c r="AG60" s="3"/>
      <c r="AH60" s="3"/>
      <c r="AI60" s="3"/>
      <c r="AJ60" s="3"/>
      <c r="AK60" s="3"/>
      <c r="AL60" s="3"/>
      <c r="AM60" s="3"/>
      <c r="AN60" s="3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3"/>
      <c r="AZ60" s="3"/>
      <c r="BA60" s="3"/>
      <c r="BB60" s="3"/>
    </row>
    <row r="61" customFormat="false" ht="12.8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10"/>
      <c r="O61" s="10"/>
      <c r="P61" s="10"/>
      <c r="Q61" s="3"/>
      <c r="R61" s="3"/>
      <c r="S61" s="3"/>
      <c r="T61" s="3"/>
      <c r="U61" s="3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3"/>
      <c r="AG61" s="3"/>
      <c r="AH61" s="3"/>
      <c r="AI61" s="3"/>
      <c r="AJ61" s="3"/>
      <c r="AK61" s="3"/>
      <c r="AL61" s="3"/>
      <c r="AM61" s="3"/>
      <c r="AN61" s="3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3"/>
      <c r="AZ61" s="3"/>
      <c r="BA61" s="3"/>
      <c r="BB61" s="3"/>
    </row>
    <row r="62" customFormat="false" ht="12.8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10"/>
      <c r="O62" s="10"/>
      <c r="P62" s="10"/>
      <c r="Q62" s="3"/>
      <c r="R62" s="3"/>
      <c r="S62" s="3"/>
      <c r="T62" s="3"/>
      <c r="U62" s="3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3"/>
      <c r="AG62" s="3"/>
      <c r="AH62" s="3"/>
      <c r="AI62" s="3"/>
      <c r="AJ62" s="3"/>
      <c r="AK62" s="3"/>
      <c r="AL62" s="3"/>
      <c r="AM62" s="3"/>
      <c r="AN62" s="3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3"/>
      <c r="AZ62" s="3"/>
      <c r="BA62" s="3"/>
      <c r="BB62" s="3"/>
    </row>
    <row r="63" customFormat="false" ht="12.8" hidden="false" customHeight="false" outlineLevel="0" collapsed="false">
      <c r="A63" s="15" t="s">
        <v>34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 t="e">
        <f aca="false">#VALUE!</f>
        <v>#VALUE!</v>
      </c>
      <c r="O63" s="15"/>
      <c r="P63" s="15"/>
      <c r="Q63" s="3"/>
      <c r="R63" s="3"/>
      <c r="S63" s="3"/>
      <c r="T63" s="16" t="s">
        <v>35</v>
      </c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3"/>
      <c r="AK63" s="3"/>
      <c r="AL63" s="3"/>
      <c r="AM63" s="17" t="s">
        <v>36</v>
      </c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</row>
    <row r="64" customFormat="false" ht="13.8" hidden="false" customHeight="false" outlineLevel="0" collapsed="false">
      <c r="A64" s="4" t="s">
        <v>1</v>
      </c>
      <c r="B64" s="4" t="s">
        <v>2</v>
      </c>
      <c r="C64" s="4" t="s">
        <v>3</v>
      </c>
      <c r="D64" s="4" t="s">
        <v>4</v>
      </c>
      <c r="E64" s="4" t="s">
        <v>5</v>
      </c>
      <c r="F64" s="4" t="s">
        <v>6</v>
      </c>
      <c r="G64" s="4" t="s">
        <v>7</v>
      </c>
      <c r="H64" s="4" t="s">
        <v>8</v>
      </c>
      <c r="I64" s="4" t="s">
        <v>9</v>
      </c>
      <c r="J64" s="4" t="s">
        <v>10</v>
      </c>
      <c r="K64" s="4" t="s">
        <v>11</v>
      </c>
      <c r="L64" s="4" t="s">
        <v>12</v>
      </c>
      <c r="M64" s="5"/>
      <c r="N64" s="6" t="s">
        <v>13</v>
      </c>
      <c r="O64" s="6" t="s">
        <v>26</v>
      </c>
      <c r="P64" s="6" t="s">
        <v>27</v>
      </c>
      <c r="Q64" s="3"/>
      <c r="R64" s="3"/>
      <c r="S64" s="3"/>
      <c r="T64" s="4" t="s">
        <v>1</v>
      </c>
      <c r="U64" s="4" t="s">
        <v>2</v>
      </c>
      <c r="V64" s="4" t="s">
        <v>3</v>
      </c>
      <c r="W64" s="4" t="s">
        <v>4</v>
      </c>
      <c r="X64" s="4" t="s">
        <v>5</v>
      </c>
      <c r="Y64" s="4" t="s">
        <v>6</v>
      </c>
      <c r="Z64" s="4" t="s">
        <v>7</v>
      </c>
      <c r="AA64" s="4" t="s">
        <v>8</v>
      </c>
      <c r="AB64" s="4" t="s">
        <v>9</v>
      </c>
      <c r="AC64" s="4" t="s">
        <v>10</v>
      </c>
      <c r="AD64" s="4" t="s">
        <v>11</v>
      </c>
      <c r="AE64" s="4" t="s">
        <v>12</v>
      </c>
      <c r="AF64" s="5"/>
      <c r="AG64" s="6" t="s">
        <v>13</v>
      </c>
      <c r="AH64" s="6" t="s">
        <v>26</v>
      </c>
      <c r="AI64" s="6" t="s">
        <v>27</v>
      </c>
      <c r="AJ64" s="3"/>
      <c r="AK64" s="3"/>
      <c r="AL64" s="3"/>
      <c r="AM64" s="4" t="s">
        <v>1</v>
      </c>
      <c r="AN64" s="4" t="s">
        <v>2</v>
      </c>
      <c r="AO64" s="4" t="s">
        <v>3</v>
      </c>
      <c r="AP64" s="4" t="s">
        <v>4</v>
      </c>
      <c r="AQ64" s="4" t="s">
        <v>5</v>
      </c>
      <c r="AR64" s="4" t="s">
        <v>6</v>
      </c>
      <c r="AS64" s="4" t="s">
        <v>7</v>
      </c>
      <c r="AT64" s="4" t="s">
        <v>8</v>
      </c>
      <c r="AU64" s="4" t="s">
        <v>9</v>
      </c>
      <c r="AV64" s="4" t="s">
        <v>10</v>
      </c>
      <c r="AW64" s="4" t="s">
        <v>11</v>
      </c>
      <c r="AX64" s="4" t="s">
        <v>12</v>
      </c>
      <c r="AY64" s="5"/>
      <c r="AZ64" s="6" t="s">
        <v>13</v>
      </c>
      <c r="BA64" s="6" t="s">
        <v>26</v>
      </c>
      <c r="BB64" s="6" t="s">
        <v>27</v>
      </c>
    </row>
    <row r="65" customFormat="false" ht="13.8" hidden="false" customHeight="false" outlineLevel="0" collapsed="false">
      <c r="A65" s="4" t="s">
        <v>14</v>
      </c>
      <c r="B65" s="4" t="s">
        <v>15</v>
      </c>
      <c r="C65" s="1" t="n">
        <v>1120</v>
      </c>
      <c r="D65" s="1" t="n">
        <v>840</v>
      </c>
      <c r="E65" s="1" t="n">
        <v>1160</v>
      </c>
      <c r="F65" s="1" t="n">
        <v>1010</v>
      </c>
      <c r="G65" s="1" t="n">
        <v>870</v>
      </c>
      <c r="H65" s="1" t="n">
        <v>1060</v>
      </c>
      <c r="I65" s="1" t="n">
        <v>1360</v>
      </c>
      <c r="J65" s="1" t="n">
        <v>1090</v>
      </c>
      <c r="K65" s="1" t="n">
        <v>930</v>
      </c>
      <c r="L65" s="1" t="n">
        <v>1050</v>
      </c>
      <c r="M65" s="8"/>
      <c r="N65" s="9" t="n">
        <f aca="false">PERCENTILE(C65:L65,0.9)</f>
        <v>1180</v>
      </c>
      <c r="O65" s="9"/>
      <c r="P65" s="9"/>
      <c r="Q65" s="3"/>
      <c r="R65" s="3"/>
      <c r="S65" s="3"/>
      <c r="T65" s="4" t="s">
        <v>14</v>
      </c>
      <c r="U65" s="4" t="s">
        <v>15</v>
      </c>
      <c r="V65" s="1" t="n">
        <v>6010</v>
      </c>
      <c r="W65" s="1" t="n">
        <v>6220</v>
      </c>
      <c r="X65" s="1" t="n">
        <v>3930</v>
      </c>
      <c r="Y65" s="1" t="n">
        <v>3190</v>
      </c>
      <c r="Z65" s="1" t="n">
        <v>3880</v>
      </c>
      <c r="AA65" s="1" t="n">
        <v>3780</v>
      </c>
      <c r="AB65" s="1" t="n">
        <v>3520</v>
      </c>
      <c r="AC65" s="1" t="n">
        <v>3600</v>
      </c>
      <c r="AD65" s="1" t="n">
        <v>3780</v>
      </c>
      <c r="AE65" s="1" t="n">
        <v>4320</v>
      </c>
      <c r="AF65" s="8"/>
      <c r="AG65" s="9" t="n">
        <f aca="false">PERCENTILE(V65:AE65,0.9)</f>
        <v>6031</v>
      </c>
      <c r="AH65" s="9"/>
      <c r="AI65" s="9"/>
      <c r="AJ65" s="3"/>
      <c r="AK65" s="3"/>
      <c r="AL65" s="3"/>
      <c r="AM65" s="4" t="s">
        <v>14</v>
      </c>
      <c r="AN65" s="4" t="s">
        <v>15</v>
      </c>
      <c r="AO65" s="1" t="n">
        <v>4170</v>
      </c>
      <c r="AP65" s="1" t="n">
        <v>4170</v>
      </c>
      <c r="AQ65" s="1" t="n">
        <v>4150</v>
      </c>
      <c r="AR65" s="1" t="n">
        <v>4010</v>
      </c>
      <c r="AS65" s="1" t="n">
        <v>4080</v>
      </c>
      <c r="AT65" s="1" t="n">
        <v>4040</v>
      </c>
      <c r="AU65" s="1" t="n">
        <v>4100</v>
      </c>
      <c r="AV65" s="1" t="n">
        <v>4050</v>
      </c>
      <c r="AW65" s="1" t="n">
        <v>4130</v>
      </c>
      <c r="AX65" s="1" t="n">
        <v>4040</v>
      </c>
      <c r="AY65" s="8"/>
      <c r="AZ65" s="9" t="n">
        <f aca="false">PERCENTILE(AO65:AX65,0.9)</f>
        <v>4170</v>
      </c>
      <c r="BA65" s="9"/>
      <c r="BB65" s="9"/>
    </row>
    <row r="66" customFormat="false" ht="13.8" hidden="false" customHeight="false" outlineLevel="0" collapsed="false">
      <c r="A66" s="4"/>
      <c r="B66" s="4" t="s">
        <v>16</v>
      </c>
      <c r="C66" s="1" t="n">
        <v>36.014</v>
      </c>
      <c r="D66" s="1" t="n">
        <v>26.914</v>
      </c>
      <c r="E66" s="1" t="n">
        <v>36.971</v>
      </c>
      <c r="F66" s="1" t="n">
        <v>31.75</v>
      </c>
      <c r="G66" s="1" t="n">
        <v>27.684</v>
      </c>
      <c r="H66" s="1" t="n">
        <v>33.601</v>
      </c>
      <c r="I66" s="1" t="n">
        <v>43.451</v>
      </c>
      <c r="J66" s="1" t="n">
        <v>34.655</v>
      </c>
      <c r="K66" s="1" t="n">
        <v>29.716</v>
      </c>
      <c r="L66" s="1" t="n">
        <v>33.314</v>
      </c>
      <c r="M66" s="8"/>
      <c r="N66" s="9" t="n">
        <f aca="false">PERCENTILE(C66:L66,0.9)</f>
        <v>37.619</v>
      </c>
      <c r="O66" s="9" t="n">
        <f aca="false">N4/N66</f>
        <v>8.91002418990404</v>
      </c>
      <c r="P66" s="9" t="n">
        <f aca="false">O66/32</f>
        <v>0.278438255934501</v>
      </c>
      <c r="Q66" s="3"/>
      <c r="R66" s="3"/>
      <c r="S66" s="3"/>
      <c r="T66" s="4"/>
      <c r="U66" s="4" t="s">
        <v>16</v>
      </c>
      <c r="V66" s="1" t="n">
        <v>372.081</v>
      </c>
      <c r="W66" s="1" t="n">
        <v>388.2</v>
      </c>
      <c r="X66" s="1" t="n">
        <v>188.002</v>
      </c>
      <c r="Y66" s="1" t="n">
        <v>191.138</v>
      </c>
      <c r="Z66" s="1" t="n">
        <v>169.874</v>
      </c>
      <c r="AA66" s="1" t="n">
        <v>180.514</v>
      </c>
      <c r="AB66" s="1" t="n">
        <v>194.325</v>
      </c>
      <c r="AC66" s="1" t="n">
        <v>183.058</v>
      </c>
      <c r="AD66" s="1" t="n">
        <v>173.216</v>
      </c>
      <c r="AE66" s="1" t="n">
        <v>135.742</v>
      </c>
      <c r="AF66" s="8"/>
      <c r="AG66" s="9" t="n">
        <f aca="false">PERCENTILE(V66:AE66,0.9)</f>
        <v>373.6929</v>
      </c>
      <c r="AH66" s="9" t="n">
        <f aca="false">N4/AG66</f>
        <v>0.896956297537363</v>
      </c>
      <c r="AI66" s="9" t="n">
        <f aca="false">AH66/32</f>
        <v>0.0280298842980426</v>
      </c>
      <c r="AJ66" s="3"/>
      <c r="AK66" s="3"/>
      <c r="AL66" s="3"/>
      <c r="AM66" s="4"/>
      <c r="AN66" s="4" t="s">
        <v>16</v>
      </c>
      <c r="AO66" s="1" t="n">
        <v>131.055</v>
      </c>
      <c r="AP66" s="1" t="n">
        <v>131.033</v>
      </c>
      <c r="AQ66" s="1" t="n">
        <v>130.621</v>
      </c>
      <c r="AR66" s="1" t="n">
        <v>125.881</v>
      </c>
      <c r="AS66" s="1" t="n">
        <v>128.441</v>
      </c>
      <c r="AT66" s="1" t="n">
        <v>127.427</v>
      </c>
      <c r="AU66" s="1" t="n">
        <v>128.956</v>
      </c>
      <c r="AV66" s="1" t="n">
        <v>127.255</v>
      </c>
      <c r="AW66" s="1" t="n">
        <v>129.983</v>
      </c>
      <c r="AX66" s="1" t="n">
        <v>127.027</v>
      </c>
      <c r="AY66" s="8"/>
      <c r="AZ66" s="9" t="n">
        <f aca="false">PERCENTILE(AO66:AX66,0.9)</f>
        <v>131.0352</v>
      </c>
      <c r="BA66" s="9" t="n">
        <f aca="false">N4/AZ66</f>
        <v>2.55798594576114</v>
      </c>
      <c r="BB66" s="9" t="n">
        <f aca="false">BA66/32</f>
        <v>0.0799370608050356</v>
      </c>
    </row>
    <row r="67" customFormat="false" ht="13.8" hidden="false" customHeight="false" outlineLevel="0" collapsed="false">
      <c r="A67" s="4" t="s">
        <v>17</v>
      </c>
      <c r="B67" s="4" t="s">
        <v>15</v>
      </c>
      <c r="C67" s="1" t="n">
        <v>290</v>
      </c>
      <c r="D67" s="1" t="n">
        <v>450</v>
      </c>
      <c r="E67" s="1" t="n">
        <v>400</v>
      </c>
      <c r="F67" s="1" t="n">
        <v>340</v>
      </c>
      <c r="G67" s="1" t="n">
        <v>380</v>
      </c>
      <c r="H67" s="1" t="n">
        <v>370</v>
      </c>
      <c r="I67" s="1" t="n">
        <v>330</v>
      </c>
      <c r="J67" s="1" t="n">
        <v>390</v>
      </c>
      <c r="K67" s="1" t="n">
        <v>380</v>
      </c>
      <c r="L67" s="1" t="n">
        <v>330</v>
      </c>
      <c r="M67" s="8"/>
      <c r="N67" s="9" t="n">
        <f aca="false">PERCENTILE(C67:L67,0.9)</f>
        <v>405</v>
      </c>
      <c r="O67" s="9"/>
      <c r="P67" s="9"/>
      <c r="Q67" s="3"/>
      <c r="R67" s="3"/>
      <c r="S67" s="3"/>
      <c r="T67" s="4" t="s">
        <v>17</v>
      </c>
      <c r="U67" s="4" t="s">
        <v>15</v>
      </c>
      <c r="V67" s="1" t="n">
        <v>1710</v>
      </c>
      <c r="W67" s="1" t="n">
        <v>1800</v>
      </c>
      <c r="X67" s="1" t="n">
        <v>1660</v>
      </c>
      <c r="Y67" s="1" t="n">
        <v>2290</v>
      </c>
      <c r="Z67" s="1" t="n">
        <v>1700</v>
      </c>
      <c r="AA67" s="1" t="n">
        <v>2290</v>
      </c>
      <c r="AB67" s="1" t="n">
        <v>1630</v>
      </c>
      <c r="AC67" s="1" t="n">
        <v>1740</v>
      </c>
      <c r="AD67" s="1" t="n">
        <v>1830</v>
      </c>
      <c r="AE67" s="1" t="n">
        <v>2010</v>
      </c>
      <c r="AF67" s="8"/>
      <c r="AG67" s="9" t="n">
        <f aca="false">PERCENTILE(V67:AE67,0.9)</f>
        <v>2290</v>
      </c>
      <c r="AH67" s="9"/>
      <c r="AI67" s="9"/>
      <c r="AJ67" s="3"/>
      <c r="AK67" s="3"/>
      <c r="AL67" s="3"/>
      <c r="AM67" s="4" t="s">
        <v>17</v>
      </c>
      <c r="AN67" s="4" t="s">
        <v>15</v>
      </c>
      <c r="AO67" s="1" t="n">
        <v>1990</v>
      </c>
      <c r="AP67" s="1" t="n">
        <v>1980</v>
      </c>
      <c r="AQ67" s="1" t="n">
        <v>1960</v>
      </c>
      <c r="AR67" s="1" t="n">
        <v>1980</v>
      </c>
      <c r="AS67" s="1" t="n">
        <v>2020</v>
      </c>
      <c r="AT67" s="1" t="n">
        <v>1950</v>
      </c>
      <c r="AU67" s="1" t="n">
        <v>1980</v>
      </c>
      <c r="AV67" s="1" t="n">
        <v>2020</v>
      </c>
      <c r="AW67" s="1" t="n">
        <v>2010</v>
      </c>
      <c r="AX67" s="1" t="n">
        <v>1990</v>
      </c>
      <c r="AY67" s="8"/>
      <c r="AZ67" s="9" t="n">
        <f aca="false">PERCENTILE(AO67:AX67,0.9)</f>
        <v>2020</v>
      </c>
      <c r="BA67" s="9"/>
      <c r="BB67" s="9"/>
    </row>
    <row r="68" customFormat="false" ht="13.8" hidden="false" customHeight="false" outlineLevel="0" collapsed="false">
      <c r="A68" s="4"/>
      <c r="B68" s="4" t="s">
        <v>16</v>
      </c>
      <c r="C68" s="1" t="n">
        <v>9.553</v>
      </c>
      <c r="D68" s="1" t="n">
        <v>14.89</v>
      </c>
      <c r="E68" s="1" t="n">
        <v>12.897</v>
      </c>
      <c r="F68" s="1" t="n">
        <v>11.237</v>
      </c>
      <c r="G68" s="1" t="n">
        <v>12.657</v>
      </c>
      <c r="H68" s="1" t="n">
        <v>11.944</v>
      </c>
      <c r="I68" s="1" t="n">
        <v>10.5</v>
      </c>
      <c r="J68" s="1" t="n">
        <v>12.811</v>
      </c>
      <c r="K68" s="1" t="n">
        <v>12.632</v>
      </c>
      <c r="L68" s="1" t="n">
        <v>11.111</v>
      </c>
      <c r="M68" s="8"/>
      <c r="N68" s="9" t="n">
        <f aca="false">PERCENTILE(C68:L68,0.9)</f>
        <v>13.0963</v>
      </c>
      <c r="O68" s="9" t="n">
        <f aca="false">N6/N68</f>
        <v>7.95433061246306</v>
      </c>
      <c r="P68" s="9" t="n">
        <f aca="false">O68/32</f>
        <v>0.248572831639471</v>
      </c>
      <c r="Q68" s="3"/>
      <c r="R68" s="3"/>
      <c r="S68" s="3"/>
      <c r="T68" s="4"/>
      <c r="U68" s="4" t="s">
        <v>16</v>
      </c>
      <c r="V68" s="1" t="n">
        <v>112.863</v>
      </c>
      <c r="W68" s="1" t="n">
        <v>107.775</v>
      </c>
      <c r="X68" s="1" t="n">
        <v>106.544</v>
      </c>
      <c r="Y68" s="1" t="n">
        <v>76.744</v>
      </c>
      <c r="Z68" s="1" t="n">
        <v>89.543</v>
      </c>
      <c r="AA68" s="1" t="n">
        <v>84.012</v>
      </c>
      <c r="AB68" s="1" t="n">
        <v>95.681</v>
      </c>
      <c r="AC68" s="1" t="n">
        <v>110.689</v>
      </c>
      <c r="AD68" s="1" t="n">
        <v>118.356</v>
      </c>
      <c r="AE68" s="1" t="n">
        <v>63.467</v>
      </c>
      <c r="AF68" s="8"/>
      <c r="AG68" s="9" t="n">
        <f aca="false">PERCENTILE(V68:AE68,0.9)</f>
        <v>113.4123</v>
      </c>
      <c r="AH68" s="9" t="n">
        <f aca="false">N6/AG68</f>
        <v>0.918527355498478</v>
      </c>
      <c r="AI68" s="9" t="n">
        <f aca="false">AH68/32</f>
        <v>0.0287039798593274</v>
      </c>
      <c r="AJ68" s="3"/>
      <c r="AK68" s="3"/>
      <c r="AL68" s="3"/>
      <c r="AM68" s="4"/>
      <c r="AN68" s="4" t="s">
        <v>16</v>
      </c>
      <c r="AO68" s="1" t="n">
        <v>63.083</v>
      </c>
      <c r="AP68" s="1" t="n">
        <v>62.429</v>
      </c>
      <c r="AQ68" s="1" t="n">
        <v>61.927</v>
      </c>
      <c r="AR68" s="1" t="n">
        <v>62.436</v>
      </c>
      <c r="AS68" s="1" t="n">
        <v>64.111</v>
      </c>
      <c r="AT68" s="1" t="n">
        <v>61.717</v>
      </c>
      <c r="AU68" s="1" t="n">
        <v>62.121</v>
      </c>
      <c r="AV68" s="1" t="n">
        <v>64.115</v>
      </c>
      <c r="AW68" s="1" t="n">
        <v>63.592</v>
      </c>
      <c r="AX68" s="1" t="n">
        <v>63.046</v>
      </c>
      <c r="AY68" s="8"/>
      <c r="AZ68" s="9" t="n">
        <f aca="false">PERCENTILE(AO68:AX68,0.9)</f>
        <v>64.1114</v>
      </c>
      <c r="BA68" s="9" t="n">
        <f aca="false">N6/AZ68</f>
        <v>1.62486390875882</v>
      </c>
      <c r="BB68" s="9" t="n">
        <f aca="false">BA68/32</f>
        <v>0.050776997148713</v>
      </c>
    </row>
    <row r="69" customFormat="false" ht="13.8" hidden="false" customHeight="false" outlineLevel="0" collapsed="false">
      <c r="A69" s="4" t="s">
        <v>18</v>
      </c>
      <c r="B69" s="4" t="s">
        <v>15</v>
      </c>
      <c r="C69" s="1" t="n">
        <v>100</v>
      </c>
      <c r="D69" s="1" t="n">
        <v>130</v>
      </c>
      <c r="E69" s="1" t="n">
        <v>110</v>
      </c>
      <c r="F69" s="1" t="n">
        <v>110</v>
      </c>
      <c r="G69" s="1" t="n">
        <v>120</v>
      </c>
      <c r="H69" s="1" t="n">
        <v>100</v>
      </c>
      <c r="I69" s="1" t="n">
        <v>110</v>
      </c>
      <c r="J69" s="1" t="n">
        <v>130</v>
      </c>
      <c r="K69" s="1" t="n">
        <v>100</v>
      </c>
      <c r="L69" s="1" t="n">
        <v>90</v>
      </c>
      <c r="M69" s="8"/>
      <c r="N69" s="9" t="n">
        <f aca="false">PERCENTILE(C69:L69,0.9)</f>
        <v>130</v>
      </c>
      <c r="O69" s="9"/>
      <c r="P69" s="9"/>
      <c r="Q69" s="3"/>
      <c r="R69" s="3"/>
      <c r="S69" s="3"/>
      <c r="T69" s="4" t="s">
        <v>18</v>
      </c>
      <c r="U69" s="4" t="s">
        <v>15</v>
      </c>
      <c r="V69" s="1" t="n">
        <v>670</v>
      </c>
      <c r="W69" s="1" t="n">
        <v>600</v>
      </c>
      <c r="X69" s="1" t="n">
        <v>600</v>
      </c>
      <c r="Y69" s="1" t="n">
        <v>550</v>
      </c>
      <c r="Z69" s="1" t="n">
        <v>530</v>
      </c>
      <c r="AA69" s="1" t="n">
        <v>710</v>
      </c>
      <c r="AB69" s="1" t="n">
        <v>570</v>
      </c>
      <c r="AC69" s="1" t="n">
        <v>620</v>
      </c>
      <c r="AD69" s="1" t="n">
        <v>540</v>
      </c>
      <c r="AE69" s="1" t="n">
        <v>460</v>
      </c>
      <c r="AF69" s="8"/>
      <c r="AG69" s="9" t="n">
        <f aca="false">PERCENTILE(V69:AE69,0.9)</f>
        <v>674</v>
      </c>
      <c r="AH69" s="9"/>
      <c r="AI69" s="9"/>
      <c r="AJ69" s="3"/>
      <c r="AK69" s="3"/>
      <c r="AL69" s="3"/>
      <c r="AM69" s="4" t="s">
        <v>18</v>
      </c>
      <c r="AN69" s="4" t="s">
        <v>15</v>
      </c>
      <c r="AO69" s="1" t="n">
        <v>430</v>
      </c>
      <c r="AP69" s="1" t="n">
        <v>580</v>
      </c>
      <c r="AQ69" s="1" t="n">
        <v>430</v>
      </c>
      <c r="AR69" s="1" t="n">
        <v>430</v>
      </c>
      <c r="AS69" s="1" t="n">
        <v>480</v>
      </c>
      <c r="AT69" s="1" t="n">
        <v>1100</v>
      </c>
      <c r="AU69" s="1" t="n">
        <v>420</v>
      </c>
      <c r="AV69" s="1" t="n">
        <v>420</v>
      </c>
      <c r="AW69" s="1" t="n">
        <v>440</v>
      </c>
      <c r="AX69" s="1" t="n">
        <v>790</v>
      </c>
      <c r="AY69" s="8"/>
      <c r="AZ69" s="9" t="n">
        <f aca="false">PERCENTILE(AO69:AX69,0.9)</f>
        <v>821</v>
      </c>
      <c r="BA69" s="9"/>
      <c r="BB69" s="9"/>
    </row>
    <row r="70" customFormat="false" ht="13.8" hidden="false" customHeight="false" outlineLevel="0" collapsed="false">
      <c r="A70" s="4"/>
      <c r="B70" s="4" t="s">
        <v>16</v>
      </c>
      <c r="C70" s="1" t="n">
        <v>3.788</v>
      </c>
      <c r="D70" s="1" t="n">
        <v>4.737</v>
      </c>
      <c r="E70" s="1" t="n">
        <v>3.99</v>
      </c>
      <c r="F70" s="1" t="n">
        <v>3.906</v>
      </c>
      <c r="G70" s="1" t="n">
        <v>4.486</v>
      </c>
      <c r="H70" s="1" t="n">
        <v>3.637</v>
      </c>
      <c r="I70" s="1" t="n">
        <v>3.674</v>
      </c>
      <c r="J70" s="1" t="n">
        <v>4.645</v>
      </c>
      <c r="K70" s="1" t="n">
        <v>3.967</v>
      </c>
      <c r="L70" s="1" t="n">
        <v>3.656</v>
      </c>
      <c r="M70" s="8"/>
      <c r="N70" s="9" t="n">
        <f aca="false">PERCENTILE(C70:L70,0.9)</f>
        <v>4.6542</v>
      </c>
      <c r="O70" s="9" t="n">
        <f aca="false">N8/N70</f>
        <v>6.86053457092519</v>
      </c>
      <c r="P70" s="9" t="n">
        <f aca="false">O70/32</f>
        <v>0.214391705341412</v>
      </c>
      <c r="Q70" s="3"/>
      <c r="R70" s="3"/>
      <c r="S70" s="3"/>
      <c r="T70" s="4"/>
      <c r="U70" s="4" t="s">
        <v>16</v>
      </c>
      <c r="V70" s="1" t="n">
        <v>35.859</v>
      </c>
      <c r="W70" s="1" t="n">
        <v>39.631</v>
      </c>
      <c r="X70" s="1" t="n">
        <v>39.408</v>
      </c>
      <c r="Y70" s="1" t="n">
        <v>34.769</v>
      </c>
      <c r="Z70" s="1" t="n">
        <v>35.153</v>
      </c>
      <c r="AA70" s="1" t="n">
        <v>49.641</v>
      </c>
      <c r="AB70" s="1" t="n">
        <v>39.868</v>
      </c>
      <c r="AC70" s="1" t="n">
        <v>38.605</v>
      </c>
      <c r="AD70" s="1" t="n">
        <v>30.104</v>
      </c>
      <c r="AE70" s="1" t="n">
        <v>15.132</v>
      </c>
      <c r="AF70" s="8"/>
      <c r="AG70" s="9" t="n">
        <f aca="false">PERCENTILE(V70:AE70,0.9)</f>
        <v>40.8453</v>
      </c>
      <c r="AH70" s="9" t="n">
        <f aca="false">N8/AG70</f>
        <v>0.7817374336827</v>
      </c>
      <c r="AI70" s="9" t="n">
        <f aca="false">AH70/32</f>
        <v>0.0244292948025844</v>
      </c>
      <c r="AJ70" s="3"/>
      <c r="AK70" s="3"/>
      <c r="AL70" s="3"/>
      <c r="AM70" s="4"/>
      <c r="AN70" s="4" t="s">
        <v>16</v>
      </c>
      <c r="AO70" s="1" t="n">
        <v>13.999</v>
      </c>
      <c r="AP70" s="1" t="n">
        <v>18.592</v>
      </c>
      <c r="AQ70" s="1" t="n">
        <v>14.022</v>
      </c>
      <c r="AR70" s="1" t="n">
        <v>13.854</v>
      </c>
      <c r="AS70" s="1" t="n">
        <v>15.328</v>
      </c>
      <c r="AT70" s="1" t="n">
        <v>39.279</v>
      </c>
      <c r="AU70" s="1" t="n">
        <v>13.815</v>
      </c>
      <c r="AV70" s="1" t="n">
        <v>13.653</v>
      </c>
      <c r="AW70" s="1" t="n">
        <v>14.427</v>
      </c>
      <c r="AX70" s="1" t="n">
        <v>26.507</v>
      </c>
      <c r="AY70" s="8"/>
      <c r="AZ70" s="9" t="n">
        <f aca="false">PERCENTILE(AO70:AX70,0.9)</f>
        <v>27.7842</v>
      </c>
      <c r="BA70" s="9" t="n">
        <f aca="false">N8/AZ70</f>
        <v>1.14922509915708</v>
      </c>
      <c r="BB70" s="9" t="n">
        <f aca="false">BA70/32</f>
        <v>0.0359132843486586</v>
      </c>
    </row>
    <row r="71" customFormat="false" ht="13.8" hidden="false" customHeight="false" outlineLevel="0" collapsed="false">
      <c r="A71" s="4" t="s">
        <v>19</v>
      </c>
      <c r="B71" s="4" t="s">
        <v>15</v>
      </c>
      <c r="C71" s="1" t="n">
        <v>200</v>
      </c>
      <c r="D71" s="1" t="n">
        <v>200</v>
      </c>
      <c r="E71" s="1" t="n">
        <v>190</v>
      </c>
      <c r="F71" s="1" t="n">
        <v>250</v>
      </c>
      <c r="G71" s="1" t="n">
        <v>230</v>
      </c>
      <c r="H71" s="1" t="n">
        <v>180</v>
      </c>
      <c r="I71" s="1" t="n">
        <v>220</v>
      </c>
      <c r="J71" s="1" t="n">
        <v>180</v>
      </c>
      <c r="K71" s="1" t="n">
        <v>180</v>
      </c>
      <c r="L71" s="1" t="n">
        <v>220</v>
      </c>
      <c r="M71" s="8"/>
      <c r="N71" s="9" t="n">
        <f aca="false">PERCENTILE(C71:L71,0.9)</f>
        <v>232</v>
      </c>
      <c r="O71" s="9"/>
      <c r="P71" s="9"/>
      <c r="Q71" s="3"/>
      <c r="R71" s="3"/>
      <c r="S71" s="3"/>
      <c r="T71" s="4" t="s">
        <v>19</v>
      </c>
      <c r="U71" s="4" t="s">
        <v>15</v>
      </c>
      <c r="V71" s="1" t="n">
        <v>1080</v>
      </c>
      <c r="W71" s="1" t="n">
        <v>1120</v>
      </c>
      <c r="X71" s="1" t="n">
        <v>980</v>
      </c>
      <c r="Y71" s="1" t="n">
        <v>1010</v>
      </c>
      <c r="Z71" s="1" t="n">
        <v>1260</v>
      </c>
      <c r="AA71" s="1" t="n">
        <v>1050</v>
      </c>
      <c r="AB71" s="1" t="n">
        <v>1010</v>
      </c>
      <c r="AC71" s="1" t="n">
        <v>1070</v>
      </c>
      <c r="AD71" s="1" t="n">
        <v>990</v>
      </c>
      <c r="AE71" s="1" t="n">
        <v>1170</v>
      </c>
      <c r="AF71" s="8"/>
      <c r="AG71" s="9" t="n">
        <f aca="false">PERCENTILE(V71:AE71,0.9)</f>
        <v>1179</v>
      </c>
      <c r="AH71" s="9"/>
      <c r="AI71" s="9"/>
      <c r="AJ71" s="3"/>
      <c r="AK71" s="3"/>
      <c r="AL71" s="3"/>
      <c r="AM71" s="4" t="s">
        <v>19</v>
      </c>
      <c r="AN71" s="4" t="s">
        <v>15</v>
      </c>
      <c r="AO71" s="1" t="n">
        <v>1110</v>
      </c>
      <c r="AP71" s="1" t="n">
        <v>1110</v>
      </c>
      <c r="AQ71" s="1" t="n">
        <v>1130</v>
      </c>
      <c r="AR71" s="1" t="n">
        <v>1130</v>
      </c>
      <c r="AS71" s="1" t="n">
        <v>1130</v>
      </c>
      <c r="AT71" s="1" t="n">
        <v>1120</v>
      </c>
      <c r="AU71" s="1" t="n">
        <v>1120</v>
      </c>
      <c r="AV71" s="1" t="n">
        <v>1100</v>
      </c>
      <c r="AW71" s="1" t="n">
        <v>1150</v>
      </c>
      <c r="AX71" s="1" t="n">
        <v>1100</v>
      </c>
      <c r="AY71" s="8"/>
      <c r="AZ71" s="9" t="n">
        <f aca="false">PERCENTILE(AO71:AX71,0.9)</f>
        <v>1132</v>
      </c>
      <c r="BA71" s="9"/>
      <c r="BB71" s="9"/>
    </row>
    <row r="72" customFormat="false" ht="13.8" hidden="false" customHeight="false" outlineLevel="0" collapsed="false">
      <c r="A72" s="4"/>
      <c r="B72" s="4" t="s">
        <v>16</v>
      </c>
      <c r="C72" s="1" t="n">
        <v>6.563</v>
      </c>
      <c r="D72" s="1" t="n">
        <v>6.513</v>
      </c>
      <c r="E72" s="1" t="n">
        <v>6.298</v>
      </c>
      <c r="F72" s="1" t="n">
        <v>8.497</v>
      </c>
      <c r="G72" s="1" t="n">
        <v>7.516</v>
      </c>
      <c r="H72" s="1" t="n">
        <v>6.001</v>
      </c>
      <c r="I72" s="1" t="n">
        <v>7.353</v>
      </c>
      <c r="J72" s="1" t="n">
        <v>6.42</v>
      </c>
      <c r="K72" s="1" t="n">
        <v>6.189</v>
      </c>
      <c r="L72" s="1" t="n">
        <v>7.598</v>
      </c>
      <c r="M72" s="8"/>
      <c r="N72" s="9" t="n">
        <f aca="false">PERCENTILE(C72:L72,0.9)</f>
        <v>7.6879</v>
      </c>
      <c r="O72" s="9" t="n">
        <f aca="false">N10/N72</f>
        <v>8.38573602674332</v>
      </c>
      <c r="P72" s="9" t="n">
        <f aca="false">O72/32</f>
        <v>0.262054250835729</v>
      </c>
      <c r="Q72" s="3"/>
      <c r="R72" s="3"/>
      <c r="S72" s="3"/>
      <c r="T72" s="4"/>
      <c r="U72" s="4" t="s">
        <v>16</v>
      </c>
      <c r="V72" s="1" t="n">
        <v>67.285</v>
      </c>
      <c r="W72" s="1" t="n">
        <v>66.167</v>
      </c>
      <c r="X72" s="1" t="n">
        <v>63.086</v>
      </c>
      <c r="Y72" s="1" t="n">
        <v>55.117</v>
      </c>
      <c r="Z72" s="1" t="n">
        <v>73.032</v>
      </c>
      <c r="AA72" s="1" t="n">
        <v>67.401</v>
      </c>
      <c r="AB72" s="1" t="n">
        <v>61.09</v>
      </c>
      <c r="AC72" s="1" t="n">
        <v>68.706</v>
      </c>
      <c r="AD72" s="1" t="n">
        <v>65.393</v>
      </c>
      <c r="AE72" s="1" t="n">
        <v>37.478</v>
      </c>
      <c r="AF72" s="8"/>
      <c r="AG72" s="9" t="n">
        <f aca="false">PERCENTILE(V72:AE72,0.9)</f>
        <v>69.1386</v>
      </c>
      <c r="AH72" s="9" t="n">
        <f aca="false">N10/AG72</f>
        <v>0.932455965263977</v>
      </c>
      <c r="AI72" s="9" t="n">
        <f aca="false">AH72/32</f>
        <v>0.0291392489144993</v>
      </c>
      <c r="AJ72" s="3"/>
      <c r="AK72" s="3"/>
      <c r="AL72" s="3"/>
      <c r="AM72" s="4"/>
      <c r="AN72" s="4" t="s">
        <v>16</v>
      </c>
      <c r="AO72" s="1" t="n">
        <v>35.248</v>
      </c>
      <c r="AP72" s="1" t="n">
        <v>35.368</v>
      </c>
      <c r="AQ72" s="1" t="n">
        <v>35.88</v>
      </c>
      <c r="AR72" s="1" t="n">
        <v>35.958</v>
      </c>
      <c r="AS72" s="1" t="n">
        <v>36.035</v>
      </c>
      <c r="AT72" s="1" t="n">
        <v>35.549</v>
      </c>
      <c r="AU72" s="1" t="n">
        <v>35.752</v>
      </c>
      <c r="AV72" s="1" t="n">
        <v>34.922</v>
      </c>
      <c r="AW72" s="1" t="n">
        <v>36.356</v>
      </c>
      <c r="AX72" s="1" t="n">
        <v>35.351</v>
      </c>
      <c r="AY72" s="8"/>
      <c r="AZ72" s="9" t="n">
        <f aca="false">PERCENTILE(AO72:AX72,0.9)</f>
        <v>36.0671</v>
      </c>
      <c r="BA72" s="9" t="n">
        <f aca="false">N10/AZ72</f>
        <v>1.78746558497911</v>
      </c>
      <c r="BB72" s="9" t="n">
        <f aca="false">BA72/32</f>
        <v>0.0558582995305971</v>
      </c>
    </row>
    <row r="73" customFormat="false" ht="13.8" hidden="false" customHeight="false" outlineLevel="0" collapsed="false">
      <c r="A73" s="4" t="s">
        <v>20</v>
      </c>
      <c r="B73" s="4" t="s">
        <v>15</v>
      </c>
      <c r="C73" s="1" t="n">
        <v>6180</v>
      </c>
      <c r="D73" s="1" t="n">
        <v>6680</v>
      </c>
      <c r="E73" s="1" t="n">
        <v>8190</v>
      </c>
      <c r="F73" s="1" t="n">
        <v>8120</v>
      </c>
      <c r="G73" s="1" t="n">
        <v>6780</v>
      </c>
      <c r="H73" s="1" t="n">
        <v>8390</v>
      </c>
      <c r="I73" s="1" t="n">
        <v>7040</v>
      </c>
      <c r="J73" s="1" t="n">
        <v>6660</v>
      </c>
      <c r="K73" s="1" t="n">
        <v>9550</v>
      </c>
      <c r="L73" s="1" t="n">
        <v>6850</v>
      </c>
      <c r="M73" s="8"/>
      <c r="N73" s="9" t="n">
        <f aca="false">PERCENTILE(C73:L73,0.9)</f>
        <v>8506</v>
      </c>
      <c r="O73" s="9"/>
      <c r="P73" s="9"/>
      <c r="Q73" s="3"/>
      <c r="R73" s="3"/>
      <c r="S73" s="3"/>
      <c r="T73" s="4" t="s">
        <v>20</v>
      </c>
      <c r="U73" s="4" t="s">
        <v>15</v>
      </c>
      <c r="V73" s="1" t="n">
        <v>343930</v>
      </c>
      <c r="W73" s="1" t="n">
        <v>66220</v>
      </c>
      <c r="X73" s="1" t="n">
        <v>70920</v>
      </c>
      <c r="Y73" s="1" t="n">
        <v>64990</v>
      </c>
      <c r="Z73" s="1" t="n">
        <v>63300</v>
      </c>
      <c r="AA73" s="1" t="n">
        <v>65430</v>
      </c>
      <c r="AB73" s="1" t="n">
        <v>70350</v>
      </c>
      <c r="AC73" s="1" t="n">
        <v>69290</v>
      </c>
      <c r="AD73" s="1" t="n">
        <v>75940</v>
      </c>
      <c r="AE73" s="1" t="n">
        <v>556900</v>
      </c>
      <c r="AF73" s="8"/>
      <c r="AG73" s="9" t="n">
        <f aca="false">PERCENTILE(V73:AE73,0.9)</f>
        <v>365227</v>
      </c>
      <c r="AH73" s="9"/>
      <c r="AI73" s="9"/>
      <c r="AJ73" s="3"/>
      <c r="AK73" s="3"/>
      <c r="AL73" s="3"/>
      <c r="AM73" s="4" t="s">
        <v>20</v>
      </c>
      <c r="AN73" s="4" t="s">
        <v>15</v>
      </c>
      <c r="AO73" s="1" t="n">
        <v>73690</v>
      </c>
      <c r="AP73" s="1" t="n">
        <v>74500</v>
      </c>
      <c r="AQ73" s="1" t="n">
        <v>73200</v>
      </c>
      <c r="AR73" s="1" t="n">
        <v>75560</v>
      </c>
      <c r="AS73" s="1" t="n">
        <v>72660</v>
      </c>
      <c r="AT73" s="1" t="n">
        <v>72780</v>
      </c>
      <c r="AU73" s="1" t="n">
        <v>73110</v>
      </c>
      <c r="AV73" s="1" t="n">
        <v>72070</v>
      </c>
      <c r="AW73" s="1" t="n">
        <v>72930</v>
      </c>
      <c r="AX73" s="1" t="n">
        <v>72670</v>
      </c>
      <c r="AY73" s="8"/>
      <c r="AZ73" s="9" t="n">
        <f aca="false">PERCENTILE(AO73:AX73,0.9)</f>
        <v>74606</v>
      </c>
      <c r="BA73" s="9"/>
      <c r="BB73" s="9"/>
    </row>
    <row r="74" customFormat="false" ht="13.8" hidden="false" customHeight="false" outlineLevel="0" collapsed="false">
      <c r="A74" s="4"/>
      <c r="B74" s="4" t="s">
        <v>16</v>
      </c>
      <c r="C74" s="1" t="n">
        <v>251.746</v>
      </c>
      <c r="D74" s="1" t="n">
        <v>225.269</v>
      </c>
      <c r="E74" s="1" t="n">
        <v>272.97</v>
      </c>
      <c r="F74" s="1" t="n">
        <v>276.233</v>
      </c>
      <c r="G74" s="1" t="n">
        <v>225.726</v>
      </c>
      <c r="H74" s="1" t="n">
        <v>282.343</v>
      </c>
      <c r="I74" s="1" t="n">
        <v>243.303</v>
      </c>
      <c r="J74" s="1" t="n">
        <v>224.068</v>
      </c>
      <c r="K74" s="1" t="n">
        <v>302.007</v>
      </c>
      <c r="L74" s="1" t="n">
        <v>217.137</v>
      </c>
      <c r="M74" s="8"/>
      <c r="N74" s="9" t="n">
        <f aca="false">PERCENTILE(C74:L74,0.9)</f>
        <v>284.3094</v>
      </c>
      <c r="O74" s="9" t="n">
        <f aca="false">N12/N74</f>
        <v>6.50228448303152</v>
      </c>
      <c r="P74" s="9" t="n">
        <f aca="false">O74/32</f>
        <v>0.203196390094735</v>
      </c>
      <c r="Q74" s="3"/>
      <c r="R74" s="3"/>
      <c r="S74" s="3"/>
      <c r="T74" s="4"/>
      <c r="U74" s="4" t="s">
        <v>16</v>
      </c>
      <c r="V74" s="1" t="n">
        <v>12904.904</v>
      </c>
      <c r="W74" s="1" t="n">
        <v>2463.31</v>
      </c>
      <c r="X74" s="1" t="n">
        <v>2435.216</v>
      </c>
      <c r="Y74" s="1" t="n">
        <v>2695.657</v>
      </c>
      <c r="Z74" s="1" t="n">
        <v>2697.168</v>
      </c>
      <c r="AA74" s="1" t="n">
        <v>2520.675</v>
      </c>
      <c r="AB74" s="1" t="n">
        <v>2291.2</v>
      </c>
      <c r="AC74" s="1" t="n">
        <v>2398.199</v>
      </c>
      <c r="AD74" s="1" t="n">
        <v>2641.425</v>
      </c>
      <c r="AE74" s="1" t="n">
        <v>17517.084</v>
      </c>
      <c r="AF74" s="8"/>
      <c r="AG74" s="9" t="n">
        <f aca="false">PERCENTILE(V74:AE74,0.9)</f>
        <v>13366.122</v>
      </c>
      <c r="AH74" s="9" t="n">
        <f aca="false">N12/AG74</f>
        <v>0.138309421386398</v>
      </c>
      <c r="AI74" s="9" t="n">
        <f aca="false">AH74/32</f>
        <v>0.00432216941832493</v>
      </c>
      <c r="AJ74" s="3"/>
      <c r="AK74" s="3"/>
      <c r="AL74" s="3"/>
      <c r="AM74" s="4"/>
      <c r="AN74" s="4" t="s">
        <v>16</v>
      </c>
      <c r="AO74" s="1" t="n">
        <v>2310.232</v>
      </c>
      <c r="AP74" s="1" t="n">
        <v>2335.979</v>
      </c>
      <c r="AQ74" s="1" t="n">
        <v>2293.662</v>
      </c>
      <c r="AR74" s="1" t="n">
        <v>2368.131</v>
      </c>
      <c r="AS74" s="1" t="n">
        <v>2276.923</v>
      </c>
      <c r="AT74" s="1" t="n">
        <v>2280.412</v>
      </c>
      <c r="AU74" s="1" t="n">
        <v>2290.689</v>
      </c>
      <c r="AV74" s="1" t="n">
        <v>2258.147</v>
      </c>
      <c r="AW74" s="1" t="n">
        <v>2285.033</v>
      </c>
      <c r="AX74" s="1" t="n">
        <v>2276.909</v>
      </c>
      <c r="AY74" s="8"/>
      <c r="AZ74" s="9" t="n">
        <f aca="false">PERCENTILE(AO74:AX74,0.9)</f>
        <v>2339.1942</v>
      </c>
      <c r="BA74" s="9" t="n">
        <f aca="false">N12/AZ74</f>
        <v>0.79029804365965</v>
      </c>
      <c r="BB74" s="9" t="n">
        <f aca="false">BA74/32</f>
        <v>0.0246968138643641</v>
      </c>
    </row>
    <row r="75" customFormat="false" ht="12.8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10"/>
      <c r="O75" s="10"/>
      <c r="P75" s="10"/>
      <c r="Q75" s="3"/>
      <c r="R75" s="3"/>
      <c r="S75" s="3"/>
      <c r="T75" s="3"/>
      <c r="U75" s="3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3"/>
      <c r="AG75" s="3"/>
      <c r="AH75" s="3"/>
      <c r="AI75" s="3"/>
      <c r="AJ75" s="3"/>
      <c r="AK75" s="3"/>
      <c r="AL75" s="3"/>
      <c r="AM75" s="3"/>
      <c r="AN75" s="3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3"/>
      <c r="AZ75" s="3"/>
      <c r="BA75" s="3"/>
      <c r="BB75" s="3"/>
    </row>
    <row r="76" customFormat="false" ht="12.8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10"/>
      <c r="O76" s="10"/>
      <c r="P76" s="10"/>
      <c r="Q76" s="3"/>
      <c r="R76" s="1"/>
      <c r="S76" s="3"/>
      <c r="T76" s="3"/>
      <c r="U76" s="3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3"/>
      <c r="AG76" s="3"/>
      <c r="AH76" s="3"/>
      <c r="AI76" s="3"/>
      <c r="AJ76" s="3"/>
      <c r="AK76" s="3"/>
      <c r="AL76" s="3"/>
      <c r="AM76" s="3"/>
      <c r="AN76" s="3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3"/>
      <c r="AZ76" s="3"/>
      <c r="BA76" s="3"/>
      <c r="BB76" s="3"/>
    </row>
    <row r="77" customFormat="false" ht="12.8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0"/>
      <c r="O77" s="10"/>
      <c r="P77" s="10"/>
      <c r="Q77" s="3"/>
      <c r="R77" s="3"/>
      <c r="S77" s="3"/>
      <c r="T77" s="3"/>
      <c r="U77" s="3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3"/>
      <c r="AG77" s="3"/>
      <c r="AH77" s="3"/>
      <c r="AI77" s="3"/>
      <c r="AJ77" s="3"/>
      <c r="AK77" s="3"/>
      <c r="AL77" s="3"/>
      <c r="AM77" s="3"/>
      <c r="AN77" s="3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3"/>
      <c r="AZ77" s="3"/>
      <c r="BA77" s="3"/>
      <c r="BB77" s="3"/>
    </row>
    <row r="78" customFormat="false" ht="12.8" hidden="false" customHeight="false" outlineLevel="0" collapsed="false">
      <c r="A78" s="15" t="s">
        <v>37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 t="e">
        <f aca="false">#VALUE!</f>
        <v>#VALUE!</v>
      </c>
      <c r="O78" s="15"/>
      <c r="P78" s="15"/>
      <c r="Q78" s="3"/>
      <c r="R78" s="3"/>
      <c r="S78" s="3"/>
      <c r="T78" s="16" t="s">
        <v>38</v>
      </c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3"/>
      <c r="AK78" s="3"/>
      <c r="AL78" s="3"/>
      <c r="AM78" s="17" t="s">
        <v>39</v>
      </c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</row>
    <row r="79" customFormat="false" ht="13.8" hidden="false" customHeight="false" outlineLevel="0" collapsed="false">
      <c r="A79" s="4" t="s">
        <v>1</v>
      </c>
      <c r="B79" s="4" t="s">
        <v>2</v>
      </c>
      <c r="C79" s="4" t="s">
        <v>3</v>
      </c>
      <c r="D79" s="4" t="s">
        <v>4</v>
      </c>
      <c r="E79" s="4" t="s">
        <v>5</v>
      </c>
      <c r="F79" s="4" t="s">
        <v>6</v>
      </c>
      <c r="G79" s="4" t="s">
        <v>7</v>
      </c>
      <c r="H79" s="4" t="s">
        <v>8</v>
      </c>
      <c r="I79" s="4" t="s">
        <v>9</v>
      </c>
      <c r="J79" s="4" t="s">
        <v>10</v>
      </c>
      <c r="K79" s="4" t="s">
        <v>11</v>
      </c>
      <c r="L79" s="4" t="s">
        <v>12</v>
      </c>
      <c r="M79" s="5"/>
      <c r="N79" s="6" t="s">
        <v>13</v>
      </c>
      <c r="O79" s="6" t="s">
        <v>26</v>
      </c>
      <c r="P79" s="6" t="s">
        <v>27</v>
      </c>
      <c r="Q79" s="3"/>
      <c r="R79" s="3"/>
      <c r="S79" s="3"/>
      <c r="T79" s="4" t="s">
        <v>1</v>
      </c>
      <c r="U79" s="4" t="s">
        <v>2</v>
      </c>
      <c r="V79" s="4" t="s">
        <v>3</v>
      </c>
      <c r="W79" s="4" t="s">
        <v>4</v>
      </c>
      <c r="X79" s="4" t="s">
        <v>5</v>
      </c>
      <c r="Y79" s="4" t="s">
        <v>6</v>
      </c>
      <c r="Z79" s="4" t="s">
        <v>7</v>
      </c>
      <c r="AA79" s="4" t="s">
        <v>8</v>
      </c>
      <c r="AB79" s="4" t="s">
        <v>9</v>
      </c>
      <c r="AC79" s="4" t="s">
        <v>10</v>
      </c>
      <c r="AD79" s="4" t="s">
        <v>11</v>
      </c>
      <c r="AE79" s="4" t="s">
        <v>12</v>
      </c>
      <c r="AF79" s="5"/>
      <c r="AG79" s="6" t="s">
        <v>13</v>
      </c>
      <c r="AH79" s="6" t="s">
        <v>26</v>
      </c>
      <c r="AI79" s="6" t="s">
        <v>27</v>
      </c>
      <c r="AJ79" s="3"/>
      <c r="AK79" s="3"/>
      <c r="AL79" s="3"/>
      <c r="AM79" s="4" t="s">
        <v>1</v>
      </c>
      <c r="AN79" s="4" t="s">
        <v>2</v>
      </c>
      <c r="AO79" s="4" t="s">
        <v>3</v>
      </c>
      <c r="AP79" s="4" t="s">
        <v>4</v>
      </c>
      <c r="AQ79" s="4" t="s">
        <v>5</v>
      </c>
      <c r="AR79" s="4" t="s">
        <v>6</v>
      </c>
      <c r="AS79" s="4" t="s">
        <v>7</v>
      </c>
      <c r="AT79" s="4" t="s">
        <v>8</v>
      </c>
      <c r="AU79" s="4" t="s">
        <v>9</v>
      </c>
      <c r="AV79" s="4" t="s">
        <v>10</v>
      </c>
      <c r="AW79" s="4" t="s">
        <v>11</v>
      </c>
      <c r="AX79" s="4" t="s">
        <v>12</v>
      </c>
      <c r="AY79" s="5"/>
      <c r="AZ79" s="6" t="s">
        <v>13</v>
      </c>
      <c r="BA79" s="6" t="s">
        <v>26</v>
      </c>
      <c r="BB79" s="6" t="s">
        <v>27</v>
      </c>
    </row>
    <row r="80" customFormat="false" ht="13.8" hidden="false" customHeight="false" outlineLevel="0" collapsed="false">
      <c r="A80" s="4" t="s">
        <v>14</v>
      </c>
      <c r="B80" s="4" t="s">
        <v>15</v>
      </c>
      <c r="C80" s="1" t="n">
        <v>3970</v>
      </c>
      <c r="D80" s="1" t="n">
        <v>5130</v>
      </c>
      <c r="E80" s="1" t="n">
        <v>4970</v>
      </c>
      <c r="F80" s="1" t="n">
        <v>5040</v>
      </c>
      <c r="G80" s="1" t="n">
        <v>5100</v>
      </c>
      <c r="H80" s="1" t="n">
        <v>4110</v>
      </c>
      <c r="I80" s="1" t="n">
        <v>4830</v>
      </c>
      <c r="J80" s="1" t="n">
        <v>4870</v>
      </c>
      <c r="K80" s="1" t="n">
        <v>4330</v>
      </c>
      <c r="L80" s="1" t="n">
        <v>4850</v>
      </c>
      <c r="M80" s="8"/>
      <c r="N80" s="9" t="n">
        <f aca="false">PERCENTILE(C80:L80,0.9)</f>
        <v>5103</v>
      </c>
      <c r="O80" s="9"/>
      <c r="P80" s="9"/>
      <c r="Q80" s="3"/>
      <c r="R80" s="3"/>
      <c r="S80" s="3"/>
      <c r="T80" s="4" t="s">
        <v>14</v>
      </c>
      <c r="U80" s="4" t="s">
        <v>15</v>
      </c>
      <c r="V80" s="1" t="n">
        <v>8130</v>
      </c>
      <c r="W80" s="1" t="n">
        <v>8020</v>
      </c>
      <c r="X80" s="1" t="n">
        <v>8140</v>
      </c>
      <c r="Y80" s="1" t="n">
        <v>7400</v>
      </c>
      <c r="Z80" s="1" t="n">
        <v>8910</v>
      </c>
      <c r="AA80" s="1" t="n">
        <v>8140</v>
      </c>
      <c r="AB80" s="1" t="n">
        <v>7420</v>
      </c>
      <c r="AC80" s="1" t="n">
        <v>7300</v>
      </c>
      <c r="AD80" s="1" t="n">
        <v>8100</v>
      </c>
      <c r="AE80" s="1" t="n">
        <v>7540</v>
      </c>
      <c r="AF80" s="8"/>
      <c r="AG80" s="9" t="n">
        <f aca="false">PERCENTILE(V80:AE80,0.9)</f>
        <v>8217</v>
      </c>
      <c r="AH80" s="9"/>
      <c r="AI80" s="9"/>
      <c r="AJ80" s="3"/>
      <c r="AK80" s="3"/>
      <c r="AL80" s="3"/>
      <c r="AM80" s="4" t="s">
        <v>14</v>
      </c>
      <c r="AN80" s="4" t="s">
        <v>15</v>
      </c>
      <c r="AO80" s="1" t="n">
        <v>5890</v>
      </c>
      <c r="AP80" s="1" t="n">
        <v>5590</v>
      </c>
      <c r="AQ80" s="1" t="n">
        <v>7090</v>
      </c>
      <c r="AR80" s="1" t="n">
        <v>7200</v>
      </c>
      <c r="AS80" s="1" t="n">
        <v>6490</v>
      </c>
      <c r="AT80" s="1" t="n">
        <v>7120</v>
      </c>
      <c r="AU80" s="1" t="n">
        <v>6770</v>
      </c>
      <c r="AV80" s="1" t="n">
        <v>6490</v>
      </c>
      <c r="AW80" s="1" t="n">
        <v>7330</v>
      </c>
      <c r="AX80" s="1" t="n">
        <v>6660</v>
      </c>
      <c r="AY80" s="8"/>
      <c r="AZ80" s="9" t="n">
        <f aca="false">PERCENTILE(AO80:AX80,0.9)</f>
        <v>7213</v>
      </c>
      <c r="BA80" s="9"/>
      <c r="BB80" s="9"/>
    </row>
    <row r="81" customFormat="false" ht="13.8" hidden="false" customHeight="false" outlineLevel="0" collapsed="false">
      <c r="A81" s="4"/>
      <c r="B81" s="4" t="s">
        <v>16</v>
      </c>
      <c r="C81" s="1" t="n">
        <v>74.572</v>
      </c>
      <c r="D81" s="1" t="n">
        <v>90.927</v>
      </c>
      <c r="E81" s="1" t="n">
        <v>87.825</v>
      </c>
      <c r="F81" s="1" t="n">
        <v>95.958</v>
      </c>
      <c r="G81" s="1" t="n">
        <v>92.086</v>
      </c>
      <c r="H81" s="1" t="n">
        <v>75.396</v>
      </c>
      <c r="I81" s="1" t="n">
        <v>87.006</v>
      </c>
      <c r="J81" s="1" t="n">
        <v>86.197</v>
      </c>
      <c r="K81" s="1" t="n">
        <v>77.656</v>
      </c>
      <c r="L81" s="1" t="n">
        <v>87.797</v>
      </c>
      <c r="M81" s="8"/>
      <c r="N81" s="9" t="n">
        <f aca="false">PERCENTILE(C81:L81,0.9)</f>
        <v>92.4732</v>
      </c>
      <c r="O81" s="9" t="n">
        <f aca="false">N4/N81</f>
        <v>3.62468477353439</v>
      </c>
      <c r="P81" s="9" t="n">
        <f aca="false">O81/64</f>
        <v>0.0566356995864748</v>
      </c>
      <c r="Q81" s="3"/>
      <c r="R81" s="3"/>
      <c r="S81" s="3"/>
      <c r="T81" s="4"/>
      <c r="U81" s="4" t="s">
        <v>16</v>
      </c>
      <c r="V81" s="1" t="n">
        <v>128.831</v>
      </c>
      <c r="W81" s="1" t="n">
        <v>128.451</v>
      </c>
      <c r="X81" s="1" t="n">
        <v>128.819</v>
      </c>
      <c r="Y81" s="1" t="n">
        <v>117.033</v>
      </c>
      <c r="Z81" s="1" t="n">
        <v>143.85</v>
      </c>
      <c r="AA81" s="1" t="n">
        <v>129.94</v>
      </c>
      <c r="AB81" s="1" t="n">
        <v>117.136</v>
      </c>
      <c r="AC81" s="1" t="n">
        <v>115.402</v>
      </c>
      <c r="AD81" s="1" t="n">
        <v>129.678</v>
      </c>
      <c r="AE81" s="1" t="n">
        <v>119.336</v>
      </c>
      <c r="AF81" s="8"/>
      <c r="AG81" s="9" t="n">
        <f aca="false">PERCENTILE(V81:AE81,0.9)</f>
        <v>131.331</v>
      </c>
      <c r="AH81" s="9" t="n">
        <f aca="false">N4/AG81</f>
        <v>2.55222453190793</v>
      </c>
      <c r="AI81" s="9" t="n">
        <f aca="false">AH81/64</f>
        <v>0.0398785083110614</v>
      </c>
      <c r="AJ81" s="3"/>
      <c r="AK81" s="3"/>
      <c r="AL81" s="3"/>
      <c r="AM81" s="4"/>
      <c r="AN81" s="4" t="s">
        <v>16</v>
      </c>
      <c r="AO81" s="1" t="n">
        <v>182.094</v>
      </c>
      <c r="AP81" s="1" t="n">
        <v>283.597</v>
      </c>
      <c r="AQ81" s="1" t="n">
        <v>188.444</v>
      </c>
      <c r="AR81" s="1" t="n">
        <v>212.001</v>
      </c>
      <c r="AS81" s="1" t="n">
        <v>221.738</v>
      </c>
      <c r="AT81" s="1" t="n">
        <v>160.633</v>
      </c>
      <c r="AU81" s="1" t="n">
        <v>220.281</v>
      </c>
      <c r="AV81" s="1" t="n">
        <v>204.858</v>
      </c>
      <c r="AW81" s="1" t="n">
        <v>169.75</v>
      </c>
      <c r="AX81" s="1" t="n">
        <v>157.356</v>
      </c>
      <c r="AY81" s="8"/>
      <c r="AZ81" s="9" t="n">
        <f aca="false">PERCENTILE(AO81:AX81,0.9)</f>
        <v>227.9239</v>
      </c>
      <c r="BA81" s="9" t="n">
        <f aca="false">N4/AZ81</f>
        <v>1.47060575920296</v>
      </c>
      <c r="BB81" s="9" t="n">
        <f aca="false">BA81/64</f>
        <v>0.0229782149875463</v>
      </c>
    </row>
    <row r="82" customFormat="false" ht="13.8" hidden="false" customHeight="false" outlineLevel="0" collapsed="false">
      <c r="A82" s="4" t="s">
        <v>17</v>
      </c>
      <c r="B82" s="4" t="s">
        <v>15</v>
      </c>
      <c r="C82" s="1" t="n">
        <v>2230</v>
      </c>
      <c r="D82" s="1" t="n">
        <v>2250</v>
      </c>
      <c r="E82" s="1" t="n">
        <v>1660</v>
      </c>
      <c r="F82" s="1" t="n">
        <v>2250</v>
      </c>
      <c r="G82" s="1" t="n">
        <v>1620</v>
      </c>
      <c r="H82" s="1" t="n">
        <v>1660</v>
      </c>
      <c r="I82" s="1" t="n">
        <v>2190</v>
      </c>
      <c r="J82" s="1" t="n">
        <v>1570</v>
      </c>
      <c r="K82" s="1" t="n">
        <v>2310</v>
      </c>
      <c r="L82" s="1" t="n">
        <v>1990</v>
      </c>
      <c r="M82" s="8"/>
      <c r="N82" s="9" t="n">
        <f aca="false">PERCENTILE(C82:L82,0.9)</f>
        <v>2256</v>
      </c>
      <c r="O82" s="9"/>
      <c r="P82" s="9"/>
      <c r="Q82" s="3"/>
      <c r="R82" s="3"/>
      <c r="S82" s="3"/>
      <c r="T82" s="4" t="s">
        <v>17</v>
      </c>
      <c r="U82" s="4" t="s">
        <v>15</v>
      </c>
      <c r="V82" s="1" t="n">
        <v>4420</v>
      </c>
      <c r="W82" s="1" t="n">
        <v>5020</v>
      </c>
      <c r="X82" s="1" t="n">
        <v>3620</v>
      </c>
      <c r="Y82" s="1" t="n">
        <v>3590</v>
      </c>
      <c r="Z82" s="1" t="n">
        <v>3570</v>
      </c>
      <c r="AA82" s="1" t="n">
        <v>3630</v>
      </c>
      <c r="AB82" s="1" t="n">
        <v>3600</v>
      </c>
      <c r="AC82" s="1" t="n">
        <v>4490</v>
      </c>
      <c r="AD82" s="1" t="n">
        <v>4340</v>
      </c>
      <c r="AE82" s="1" t="n">
        <v>3640</v>
      </c>
      <c r="AF82" s="8"/>
      <c r="AG82" s="9" t="n">
        <f aca="false">PERCENTILE(V82:AE82,0.9)</f>
        <v>4543</v>
      </c>
      <c r="AH82" s="9"/>
      <c r="AI82" s="9"/>
      <c r="AJ82" s="3"/>
      <c r="AK82" s="3"/>
      <c r="AL82" s="3"/>
      <c r="AM82" s="4" t="s">
        <v>17</v>
      </c>
      <c r="AN82" s="4" t="s">
        <v>15</v>
      </c>
      <c r="AO82" s="1" t="n">
        <v>3690</v>
      </c>
      <c r="AP82" s="1" t="n">
        <v>3840</v>
      </c>
      <c r="AQ82" s="1" t="n">
        <v>3300</v>
      </c>
      <c r="AR82" s="1" t="n">
        <v>3420</v>
      </c>
      <c r="AS82" s="1" t="n">
        <v>3960</v>
      </c>
      <c r="AT82" s="1" t="n">
        <v>3910</v>
      </c>
      <c r="AU82" s="1" t="n">
        <v>4310</v>
      </c>
      <c r="AV82" s="1" t="n">
        <v>3950</v>
      </c>
      <c r="AW82" s="1" t="n">
        <v>4470</v>
      </c>
      <c r="AX82" s="1" t="n">
        <v>57570</v>
      </c>
      <c r="AY82" s="8"/>
      <c r="AZ82" s="9" t="n">
        <f aca="false">PERCENTILE(AO82:AX82,0.9)</f>
        <v>9779.99999999998</v>
      </c>
      <c r="BA82" s="9"/>
      <c r="BB82" s="9"/>
    </row>
    <row r="83" customFormat="false" ht="13.8" hidden="false" customHeight="false" outlineLevel="0" collapsed="false">
      <c r="A83" s="4"/>
      <c r="B83" s="4" t="s">
        <v>16</v>
      </c>
      <c r="C83" s="1" t="n">
        <v>38.163</v>
      </c>
      <c r="D83" s="1" t="n">
        <v>39.513</v>
      </c>
      <c r="E83" s="1" t="n">
        <v>28.15</v>
      </c>
      <c r="F83" s="1" t="n">
        <v>39.678</v>
      </c>
      <c r="G83" s="1" t="n">
        <v>27.958</v>
      </c>
      <c r="H83" s="1" t="n">
        <v>28.918</v>
      </c>
      <c r="I83" s="1" t="n">
        <v>39.281</v>
      </c>
      <c r="J83" s="1" t="n">
        <v>26.409</v>
      </c>
      <c r="K83" s="1" t="n">
        <v>38.723</v>
      </c>
      <c r="L83" s="1" t="n">
        <v>36.644</v>
      </c>
      <c r="M83" s="8"/>
      <c r="N83" s="9" t="n">
        <f aca="false">PERCENTILE(C83:L83,0.9)</f>
        <v>39.5295</v>
      </c>
      <c r="O83" s="9" t="n">
        <f aca="false">N6/N83</f>
        <v>2.63530527833643</v>
      </c>
      <c r="P83" s="9" t="n">
        <f aca="false">O83/64</f>
        <v>0.0411766449740068</v>
      </c>
      <c r="Q83" s="3"/>
      <c r="R83" s="3"/>
      <c r="S83" s="3"/>
      <c r="T83" s="4"/>
      <c r="U83" s="4" t="s">
        <v>16</v>
      </c>
      <c r="V83" s="1" t="n">
        <v>70.557</v>
      </c>
      <c r="W83" s="1" t="n">
        <v>81.136</v>
      </c>
      <c r="X83" s="1" t="n">
        <v>57.618</v>
      </c>
      <c r="Y83" s="1" t="n">
        <v>57.25</v>
      </c>
      <c r="Z83" s="1" t="n">
        <v>57.109</v>
      </c>
      <c r="AA83" s="1" t="n">
        <v>58.056</v>
      </c>
      <c r="AB83" s="1" t="n">
        <v>57.678</v>
      </c>
      <c r="AC83" s="1" t="n">
        <v>73.848</v>
      </c>
      <c r="AD83" s="1" t="n">
        <v>69.857</v>
      </c>
      <c r="AE83" s="1" t="n">
        <v>58.245</v>
      </c>
      <c r="AF83" s="8"/>
      <c r="AG83" s="9" t="n">
        <f aca="false">PERCENTILE(V83:AE83,0.9)</f>
        <v>74.5768</v>
      </c>
      <c r="AH83" s="9" t="n">
        <f aca="false">N6/AG83</f>
        <v>1.39684593600155</v>
      </c>
      <c r="AI83" s="9" t="n">
        <f aca="false">AH83/64</f>
        <v>0.0218257177500241</v>
      </c>
      <c r="AJ83" s="3"/>
      <c r="AK83" s="3"/>
      <c r="AL83" s="3"/>
      <c r="AM83" s="4"/>
      <c r="AN83" s="4" t="s">
        <v>16</v>
      </c>
      <c r="AO83" s="1" t="n">
        <v>108.72</v>
      </c>
      <c r="AP83" s="1" t="n">
        <v>153.259</v>
      </c>
      <c r="AQ83" s="1" t="n">
        <v>197.559</v>
      </c>
      <c r="AR83" s="1" t="n">
        <v>139.344</v>
      </c>
      <c r="AS83" s="1" t="n">
        <v>136.498</v>
      </c>
      <c r="AT83" s="1" t="n">
        <v>116.684</v>
      </c>
      <c r="AU83" s="1" t="n">
        <v>114.063</v>
      </c>
      <c r="AV83" s="1" t="n">
        <v>102.857</v>
      </c>
      <c r="AW83" s="1" t="n">
        <v>98.076</v>
      </c>
      <c r="AX83" s="1" t="n">
        <v>1817.362</v>
      </c>
      <c r="AY83" s="8"/>
      <c r="AZ83" s="9" t="n">
        <f aca="false">PERCENTILE(AO83:AX83,0.9)</f>
        <v>359.539299999999</v>
      </c>
      <c r="BA83" s="9" t="n">
        <f aca="false">N6/AZ83</f>
        <v>0.289738284521331</v>
      </c>
      <c r="BB83" s="9" t="n">
        <f aca="false">BA83/64</f>
        <v>0.0045271606956458</v>
      </c>
    </row>
    <row r="84" customFormat="false" ht="13.8" hidden="false" customHeight="false" outlineLevel="0" collapsed="false">
      <c r="A84" s="4" t="s">
        <v>18</v>
      </c>
      <c r="B84" s="4" t="s">
        <v>15</v>
      </c>
      <c r="C84" s="1" t="n">
        <v>1710</v>
      </c>
      <c r="D84" s="1" t="n">
        <v>560</v>
      </c>
      <c r="E84" s="1" t="n">
        <v>1510</v>
      </c>
      <c r="F84" s="1" t="n">
        <v>1480</v>
      </c>
      <c r="G84" s="1" t="n">
        <v>1300</v>
      </c>
      <c r="H84" s="1" t="n">
        <v>540</v>
      </c>
      <c r="I84" s="1" t="n">
        <v>1130</v>
      </c>
      <c r="J84" s="1" t="n">
        <v>1480</v>
      </c>
      <c r="K84" s="1" t="n">
        <v>1040</v>
      </c>
      <c r="L84" s="1" t="n">
        <v>1660</v>
      </c>
      <c r="M84" s="8"/>
      <c r="N84" s="9" t="n">
        <f aca="false">PERCENTILE(C84:L84,0.9)</f>
        <v>1665</v>
      </c>
      <c r="O84" s="9"/>
      <c r="P84" s="9"/>
      <c r="Q84" s="3"/>
      <c r="R84" s="3"/>
      <c r="S84" s="3"/>
      <c r="T84" s="4" t="s">
        <v>18</v>
      </c>
      <c r="U84" s="4" t="s">
        <v>15</v>
      </c>
      <c r="V84" s="1" t="n">
        <v>800</v>
      </c>
      <c r="W84" s="1" t="n">
        <v>2050</v>
      </c>
      <c r="X84" s="1" t="n">
        <v>1400</v>
      </c>
      <c r="Y84" s="1" t="n">
        <v>1560</v>
      </c>
      <c r="Z84" s="1" t="n">
        <v>1430</v>
      </c>
      <c r="AA84" s="1" t="n">
        <v>1590</v>
      </c>
      <c r="AB84" s="1" t="n">
        <v>800</v>
      </c>
      <c r="AC84" s="1" t="n">
        <v>800</v>
      </c>
      <c r="AD84" s="1" t="n">
        <v>810</v>
      </c>
      <c r="AE84" s="1" t="n">
        <v>1580</v>
      </c>
      <c r="AF84" s="8"/>
      <c r="AG84" s="9" t="n">
        <f aca="false">PERCENTILE(V84:AE84,0.9)</f>
        <v>1636</v>
      </c>
      <c r="AH84" s="9"/>
      <c r="AI84" s="9"/>
      <c r="AJ84" s="3"/>
      <c r="AK84" s="3"/>
      <c r="AL84" s="3"/>
      <c r="AM84" s="4" t="s">
        <v>18</v>
      </c>
      <c r="AN84" s="4" t="s">
        <v>15</v>
      </c>
      <c r="AO84" s="1" t="n">
        <v>2310</v>
      </c>
      <c r="AP84" s="1" t="n">
        <v>1980</v>
      </c>
      <c r="AQ84" s="1" t="n">
        <v>2230</v>
      </c>
      <c r="AR84" s="1" t="n">
        <v>1840</v>
      </c>
      <c r="AS84" s="1" t="n">
        <v>2210</v>
      </c>
      <c r="AT84" s="1" t="n">
        <v>2280</v>
      </c>
      <c r="AU84" s="1" t="n">
        <v>1960</v>
      </c>
      <c r="AV84" s="1" t="n">
        <v>3120</v>
      </c>
      <c r="AW84" s="1" t="n">
        <v>2220</v>
      </c>
      <c r="AX84" s="1" t="n">
        <v>2350</v>
      </c>
      <c r="AY84" s="8"/>
      <c r="AZ84" s="9" t="n">
        <f aca="false">PERCENTILE(AO84:AX84,0.9)</f>
        <v>2427</v>
      </c>
      <c r="BA84" s="9"/>
      <c r="BB84" s="9"/>
    </row>
    <row r="85" customFormat="false" ht="13.8" hidden="false" customHeight="false" outlineLevel="0" collapsed="false">
      <c r="A85" s="4"/>
      <c r="B85" s="4" t="s">
        <v>16</v>
      </c>
      <c r="C85" s="1" t="n">
        <v>28.252</v>
      </c>
      <c r="D85" s="1" t="n">
        <v>9.738</v>
      </c>
      <c r="E85" s="1" t="n">
        <v>28.517</v>
      </c>
      <c r="F85" s="1" t="n">
        <v>28.752</v>
      </c>
      <c r="G85" s="1" t="n">
        <v>25.15</v>
      </c>
      <c r="H85" s="1" t="n">
        <v>9.693</v>
      </c>
      <c r="I85" s="1" t="n">
        <v>20.956</v>
      </c>
      <c r="J85" s="1" t="n">
        <v>27.941</v>
      </c>
      <c r="K85" s="1" t="n">
        <v>20.732</v>
      </c>
      <c r="L85" s="1" t="n">
        <v>27.596</v>
      </c>
      <c r="M85" s="8"/>
      <c r="N85" s="9" t="n">
        <f aca="false">PERCENTILE(C85:L85,0.9)</f>
        <v>28.5405</v>
      </c>
      <c r="O85" s="9" t="n">
        <f aca="false">N8/N85</f>
        <v>1.11877157022477</v>
      </c>
      <c r="P85" s="9" t="n">
        <f aca="false">O85/64</f>
        <v>0.017480805784762</v>
      </c>
      <c r="Q85" s="3"/>
      <c r="R85" s="3"/>
      <c r="S85" s="3"/>
      <c r="T85" s="4"/>
      <c r="U85" s="4" t="s">
        <v>16</v>
      </c>
      <c r="V85" s="1" t="n">
        <v>13.65</v>
      </c>
      <c r="W85" s="1" t="n">
        <v>40.432</v>
      </c>
      <c r="X85" s="1" t="n">
        <v>27.881</v>
      </c>
      <c r="Y85" s="1" t="n">
        <v>25.994</v>
      </c>
      <c r="Z85" s="1" t="n">
        <v>25.544</v>
      </c>
      <c r="AA85" s="1" t="n">
        <v>26.185</v>
      </c>
      <c r="AB85" s="1" t="n">
        <v>13.788</v>
      </c>
      <c r="AC85" s="1" t="n">
        <v>13.717</v>
      </c>
      <c r="AD85" s="1" t="n">
        <v>13.625</v>
      </c>
      <c r="AE85" s="1" t="n">
        <v>26.103</v>
      </c>
      <c r="AF85" s="8"/>
      <c r="AG85" s="9" t="n">
        <f aca="false">PERCENTILE(V85:AE85,0.9)</f>
        <v>29.1361</v>
      </c>
      <c r="AH85" s="9" t="n">
        <f aca="false">N8/AG85</f>
        <v>1.09590164778402</v>
      </c>
      <c r="AI85" s="9" t="n">
        <f aca="false">AH85/64</f>
        <v>0.0171234632466253</v>
      </c>
      <c r="AJ85" s="3"/>
      <c r="AK85" s="3"/>
      <c r="AL85" s="3"/>
      <c r="AM85" s="4"/>
      <c r="AN85" s="4" t="s">
        <v>16</v>
      </c>
      <c r="AO85" s="1" t="n">
        <v>61.113</v>
      </c>
      <c r="AP85" s="1" t="n">
        <v>81.679</v>
      </c>
      <c r="AQ85" s="1" t="n">
        <v>90.81</v>
      </c>
      <c r="AR85" s="1" t="n">
        <v>38.932</v>
      </c>
      <c r="AS85" s="1" t="n">
        <v>101.621</v>
      </c>
      <c r="AT85" s="1" t="n">
        <v>116.966</v>
      </c>
      <c r="AU85" s="1" t="n">
        <v>61.782</v>
      </c>
      <c r="AV85" s="1" t="n">
        <v>113.589</v>
      </c>
      <c r="AW85" s="1" t="n">
        <v>87.999</v>
      </c>
      <c r="AX85" s="1" t="n">
        <v>57.324</v>
      </c>
      <c r="AY85" s="8"/>
      <c r="AZ85" s="9" t="n">
        <f aca="false">PERCENTILE(AO85:AX85,0.9)</f>
        <v>113.9267</v>
      </c>
      <c r="BA85" s="9" t="n">
        <f aca="false">N8/AZ85</f>
        <v>0.280270559930201</v>
      </c>
      <c r="BB85" s="9" t="n">
        <f aca="false">BA85/64</f>
        <v>0.00437922749890939</v>
      </c>
    </row>
    <row r="86" customFormat="false" ht="13.8" hidden="false" customHeight="false" outlineLevel="0" collapsed="false">
      <c r="A86" s="4" t="s">
        <v>19</v>
      </c>
      <c r="B86" s="4" t="s">
        <v>15</v>
      </c>
      <c r="C86" s="1" t="n">
        <v>1540</v>
      </c>
      <c r="D86" s="1" t="n">
        <v>1610</v>
      </c>
      <c r="E86" s="1" t="n">
        <v>1560</v>
      </c>
      <c r="F86" s="1" t="n">
        <v>1920</v>
      </c>
      <c r="G86" s="1" t="n">
        <v>930</v>
      </c>
      <c r="H86" s="1" t="n">
        <v>1600</v>
      </c>
      <c r="I86" s="1" t="n">
        <v>1650</v>
      </c>
      <c r="J86" s="1" t="n">
        <v>2060</v>
      </c>
      <c r="K86" s="1" t="n">
        <v>2750</v>
      </c>
      <c r="L86" s="1" t="n">
        <v>1880</v>
      </c>
      <c r="M86" s="8"/>
      <c r="N86" s="9" t="n">
        <f aca="false">PERCENTILE(C86:L86,0.9)</f>
        <v>2129</v>
      </c>
      <c r="O86" s="9"/>
      <c r="P86" s="9"/>
      <c r="Q86" s="3"/>
      <c r="R86" s="3"/>
      <c r="S86" s="3"/>
      <c r="T86" s="4" t="s">
        <v>19</v>
      </c>
      <c r="U86" s="4" t="s">
        <v>15</v>
      </c>
      <c r="V86" s="1" t="n">
        <v>2090</v>
      </c>
      <c r="W86" s="1" t="n">
        <v>2050</v>
      </c>
      <c r="X86" s="1" t="n">
        <v>2010</v>
      </c>
      <c r="Y86" s="1" t="n">
        <v>2810</v>
      </c>
      <c r="Z86" s="1" t="n">
        <v>2040</v>
      </c>
      <c r="AA86" s="1" t="n">
        <v>2770</v>
      </c>
      <c r="AB86" s="1" t="n">
        <v>2030</v>
      </c>
      <c r="AC86" s="1" t="n">
        <v>1980</v>
      </c>
      <c r="AD86" s="1" t="n">
        <v>2020</v>
      </c>
      <c r="AE86" s="1" t="n">
        <v>2010</v>
      </c>
      <c r="AF86" s="8"/>
      <c r="AG86" s="9" t="n">
        <f aca="false">PERCENTILE(V86:AE86,0.9)</f>
        <v>2774</v>
      </c>
      <c r="AH86" s="9"/>
      <c r="AI86" s="9"/>
      <c r="AJ86" s="3"/>
      <c r="AK86" s="3"/>
      <c r="AL86" s="3"/>
      <c r="AM86" s="4" t="s">
        <v>19</v>
      </c>
      <c r="AN86" s="4" t="s">
        <v>15</v>
      </c>
      <c r="AO86" s="1" t="n">
        <v>2770</v>
      </c>
      <c r="AP86" s="1" t="n">
        <v>2580</v>
      </c>
      <c r="AQ86" s="1" t="n">
        <v>3370</v>
      </c>
      <c r="AR86" s="1" t="n">
        <v>3140</v>
      </c>
      <c r="AS86" s="1" t="n">
        <v>2690</v>
      </c>
      <c r="AT86" s="1" t="n">
        <v>19970</v>
      </c>
      <c r="AU86" s="1" t="n">
        <v>4080</v>
      </c>
      <c r="AV86" s="1" t="n">
        <v>3200</v>
      </c>
      <c r="AW86" s="1" t="n">
        <v>2820</v>
      </c>
      <c r="AX86" s="1" t="n">
        <v>3210</v>
      </c>
      <c r="AY86" s="8"/>
      <c r="AZ86" s="9" t="n">
        <f aca="false">PERCENTILE(AO86:AX86,0.9)</f>
        <v>5668.99999999999</v>
      </c>
      <c r="BA86" s="9"/>
      <c r="BB86" s="9"/>
    </row>
    <row r="87" customFormat="false" ht="13.8" hidden="false" customHeight="false" outlineLevel="0" collapsed="false">
      <c r="A87" s="4"/>
      <c r="B87" s="4" t="s">
        <v>16</v>
      </c>
      <c r="C87" s="1" t="n">
        <v>28.064</v>
      </c>
      <c r="D87" s="1" t="n">
        <v>28.753</v>
      </c>
      <c r="E87" s="1" t="n">
        <v>27.201</v>
      </c>
      <c r="F87" s="1" t="n">
        <v>34.594</v>
      </c>
      <c r="G87" s="1" t="n">
        <v>15.716</v>
      </c>
      <c r="H87" s="1" t="n">
        <v>29.677</v>
      </c>
      <c r="I87" s="1" t="n">
        <v>27.613</v>
      </c>
      <c r="J87" s="1" t="n">
        <v>34.94</v>
      </c>
      <c r="K87" s="1" t="n">
        <v>48.552</v>
      </c>
      <c r="L87" s="1" t="n">
        <v>33.783</v>
      </c>
      <c r="M87" s="8"/>
      <c r="N87" s="9" t="n">
        <f aca="false">PERCENTILE(C87:L87,0.9)</f>
        <v>36.3012</v>
      </c>
      <c r="O87" s="9" t="n">
        <f aca="false">N10/N87</f>
        <v>1.77593853646711</v>
      </c>
      <c r="P87" s="9" t="n">
        <f aca="false">O87/64</f>
        <v>0.0277490396322987</v>
      </c>
      <c r="Q87" s="3"/>
      <c r="R87" s="3"/>
      <c r="S87" s="3"/>
      <c r="T87" s="4"/>
      <c r="U87" s="4" t="s">
        <v>16</v>
      </c>
      <c r="V87" s="1" t="n">
        <v>33.687</v>
      </c>
      <c r="W87" s="1" t="n">
        <v>33.497</v>
      </c>
      <c r="X87" s="1" t="n">
        <v>32.66</v>
      </c>
      <c r="Y87" s="1" t="n">
        <v>45.192</v>
      </c>
      <c r="Z87" s="1" t="n">
        <v>32.95</v>
      </c>
      <c r="AA87" s="1" t="n">
        <v>44.925</v>
      </c>
      <c r="AB87" s="1" t="n">
        <v>32.998</v>
      </c>
      <c r="AC87" s="1" t="n">
        <v>32.146</v>
      </c>
      <c r="AD87" s="1" t="n">
        <v>32.886</v>
      </c>
      <c r="AE87" s="1" t="n">
        <v>32.574</v>
      </c>
      <c r="AF87" s="8"/>
      <c r="AG87" s="9" t="n">
        <f aca="false">PERCENTILE(V87:AE87,0.9)</f>
        <v>44.9517</v>
      </c>
      <c r="AH87" s="9" t="n">
        <f aca="false">N10/AG87</f>
        <v>1.43417712789505</v>
      </c>
      <c r="AI87" s="9" t="n">
        <f aca="false">AH87/64</f>
        <v>0.0224090176233602</v>
      </c>
      <c r="AJ87" s="3"/>
      <c r="AK87" s="3"/>
      <c r="AL87" s="3"/>
      <c r="AM87" s="4"/>
      <c r="AN87" s="4" t="s">
        <v>16</v>
      </c>
      <c r="AO87" s="1" t="n">
        <v>117.767</v>
      </c>
      <c r="AP87" s="1" t="n">
        <v>107.793</v>
      </c>
      <c r="AQ87" s="1" t="n">
        <v>142.529</v>
      </c>
      <c r="AR87" s="1" t="n">
        <v>94.843</v>
      </c>
      <c r="AS87" s="1" t="n">
        <v>93.975</v>
      </c>
      <c r="AT87" s="1" t="n">
        <v>810.202</v>
      </c>
      <c r="AU87" s="1" t="n">
        <v>119.728</v>
      </c>
      <c r="AV87" s="1" t="n">
        <v>87.128</v>
      </c>
      <c r="AW87" s="1" t="n">
        <v>91.085</v>
      </c>
      <c r="AX87" s="1" t="n">
        <v>84.213</v>
      </c>
      <c r="AY87" s="8"/>
      <c r="AZ87" s="9" t="n">
        <f aca="false">PERCENTILE(AO87:AX87,0.9)</f>
        <v>209.2963</v>
      </c>
      <c r="BA87" s="9" t="n">
        <f aca="false">N10/AZ87</f>
        <v>0.308025989948222</v>
      </c>
      <c r="BB87" s="9" t="n">
        <f aca="false">BA87/64</f>
        <v>0.00481290609294097</v>
      </c>
    </row>
    <row r="88" customFormat="false" ht="13.8" hidden="false" customHeight="false" outlineLevel="0" collapsed="false">
      <c r="A88" s="4" t="s">
        <v>20</v>
      </c>
      <c r="B88" s="4" t="s">
        <v>15</v>
      </c>
      <c r="C88" s="1" t="n">
        <v>28930</v>
      </c>
      <c r="D88" s="1" t="n">
        <v>29360</v>
      </c>
      <c r="E88" s="1" t="n">
        <v>28540</v>
      </c>
      <c r="F88" s="1" t="n">
        <v>31410</v>
      </c>
      <c r="G88" s="1" t="n">
        <v>27560</v>
      </c>
      <c r="H88" s="1" t="n">
        <v>27120</v>
      </c>
      <c r="I88" s="1" t="n">
        <v>29160</v>
      </c>
      <c r="J88" s="1" t="n">
        <v>29570</v>
      </c>
      <c r="K88" s="1" t="n">
        <v>28310</v>
      </c>
      <c r="L88" s="1" t="n">
        <v>28320</v>
      </c>
      <c r="M88" s="8"/>
      <c r="N88" s="9" t="n">
        <f aca="false">PERCENTILE(C88:L88,0.9)</f>
        <v>29754</v>
      </c>
      <c r="O88" s="9"/>
      <c r="P88" s="9"/>
      <c r="Q88" s="3"/>
      <c r="R88" s="3"/>
      <c r="S88" s="3"/>
      <c r="T88" s="4" t="s">
        <v>20</v>
      </c>
      <c r="U88" s="4" t="s">
        <v>15</v>
      </c>
      <c r="V88" s="1" t="n">
        <v>133740</v>
      </c>
      <c r="W88" s="1" t="n">
        <v>130470</v>
      </c>
      <c r="X88" s="1" t="n">
        <v>133810</v>
      </c>
      <c r="Y88" s="1" t="n">
        <v>131160</v>
      </c>
      <c r="Z88" s="1" t="n">
        <v>133280</v>
      </c>
      <c r="AA88" s="1" t="n">
        <v>130720</v>
      </c>
      <c r="AB88" s="1" t="n">
        <v>130990</v>
      </c>
      <c r="AC88" s="1" t="n">
        <v>132700</v>
      </c>
      <c r="AD88" s="1" t="n">
        <v>131900</v>
      </c>
      <c r="AE88" s="1" t="n">
        <v>134730</v>
      </c>
      <c r="AF88" s="8"/>
      <c r="AG88" s="9" t="n">
        <f aca="false">PERCENTILE(V88:AE88,0.9)</f>
        <v>133902</v>
      </c>
      <c r="AH88" s="9"/>
      <c r="AI88" s="9"/>
      <c r="AJ88" s="3"/>
      <c r="AK88" s="3"/>
      <c r="AL88" s="3"/>
      <c r="AM88" s="4" t="s">
        <v>20</v>
      </c>
      <c r="AN88" s="4" t="s">
        <v>15</v>
      </c>
      <c r="AO88" s="1" t="n">
        <v>104160</v>
      </c>
      <c r="AP88" s="1" t="n">
        <v>98380</v>
      </c>
      <c r="AQ88" s="1" t="n">
        <v>86040</v>
      </c>
      <c r="AR88" s="1" t="n">
        <v>98240</v>
      </c>
      <c r="AS88" s="1" t="n">
        <v>95620</v>
      </c>
      <c r="AT88" s="1" t="n">
        <v>915620</v>
      </c>
      <c r="AU88" s="1" t="n">
        <v>115700</v>
      </c>
      <c r="AV88" s="1" t="n">
        <v>101150</v>
      </c>
      <c r="AW88" s="1" t="n">
        <v>122500</v>
      </c>
      <c r="AX88" s="1" t="n">
        <v>1059620</v>
      </c>
      <c r="AY88" s="8"/>
      <c r="AZ88" s="9" t="n">
        <f aca="false">PERCENTILE(AO88:AX88,0.9)</f>
        <v>930020</v>
      </c>
      <c r="BA88" s="9"/>
      <c r="BB88" s="9"/>
    </row>
    <row r="89" customFormat="false" ht="13.8" hidden="false" customHeight="false" outlineLevel="0" collapsed="false">
      <c r="A89" s="4"/>
      <c r="B89" s="4" t="s">
        <v>16</v>
      </c>
      <c r="C89" s="1" t="n">
        <v>554.602</v>
      </c>
      <c r="D89" s="1" t="n">
        <v>566.846</v>
      </c>
      <c r="E89" s="1" t="n">
        <v>551.981</v>
      </c>
      <c r="F89" s="1" t="n">
        <v>580.256</v>
      </c>
      <c r="G89" s="1" t="n">
        <v>545.426</v>
      </c>
      <c r="H89" s="1" t="n">
        <v>543.92</v>
      </c>
      <c r="I89" s="1" t="n">
        <v>555.849</v>
      </c>
      <c r="J89" s="1" t="n">
        <v>565.683</v>
      </c>
      <c r="K89" s="1" t="n">
        <v>550.975</v>
      </c>
      <c r="L89" s="1" t="n">
        <v>552.372</v>
      </c>
      <c r="M89" s="8"/>
      <c r="N89" s="9" t="n">
        <f aca="false">PERCENTILE(C89:L89,0.9)</f>
        <v>568.187</v>
      </c>
      <c r="O89" s="9" t="n">
        <f aca="false">N12/N89</f>
        <v>3.25361298304959</v>
      </c>
      <c r="P89" s="9" t="n">
        <f aca="false">O89/64</f>
        <v>0.0508377028601499</v>
      </c>
      <c r="Q89" s="3"/>
      <c r="R89" s="3"/>
      <c r="S89" s="3"/>
      <c r="T89" s="4"/>
      <c r="U89" s="4" t="s">
        <v>16</v>
      </c>
      <c r="V89" s="1" t="n">
        <v>2104.336</v>
      </c>
      <c r="W89" s="1" t="n">
        <v>2050.279</v>
      </c>
      <c r="X89" s="1" t="n">
        <v>2103.535</v>
      </c>
      <c r="Y89" s="1" t="n">
        <v>2060.012</v>
      </c>
      <c r="Z89" s="1" t="n">
        <v>2092.412</v>
      </c>
      <c r="AA89" s="1" t="n">
        <v>2053.796</v>
      </c>
      <c r="AB89" s="1" t="n">
        <v>2059.254</v>
      </c>
      <c r="AC89" s="1" t="n">
        <v>2086.746</v>
      </c>
      <c r="AD89" s="1" t="n">
        <v>2072.427</v>
      </c>
      <c r="AE89" s="1" t="n">
        <v>2119.529</v>
      </c>
      <c r="AF89" s="8"/>
      <c r="AG89" s="9" t="n">
        <f aca="false">PERCENTILE(V89:AE89,0.9)</f>
        <v>2105.8553</v>
      </c>
      <c r="AH89" s="9" t="n">
        <f aca="false">N12/AG89</f>
        <v>0.87786686958026</v>
      </c>
      <c r="AI89" s="9" t="n">
        <f aca="false">AH89/64</f>
        <v>0.0137166698371916</v>
      </c>
      <c r="AJ89" s="3"/>
      <c r="AK89" s="3"/>
      <c r="AL89" s="3"/>
      <c r="AM89" s="4"/>
      <c r="AN89" s="4" t="s">
        <v>16</v>
      </c>
      <c r="AO89" s="1" t="n">
        <v>2457.306</v>
      </c>
      <c r="AP89" s="1" t="n">
        <v>2400.43</v>
      </c>
      <c r="AQ89" s="1" t="n">
        <v>2329.38</v>
      </c>
      <c r="AR89" s="1" t="n">
        <v>2331.809</v>
      </c>
      <c r="AS89" s="1" t="n">
        <v>2289.925</v>
      </c>
      <c r="AT89" s="1" t="n">
        <v>37260.197</v>
      </c>
      <c r="AU89" s="1" t="n">
        <v>2220.387</v>
      </c>
      <c r="AV89" s="1" t="n">
        <v>2363.26</v>
      </c>
      <c r="AW89" s="1" t="n">
        <v>2165.275</v>
      </c>
      <c r="AX89" s="1" t="n">
        <v>37062.099</v>
      </c>
      <c r="AY89" s="8"/>
      <c r="AZ89" s="9" t="n">
        <f aca="false">PERCENTILE(AO89:AX89,0.9)</f>
        <v>37081.9088</v>
      </c>
      <c r="BA89" s="9" t="n">
        <f aca="false">N12/AZ89</f>
        <v>0.0498534368867225</v>
      </c>
      <c r="BB89" s="9" t="n">
        <f aca="false">BA89/64</f>
        <v>0.000778959951355039</v>
      </c>
    </row>
    <row r="91" customFormat="false" ht="12.8" hidden="false" customHeight="fals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</row>
    <row r="93" customFormat="false" ht="12.8" hidden="false" customHeight="false" outlineLevel="0" collapsed="false">
      <c r="T93" s="14" t="s">
        <v>40</v>
      </c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M93" s="14" t="s">
        <v>40</v>
      </c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</row>
    <row r="94" customFormat="false" ht="12.8" hidden="false" customHeight="false" outlineLevel="0" collapsed="false">
      <c r="A94" s="19" t="s">
        <v>41</v>
      </c>
      <c r="B94" s="19"/>
      <c r="C94" s="19"/>
    </row>
    <row r="95" customFormat="false" ht="12.8" hidden="false" customHeight="false" outlineLevel="0" collapsed="false">
      <c r="A95" s="1" t="s">
        <v>42</v>
      </c>
      <c r="B95" s="1" t="s">
        <v>43</v>
      </c>
      <c r="C95" s="1" t="s">
        <v>44</v>
      </c>
      <c r="D95" s="1" t="s">
        <v>45</v>
      </c>
      <c r="T95" s="20" t="s">
        <v>46</v>
      </c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M95" s="17" t="s">
        <v>47</v>
      </c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</row>
    <row r="96" customFormat="false" ht="13.8" hidden="false" customHeight="false" outlineLevel="0" collapsed="false">
      <c r="A96" s="1" t="s">
        <v>14</v>
      </c>
      <c r="B96" s="1" t="n">
        <f aca="false">AG143</f>
        <v>31.5145</v>
      </c>
      <c r="C96" s="1" t="n">
        <f aca="false">AH143</f>
        <v>10.6359358390582</v>
      </c>
      <c r="D96" s="1" t="s">
        <v>48</v>
      </c>
      <c r="T96" s="21" t="s">
        <v>1</v>
      </c>
      <c r="U96" s="21" t="s">
        <v>2</v>
      </c>
      <c r="V96" s="21" t="s">
        <v>3</v>
      </c>
      <c r="W96" s="21" t="s">
        <v>4</v>
      </c>
      <c r="X96" s="21" t="s">
        <v>5</v>
      </c>
      <c r="Y96" s="21" t="s">
        <v>6</v>
      </c>
      <c r="Z96" s="21" t="s">
        <v>7</v>
      </c>
      <c r="AA96" s="21" t="s">
        <v>8</v>
      </c>
      <c r="AB96" s="21" t="s">
        <v>9</v>
      </c>
      <c r="AC96" s="21" t="s">
        <v>10</v>
      </c>
      <c r="AD96" s="21" t="s">
        <v>11</v>
      </c>
      <c r="AE96" s="21" t="s">
        <v>12</v>
      </c>
      <c r="AG96" s="22" t="s">
        <v>13</v>
      </c>
      <c r="AH96" s="6" t="s">
        <v>26</v>
      </c>
      <c r="AI96" s="6" t="s">
        <v>27</v>
      </c>
      <c r="AM96" s="4" t="s">
        <v>1</v>
      </c>
      <c r="AN96" s="4" t="s">
        <v>2</v>
      </c>
      <c r="AO96" s="4" t="s">
        <v>3</v>
      </c>
      <c r="AP96" s="4" t="s">
        <v>4</v>
      </c>
      <c r="AQ96" s="4" t="s">
        <v>5</v>
      </c>
      <c r="AR96" s="4" t="s">
        <v>6</v>
      </c>
      <c r="AS96" s="4" t="s">
        <v>7</v>
      </c>
      <c r="AT96" s="4" t="s">
        <v>8</v>
      </c>
      <c r="AU96" s="4" t="s">
        <v>9</v>
      </c>
      <c r="AV96" s="4" t="s">
        <v>10</v>
      </c>
      <c r="AW96" s="4" t="s">
        <v>11</v>
      </c>
      <c r="AX96" s="4" t="s">
        <v>12</v>
      </c>
      <c r="AY96" s="5"/>
      <c r="AZ96" s="6" t="s">
        <v>13</v>
      </c>
      <c r="BA96" s="6" t="s">
        <v>26</v>
      </c>
      <c r="BB96" s="6" t="s">
        <v>27</v>
      </c>
    </row>
    <row r="97" customFormat="false" ht="13.8" hidden="false" customHeight="false" outlineLevel="0" collapsed="false">
      <c r="A97" s="1" t="s">
        <v>17</v>
      </c>
      <c r="B97" s="1" t="n">
        <f aca="false">AG145</f>
        <v>10.667</v>
      </c>
      <c r="C97" s="1" t="n">
        <f aca="false">AH145</f>
        <v>9.76584794225181</v>
      </c>
      <c r="D97" s="1" t="s">
        <v>48</v>
      </c>
      <c r="T97" s="21" t="s">
        <v>14</v>
      </c>
      <c r="U97" s="21" t="s">
        <v>15</v>
      </c>
      <c r="V97" s="1" t="n">
        <v>180</v>
      </c>
      <c r="W97" s="1" t="n">
        <v>180</v>
      </c>
      <c r="X97" s="1" t="n">
        <v>170</v>
      </c>
      <c r="Y97" s="1" t="n">
        <v>170</v>
      </c>
      <c r="Z97" s="1" t="n">
        <v>170</v>
      </c>
      <c r="AA97" s="1" t="n">
        <v>170</v>
      </c>
      <c r="AB97" s="1" t="n">
        <v>170</v>
      </c>
      <c r="AC97" s="1" t="n">
        <v>160</v>
      </c>
      <c r="AD97" s="1" t="n">
        <v>170</v>
      </c>
      <c r="AE97" s="1" t="n">
        <v>170</v>
      </c>
      <c r="AG97" s="1" t="n">
        <f aca="false">PERCENTILE(V97:AE97,0.9)</f>
        <v>180</v>
      </c>
      <c r="AH97" s="9"/>
      <c r="AI97" s="9"/>
      <c r="AM97" s="4" t="s">
        <v>14</v>
      </c>
      <c r="AN97" s="4" t="s">
        <v>15</v>
      </c>
      <c r="AO97" s="1" t="n">
        <v>240</v>
      </c>
      <c r="AP97" s="1" t="n">
        <v>150</v>
      </c>
      <c r="AQ97" s="1" t="n">
        <v>170</v>
      </c>
      <c r="AR97" s="1" t="n">
        <v>170</v>
      </c>
      <c r="AS97" s="1" t="n">
        <v>170</v>
      </c>
      <c r="AT97" s="1" t="n">
        <v>160</v>
      </c>
      <c r="AU97" s="1" t="n">
        <v>180</v>
      </c>
      <c r="AV97" s="1" t="n">
        <v>170</v>
      </c>
      <c r="AW97" s="1" t="n">
        <v>150</v>
      </c>
      <c r="AX97" s="1" t="n">
        <v>1430</v>
      </c>
      <c r="AY97" s="8"/>
      <c r="AZ97" s="9" t="n">
        <f aca="false">PERCENTILE(AO97:AX97,0.9)</f>
        <v>359</v>
      </c>
      <c r="BA97" s="9"/>
      <c r="BB97" s="9"/>
    </row>
    <row r="98" customFormat="false" ht="13.8" hidden="false" customHeight="false" outlineLevel="0" collapsed="false">
      <c r="A98" s="1" t="s">
        <v>18</v>
      </c>
      <c r="B98" s="1" t="n">
        <f aca="false">AG132</f>
        <v>3.4504</v>
      </c>
      <c r="C98" s="1" t="n">
        <f aca="false">AH132</f>
        <v>9.25408648272664</v>
      </c>
      <c r="D98" s="1" t="s">
        <v>49</v>
      </c>
      <c r="T98" s="21"/>
      <c r="U98" s="21" t="s">
        <v>16</v>
      </c>
      <c r="V98" s="1" t="n">
        <v>44.445</v>
      </c>
      <c r="W98" s="1" t="n">
        <v>43.067</v>
      </c>
      <c r="X98" s="1" t="n">
        <v>43</v>
      </c>
      <c r="Y98" s="1" t="n">
        <v>41.044</v>
      </c>
      <c r="Z98" s="1" t="n">
        <v>42.478</v>
      </c>
      <c r="AA98" s="1" t="n">
        <v>42.293</v>
      </c>
      <c r="AB98" s="1" t="n">
        <v>42.827</v>
      </c>
      <c r="AC98" s="1" t="n">
        <v>41.858</v>
      </c>
      <c r="AD98" s="1" t="n">
        <v>42.18</v>
      </c>
      <c r="AE98" s="1" t="n">
        <v>43.024</v>
      </c>
      <c r="AG98" s="1" t="n">
        <f aca="false">PERCENTILE(V98:AE98,0.9)</f>
        <v>43.2048</v>
      </c>
      <c r="AH98" s="9" t="n">
        <f aca="false">N4/AG98</f>
        <v>7.75807780616969</v>
      </c>
      <c r="AI98" s="9" t="n">
        <f aca="false">AH98/4</f>
        <v>1.93951945154242</v>
      </c>
      <c r="AJ98" s="22"/>
      <c r="AM98" s="4"/>
      <c r="AN98" s="4" t="s">
        <v>16</v>
      </c>
      <c r="AO98" s="1" t="n">
        <v>60.257</v>
      </c>
      <c r="AP98" s="1" t="n">
        <v>38.021</v>
      </c>
      <c r="AQ98" s="1" t="n">
        <v>41.527</v>
      </c>
      <c r="AR98" s="1" t="n">
        <v>41.558</v>
      </c>
      <c r="AS98" s="1" t="n">
        <v>41.905</v>
      </c>
      <c r="AT98" s="1" t="n">
        <v>40.169</v>
      </c>
      <c r="AU98" s="1" t="n">
        <v>45.737</v>
      </c>
      <c r="AV98" s="1" t="n">
        <v>41.4</v>
      </c>
      <c r="AW98" s="1" t="n">
        <v>38.504</v>
      </c>
      <c r="AX98" s="1" t="n">
        <v>461.502</v>
      </c>
      <c r="AY98" s="8"/>
      <c r="AZ98" s="9" t="n">
        <f aca="false">PERCENTILE(AO98:AX98,0.9)</f>
        <v>100.3815</v>
      </c>
      <c r="BA98" s="9" t="n">
        <f aca="false">N4/AZ98</f>
        <v>3.33912324482101</v>
      </c>
      <c r="BB98" s="9" t="n">
        <f aca="false">BA98/4</f>
        <v>0.834780811205253</v>
      </c>
    </row>
    <row r="99" customFormat="false" ht="13.8" hidden="false" customHeight="false" outlineLevel="0" collapsed="false">
      <c r="A99" s="1" t="s">
        <v>19</v>
      </c>
      <c r="B99" s="1" t="n">
        <f aca="false">AZ119</f>
        <v>5.6368</v>
      </c>
      <c r="C99" s="1" t="n">
        <f aca="false">BA119</f>
        <v>11.4371097076355</v>
      </c>
      <c r="D99" s="1" t="s">
        <v>50</v>
      </c>
      <c r="T99" s="21" t="s">
        <v>17</v>
      </c>
      <c r="U99" s="21" t="s">
        <v>15</v>
      </c>
      <c r="V99" s="1" t="n">
        <v>60</v>
      </c>
      <c r="W99" s="1" t="n">
        <v>60</v>
      </c>
      <c r="X99" s="1" t="n">
        <v>60</v>
      </c>
      <c r="Y99" s="1" t="n">
        <v>60</v>
      </c>
      <c r="Z99" s="1" t="n">
        <v>60</v>
      </c>
      <c r="AA99" s="1" t="n">
        <v>60</v>
      </c>
      <c r="AB99" s="1" t="n">
        <v>60</v>
      </c>
      <c r="AC99" s="1" t="n">
        <v>60</v>
      </c>
      <c r="AD99" s="1" t="n">
        <v>60</v>
      </c>
      <c r="AE99" s="1" t="n">
        <v>60</v>
      </c>
      <c r="AG99" s="1" t="n">
        <f aca="false">PERCENTILE(V99:AE99,0.9)</f>
        <v>60</v>
      </c>
      <c r="AH99" s="9"/>
      <c r="AI99" s="9"/>
      <c r="AM99" s="4" t="s">
        <v>17</v>
      </c>
      <c r="AN99" s="4" t="s">
        <v>15</v>
      </c>
      <c r="AO99" s="1" t="n">
        <v>50</v>
      </c>
      <c r="AP99" s="1" t="n">
        <v>50</v>
      </c>
      <c r="AQ99" s="1" t="n">
        <v>60</v>
      </c>
      <c r="AR99" s="1" t="n">
        <v>60</v>
      </c>
      <c r="AS99" s="1" t="n">
        <v>60</v>
      </c>
      <c r="AT99" s="1" t="n">
        <v>60</v>
      </c>
      <c r="AU99" s="1" t="n">
        <v>60</v>
      </c>
      <c r="AV99" s="1" t="n">
        <v>60</v>
      </c>
      <c r="AW99" s="1" t="n">
        <v>50</v>
      </c>
      <c r="AX99" s="1" t="n">
        <v>60</v>
      </c>
      <c r="AY99" s="8"/>
      <c r="AZ99" s="9" t="n">
        <f aca="false">PERCENTILE(AO99:AX99,0.9)</f>
        <v>60</v>
      </c>
      <c r="BA99" s="9"/>
      <c r="BB99" s="9"/>
    </row>
    <row r="100" customFormat="false" ht="13.8" hidden="false" customHeight="false" outlineLevel="0" collapsed="false">
      <c r="A100" s="1" t="s">
        <v>20</v>
      </c>
      <c r="B100" s="1" t="n">
        <f aca="false">AG151</f>
        <v>220.578</v>
      </c>
      <c r="C100" s="1" t="n">
        <f aca="false">AH151</f>
        <v>8.38098359763893</v>
      </c>
      <c r="D100" s="1" t="s">
        <v>48</v>
      </c>
      <c r="T100" s="21"/>
      <c r="U100" s="21" t="s">
        <v>16</v>
      </c>
      <c r="V100" s="1" t="n">
        <v>15.374</v>
      </c>
      <c r="W100" s="1" t="n">
        <v>15.1</v>
      </c>
      <c r="X100" s="1" t="n">
        <v>14.214</v>
      </c>
      <c r="Y100" s="1" t="n">
        <v>15.153</v>
      </c>
      <c r="Z100" s="1" t="n">
        <v>15.433</v>
      </c>
      <c r="AA100" s="1" t="n">
        <v>15.136</v>
      </c>
      <c r="AB100" s="1" t="n">
        <v>15.035</v>
      </c>
      <c r="AC100" s="1" t="n">
        <v>15.127</v>
      </c>
      <c r="AD100" s="1" t="n">
        <v>14.253</v>
      </c>
      <c r="AE100" s="1" t="n">
        <v>14.352</v>
      </c>
      <c r="AG100" s="1" t="n">
        <f aca="false">PERCENTILE(V100:AE100,0.9)</f>
        <v>15.3799</v>
      </c>
      <c r="AH100" s="9" t="n">
        <f aca="false">N6/AG100</f>
        <v>6.77327550894349</v>
      </c>
      <c r="AI100" s="9" t="n">
        <f aca="false">AH100/4</f>
        <v>1.69331887723587</v>
      </c>
      <c r="AJ100" s="22"/>
      <c r="AM100" s="4"/>
      <c r="AN100" s="4" t="s">
        <v>16</v>
      </c>
      <c r="AO100" s="1" t="n">
        <v>13.939</v>
      </c>
      <c r="AP100" s="1" t="n">
        <v>14.786</v>
      </c>
      <c r="AQ100" s="1" t="n">
        <v>14.78</v>
      </c>
      <c r="AR100" s="1" t="n">
        <v>17.142</v>
      </c>
      <c r="AS100" s="1" t="n">
        <v>15.143</v>
      </c>
      <c r="AT100" s="1" t="n">
        <v>14.929</v>
      </c>
      <c r="AU100" s="1" t="n">
        <v>13.959</v>
      </c>
      <c r="AV100" s="1" t="n">
        <v>13.761</v>
      </c>
      <c r="AW100" s="1" t="n">
        <v>13.863</v>
      </c>
      <c r="AX100" s="1" t="n">
        <v>15.171</v>
      </c>
      <c r="AY100" s="8"/>
      <c r="AZ100" s="9" t="n">
        <f aca="false">PERCENTILE(AO100:AX100,0.9)</f>
        <v>15.3681</v>
      </c>
      <c r="BA100" s="9" t="n">
        <f aca="false">N6/AZ100</f>
        <v>6.77847619419447</v>
      </c>
      <c r="BB100" s="9" t="n">
        <f aca="false">BA100/4</f>
        <v>1.69461904854862</v>
      </c>
      <c r="BC100" s="22"/>
    </row>
    <row r="101" customFormat="false" ht="13.8" hidden="false" customHeight="false" outlineLevel="0" collapsed="false">
      <c r="T101" s="21" t="s">
        <v>18</v>
      </c>
      <c r="U101" s="21" t="s">
        <v>15</v>
      </c>
      <c r="V101" s="1" t="n">
        <v>20</v>
      </c>
      <c r="W101" s="1" t="n">
        <v>30</v>
      </c>
      <c r="X101" s="1" t="n">
        <v>30</v>
      </c>
      <c r="Y101" s="1" t="n">
        <v>20</v>
      </c>
      <c r="Z101" s="1" t="n">
        <v>20</v>
      </c>
      <c r="AA101" s="1" t="n">
        <v>20</v>
      </c>
      <c r="AB101" s="1" t="n">
        <v>50</v>
      </c>
      <c r="AC101" s="1" t="n">
        <v>20</v>
      </c>
      <c r="AD101" s="1" t="n">
        <v>20</v>
      </c>
      <c r="AE101" s="1" t="n">
        <v>40</v>
      </c>
      <c r="AG101" s="1" t="n">
        <f aca="false">PERCENTILE(V101:AE101,0.9)</f>
        <v>41</v>
      </c>
      <c r="AH101" s="9"/>
      <c r="AI101" s="9"/>
      <c r="AM101" s="4" t="s">
        <v>18</v>
      </c>
      <c r="AN101" s="4" t="s">
        <v>15</v>
      </c>
      <c r="AO101" s="1" t="n">
        <v>10</v>
      </c>
      <c r="AP101" s="1" t="n">
        <v>10</v>
      </c>
      <c r="AQ101" s="1" t="n">
        <v>10</v>
      </c>
      <c r="AR101" s="1" t="n">
        <v>70</v>
      </c>
      <c r="AS101" s="1" t="n">
        <v>50</v>
      </c>
      <c r="AT101" s="1" t="n">
        <v>20</v>
      </c>
      <c r="AU101" s="1" t="n">
        <v>130</v>
      </c>
      <c r="AV101" s="1" t="n">
        <v>20</v>
      </c>
      <c r="AW101" s="1" t="n">
        <v>10</v>
      </c>
      <c r="AX101" s="1" t="n">
        <v>90</v>
      </c>
      <c r="AY101" s="8"/>
      <c r="AZ101" s="9" t="n">
        <f aca="false">PERCENTILE(AO101:AX101,0.9)</f>
        <v>94</v>
      </c>
      <c r="BA101" s="9"/>
      <c r="BB101" s="9"/>
    </row>
    <row r="102" customFormat="false" ht="13.8" hidden="false" customHeight="false" outlineLevel="0" collapsed="false">
      <c r="T102" s="21"/>
      <c r="U102" s="21" t="s">
        <v>16</v>
      </c>
      <c r="V102" s="1" t="n">
        <v>4.474</v>
      </c>
      <c r="W102" s="1" t="n">
        <v>9.308</v>
      </c>
      <c r="X102" s="1" t="n">
        <v>8.83</v>
      </c>
      <c r="Y102" s="1" t="n">
        <v>4.411</v>
      </c>
      <c r="Z102" s="1" t="n">
        <v>4.43</v>
      </c>
      <c r="AA102" s="1" t="n">
        <v>4.457</v>
      </c>
      <c r="AB102" s="1" t="n">
        <v>10.861</v>
      </c>
      <c r="AC102" s="1" t="n">
        <v>6.625</v>
      </c>
      <c r="AD102" s="1" t="n">
        <v>4.655</v>
      </c>
      <c r="AE102" s="1" t="n">
        <v>9.3</v>
      </c>
      <c r="AG102" s="1" t="n">
        <f aca="false">PERCENTILE(V102:AE102,0.9)</f>
        <v>9.4633</v>
      </c>
      <c r="AH102" s="9" t="n">
        <f aca="false">N8/AG102</f>
        <v>3.37411896484313</v>
      </c>
      <c r="AI102" s="9" t="n">
        <f aca="false">AH102/4</f>
        <v>0.843529741210783</v>
      </c>
      <c r="AM102" s="4"/>
      <c r="AN102" s="4" t="s">
        <v>16</v>
      </c>
      <c r="AO102" s="1" t="n">
        <v>4.264</v>
      </c>
      <c r="AP102" s="1" t="n">
        <v>4.272</v>
      </c>
      <c r="AQ102" s="1" t="n">
        <v>3.963</v>
      </c>
      <c r="AR102" s="1" t="n">
        <v>33.761</v>
      </c>
      <c r="AS102" s="1" t="n">
        <v>11.452</v>
      </c>
      <c r="AT102" s="1" t="n">
        <v>4.469</v>
      </c>
      <c r="AU102" s="1" t="n">
        <v>56.443</v>
      </c>
      <c r="AV102" s="1" t="n">
        <v>4.275</v>
      </c>
      <c r="AW102" s="1" t="n">
        <v>4.178</v>
      </c>
      <c r="AX102" s="1" t="n">
        <v>30.934</v>
      </c>
      <c r="AY102" s="8"/>
      <c r="AZ102" s="9" t="n">
        <f aca="false">PERCENTILE(AO102:AX102,0.9)</f>
        <v>36.0292</v>
      </c>
      <c r="BA102" s="9" t="n">
        <f aca="false">N8/AZ102</f>
        <v>0.886233943579097</v>
      </c>
      <c r="BB102" s="9" t="n">
        <f aca="false">BA102/4</f>
        <v>0.221558485894774</v>
      </c>
    </row>
    <row r="103" customFormat="false" ht="13.8" hidden="false" customHeight="false" outlineLevel="0" collapsed="false">
      <c r="T103" s="21" t="s">
        <v>19</v>
      </c>
      <c r="U103" s="21" t="s">
        <v>15</v>
      </c>
      <c r="V103" s="1" t="n">
        <v>40</v>
      </c>
      <c r="W103" s="1" t="n">
        <v>40</v>
      </c>
      <c r="X103" s="1" t="n">
        <v>30</v>
      </c>
      <c r="Y103" s="1" t="n">
        <v>40</v>
      </c>
      <c r="Z103" s="1" t="n">
        <v>30</v>
      </c>
      <c r="AA103" s="1" t="n">
        <v>30</v>
      </c>
      <c r="AB103" s="1" t="n">
        <v>30</v>
      </c>
      <c r="AC103" s="1" t="n">
        <v>40</v>
      </c>
      <c r="AD103" s="1" t="n">
        <v>30</v>
      </c>
      <c r="AE103" s="1" t="n">
        <v>30</v>
      </c>
      <c r="AG103" s="1" t="n">
        <f aca="false">PERCENTILE(V103:AE103,0.9)</f>
        <v>40</v>
      </c>
      <c r="AH103" s="9"/>
      <c r="AI103" s="9"/>
      <c r="AM103" s="4" t="s">
        <v>19</v>
      </c>
      <c r="AN103" s="4" t="s">
        <v>15</v>
      </c>
      <c r="AO103" s="1" t="n">
        <v>30</v>
      </c>
      <c r="AP103" s="1" t="n">
        <v>30</v>
      </c>
      <c r="AQ103" s="1" t="n">
        <v>30</v>
      </c>
      <c r="AR103" s="1" t="n">
        <v>40</v>
      </c>
      <c r="AS103" s="1" t="n">
        <v>30</v>
      </c>
      <c r="AT103" s="1" t="n">
        <v>30</v>
      </c>
      <c r="AU103" s="1" t="n">
        <v>30</v>
      </c>
      <c r="AV103" s="1" t="n">
        <v>40</v>
      </c>
      <c r="AW103" s="1" t="n">
        <v>30</v>
      </c>
      <c r="AX103" s="1" t="n">
        <v>30</v>
      </c>
      <c r="AY103" s="8"/>
      <c r="AZ103" s="9" t="n">
        <f aca="false">PERCENTILE(AO103:AX103,0.9)</f>
        <v>40</v>
      </c>
      <c r="BA103" s="9"/>
      <c r="BB103" s="9"/>
    </row>
    <row r="104" customFormat="false" ht="13.8" hidden="false" customHeight="false" outlineLevel="0" collapsed="false">
      <c r="T104" s="21"/>
      <c r="U104" s="21" t="s">
        <v>16</v>
      </c>
      <c r="V104" s="1" t="n">
        <v>10.674</v>
      </c>
      <c r="W104" s="1" t="n">
        <v>8.485</v>
      </c>
      <c r="X104" s="1" t="n">
        <v>8.162</v>
      </c>
      <c r="Y104" s="1" t="n">
        <v>8.913</v>
      </c>
      <c r="Z104" s="1" t="n">
        <v>8.865</v>
      </c>
      <c r="AA104" s="1" t="n">
        <v>8.633</v>
      </c>
      <c r="AB104" s="1" t="n">
        <v>8.678</v>
      </c>
      <c r="AC104" s="1" t="n">
        <v>9.183</v>
      </c>
      <c r="AD104" s="1" t="n">
        <v>8.694</v>
      </c>
      <c r="AE104" s="1" t="n">
        <v>8.341</v>
      </c>
      <c r="AG104" s="1" t="n">
        <f aca="false">PERCENTILE(V104:AE104,0.9)</f>
        <v>9.3321</v>
      </c>
      <c r="AH104" s="9" t="n">
        <f aca="false">N10/AG104</f>
        <v>6.90827359329626</v>
      </c>
      <c r="AI104" s="9" t="n">
        <f aca="false">AH104/4</f>
        <v>1.72706839832406</v>
      </c>
      <c r="AJ104" s="22"/>
      <c r="AM104" s="4"/>
      <c r="AN104" s="4" t="s">
        <v>16</v>
      </c>
      <c r="AO104" s="1" t="n">
        <v>7.866</v>
      </c>
      <c r="AP104" s="1" t="n">
        <v>7.918</v>
      </c>
      <c r="AQ104" s="1" t="n">
        <v>8.698</v>
      </c>
      <c r="AR104" s="1" t="n">
        <v>9.151</v>
      </c>
      <c r="AS104" s="1" t="n">
        <v>8.704</v>
      </c>
      <c r="AT104" s="1" t="n">
        <v>8.672</v>
      </c>
      <c r="AU104" s="1" t="n">
        <v>8.474</v>
      </c>
      <c r="AV104" s="1" t="n">
        <v>8.383</v>
      </c>
      <c r="AW104" s="1" t="n">
        <v>8.188</v>
      </c>
      <c r="AX104" s="1" t="n">
        <v>8.237</v>
      </c>
      <c r="AY104" s="8"/>
      <c r="AZ104" s="9" t="n">
        <f aca="false">PERCENTILE(AO104:AX104,0.9)</f>
        <v>8.7487</v>
      </c>
      <c r="BA104" s="9" t="n">
        <f aca="false">N10/AZ104</f>
        <v>7.36894624344188</v>
      </c>
      <c r="BB104" s="9" t="n">
        <f aca="false">BA104/4</f>
        <v>1.84223656086047</v>
      </c>
      <c r="BC104" s="22"/>
    </row>
    <row r="105" customFormat="false" ht="13.8" hidden="false" customHeight="false" outlineLevel="0" collapsed="false">
      <c r="T105" s="21" t="s">
        <v>20</v>
      </c>
      <c r="U105" s="21" t="s">
        <v>15</v>
      </c>
      <c r="V105" s="1" t="n">
        <v>2130</v>
      </c>
      <c r="W105" s="1" t="n">
        <v>1350</v>
      </c>
      <c r="X105" s="1" t="n">
        <v>1310</v>
      </c>
      <c r="Y105" s="1" t="n">
        <v>1300</v>
      </c>
      <c r="Z105" s="1" t="n">
        <v>1310</v>
      </c>
      <c r="AA105" s="1" t="n">
        <v>1300</v>
      </c>
      <c r="AB105" s="1" t="n">
        <v>1310</v>
      </c>
      <c r="AC105" s="1" t="n">
        <v>1300</v>
      </c>
      <c r="AD105" s="1" t="n">
        <v>1310</v>
      </c>
      <c r="AE105" s="1" t="n">
        <v>1310</v>
      </c>
      <c r="AG105" s="1" t="n">
        <f aca="false">PERCENTILE(V105:AE105,0.9)</f>
        <v>1428</v>
      </c>
      <c r="AH105" s="9"/>
      <c r="AI105" s="9"/>
      <c r="AM105" s="4" t="s">
        <v>20</v>
      </c>
      <c r="AN105" s="4" t="s">
        <v>15</v>
      </c>
      <c r="AO105" s="1" t="n">
        <v>6360</v>
      </c>
      <c r="AP105" s="1" t="n">
        <v>1110</v>
      </c>
      <c r="AQ105" s="1" t="n">
        <v>7780</v>
      </c>
      <c r="AR105" s="1" t="n">
        <v>2060</v>
      </c>
      <c r="AS105" s="1" t="n">
        <v>9150</v>
      </c>
      <c r="AT105" s="1" t="n">
        <v>1940</v>
      </c>
      <c r="AU105" s="1" t="n">
        <v>1040</v>
      </c>
      <c r="AV105" s="1" t="n">
        <v>1060</v>
      </c>
      <c r="AW105" s="1" t="n">
        <v>1050</v>
      </c>
      <c r="AX105" s="1" t="n">
        <v>7050</v>
      </c>
      <c r="AY105" s="8"/>
      <c r="AZ105" s="9" t="n">
        <f aca="false">PERCENTILE(AO105:AX105,0.9)</f>
        <v>7917</v>
      </c>
      <c r="BA105" s="9"/>
      <c r="BB105" s="9"/>
    </row>
    <row r="106" customFormat="false" ht="13.8" hidden="false" customHeight="false" outlineLevel="0" collapsed="false">
      <c r="T106" s="21"/>
      <c r="U106" s="21" t="s">
        <v>16</v>
      </c>
      <c r="V106" s="1" t="n">
        <v>534.373</v>
      </c>
      <c r="W106" s="1" t="n">
        <v>339.646</v>
      </c>
      <c r="X106" s="1" t="n">
        <v>329.666</v>
      </c>
      <c r="Y106" s="1" t="n">
        <v>328.161</v>
      </c>
      <c r="Z106" s="1" t="n">
        <v>328.582</v>
      </c>
      <c r="AA106" s="1" t="n">
        <v>328.077</v>
      </c>
      <c r="AB106" s="1" t="n">
        <v>327.185</v>
      </c>
      <c r="AC106" s="1" t="n">
        <v>327.867</v>
      </c>
      <c r="AD106" s="1" t="n">
        <v>327.434</v>
      </c>
      <c r="AE106" s="1" t="n">
        <v>328.438</v>
      </c>
      <c r="AG106" s="1" t="n">
        <f aca="false">PERCENTILE(V106:AE106,0.9)</f>
        <v>359.1187</v>
      </c>
      <c r="AH106" s="9" t="n">
        <f aca="false">N12/AG106</f>
        <v>5.14777036116471</v>
      </c>
      <c r="AI106" s="9" t="n">
        <f aca="false">AH106/4</f>
        <v>1.28694259029118</v>
      </c>
      <c r="AJ106" s="22"/>
      <c r="AM106" s="4"/>
      <c r="AN106" s="4" t="s">
        <v>16</v>
      </c>
      <c r="AO106" s="1" t="n">
        <v>2069.975</v>
      </c>
      <c r="AP106" s="1" t="n">
        <v>278.892</v>
      </c>
      <c r="AQ106" s="1" t="n">
        <v>2022.358</v>
      </c>
      <c r="AR106" s="1" t="n">
        <v>827.041</v>
      </c>
      <c r="AS106" s="1" t="n">
        <v>2435.627</v>
      </c>
      <c r="AT106" s="1" t="n">
        <v>745.913</v>
      </c>
      <c r="AU106" s="1" t="n">
        <v>262.716</v>
      </c>
      <c r="AV106" s="1" t="n">
        <v>264.686</v>
      </c>
      <c r="AW106" s="1" t="n">
        <v>261.527</v>
      </c>
      <c r="AX106" s="1" t="n">
        <v>3311.32</v>
      </c>
      <c r="AY106" s="8"/>
      <c r="AZ106" s="9" t="n">
        <f aca="false">PERCENTILE(AO106:AX106,0.9)</f>
        <v>2523.1963</v>
      </c>
      <c r="BA106" s="9" t="n">
        <f aca="false">N12/AZ106</f>
        <v>0.732666182175362</v>
      </c>
      <c r="BB106" s="9" t="n">
        <f aca="false">BA106/4</f>
        <v>0.183166545543841</v>
      </c>
    </row>
    <row r="107" customFormat="false" ht="12.8" hidden="false" customHeight="false" outlineLevel="0" collapsed="false"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M107" s="3"/>
      <c r="AN107" s="3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3"/>
      <c r="AZ107" s="3"/>
      <c r="BA107" s="3"/>
      <c r="BB107" s="3"/>
    </row>
    <row r="108" customFormat="false" ht="12.8" hidden="false" customHeight="false" outlineLevel="0" collapsed="false"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M108" s="3"/>
      <c r="AN108" s="3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3"/>
      <c r="AZ108" s="3"/>
      <c r="BA108" s="3"/>
      <c r="BB108" s="3"/>
    </row>
    <row r="109" customFormat="false" ht="12.8" hidden="false" customHeight="false" outlineLevel="0" collapsed="false"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M109" s="3"/>
      <c r="AN109" s="3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3"/>
      <c r="AZ109" s="3"/>
      <c r="BA109" s="3"/>
      <c r="BB109" s="3"/>
    </row>
    <row r="110" customFormat="false" ht="12.8" hidden="false" customHeight="false" outlineLevel="0" collapsed="false">
      <c r="T110" s="20" t="s">
        <v>51</v>
      </c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M110" s="17" t="s">
        <v>52</v>
      </c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</row>
    <row r="111" customFormat="false" ht="13.8" hidden="false" customHeight="false" outlineLevel="0" collapsed="false">
      <c r="T111" s="21" t="s">
        <v>1</v>
      </c>
      <c r="U111" s="21" t="s">
        <v>2</v>
      </c>
      <c r="V111" s="21" t="s">
        <v>3</v>
      </c>
      <c r="W111" s="21" t="s">
        <v>4</v>
      </c>
      <c r="X111" s="21" t="s">
        <v>5</v>
      </c>
      <c r="Y111" s="21" t="s">
        <v>6</v>
      </c>
      <c r="Z111" s="21" t="s">
        <v>7</v>
      </c>
      <c r="AA111" s="21" t="s">
        <v>8</v>
      </c>
      <c r="AB111" s="21" t="s">
        <v>9</v>
      </c>
      <c r="AC111" s="21" t="s">
        <v>10</v>
      </c>
      <c r="AD111" s="21" t="s">
        <v>11</v>
      </c>
      <c r="AE111" s="21" t="s">
        <v>12</v>
      </c>
      <c r="AG111" s="22" t="s">
        <v>13</v>
      </c>
      <c r="AH111" s="6" t="s">
        <v>26</v>
      </c>
      <c r="AI111" s="6" t="s">
        <v>27</v>
      </c>
      <c r="AM111" s="4" t="s">
        <v>1</v>
      </c>
      <c r="AN111" s="4" t="s">
        <v>2</v>
      </c>
      <c r="AO111" s="4" t="s">
        <v>3</v>
      </c>
      <c r="AP111" s="4" t="s">
        <v>4</v>
      </c>
      <c r="AQ111" s="4" t="s">
        <v>5</v>
      </c>
      <c r="AR111" s="4" t="s">
        <v>6</v>
      </c>
      <c r="AS111" s="4" t="s">
        <v>7</v>
      </c>
      <c r="AT111" s="4" t="s">
        <v>8</v>
      </c>
      <c r="AU111" s="4" t="s">
        <v>9</v>
      </c>
      <c r="AV111" s="4" t="s">
        <v>10</v>
      </c>
      <c r="AW111" s="4" t="s">
        <v>11</v>
      </c>
      <c r="AX111" s="4" t="s">
        <v>12</v>
      </c>
      <c r="AY111" s="5"/>
      <c r="AZ111" s="6" t="s">
        <v>13</v>
      </c>
      <c r="BA111" s="6" t="s">
        <v>26</v>
      </c>
      <c r="BB111" s="6" t="s">
        <v>27</v>
      </c>
    </row>
    <row r="112" customFormat="false" ht="13.8" hidden="false" customHeight="false" outlineLevel="0" collapsed="false">
      <c r="T112" s="21" t="s">
        <v>14</v>
      </c>
      <c r="U112" s="21" t="s">
        <v>15</v>
      </c>
      <c r="V112" s="1" t="n">
        <v>1150</v>
      </c>
      <c r="W112" s="1" t="n">
        <v>210</v>
      </c>
      <c r="X112" s="1" t="n">
        <v>220</v>
      </c>
      <c r="Y112" s="1" t="n">
        <v>230</v>
      </c>
      <c r="Z112" s="1" t="n">
        <v>220</v>
      </c>
      <c r="AA112" s="1" t="n">
        <v>2240</v>
      </c>
      <c r="AB112" s="1" t="n">
        <v>230</v>
      </c>
      <c r="AC112" s="1" t="n">
        <v>190</v>
      </c>
      <c r="AD112" s="1" t="n">
        <v>220</v>
      </c>
      <c r="AE112" s="1" t="n">
        <v>200</v>
      </c>
      <c r="AG112" s="1" t="n">
        <f aca="false">PERCENTILE(V112:AE112,0.9)</f>
        <v>1259</v>
      </c>
      <c r="AH112" s="9"/>
      <c r="AI112" s="9"/>
      <c r="AM112" s="4" t="s">
        <v>14</v>
      </c>
      <c r="AN112" s="4" t="s">
        <v>15</v>
      </c>
      <c r="AO112" s="1" t="n">
        <v>200</v>
      </c>
      <c r="AP112" s="1" t="n">
        <v>180</v>
      </c>
      <c r="AQ112" s="1" t="n">
        <v>580</v>
      </c>
      <c r="AR112" s="1" t="n">
        <v>190</v>
      </c>
      <c r="AS112" s="1" t="n">
        <v>220</v>
      </c>
      <c r="AT112" s="1" t="n">
        <v>1990</v>
      </c>
      <c r="AU112" s="1" t="n">
        <v>270</v>
      </c>
      <c r="AV112" s="1" t="n">
        <v>200</v>
      </c>
      <c r="AW112" s="1" t="n">
        <v>190</v>
      </c>
      <c r="AX112" s="1" t="n">
        <v>1370</v>
      </c>
      <c r="AY112" s="8"/>
      <c r="AZ112" s="9" t="n">
        <f aca="false">PERCENTILE(AO112:AX112,0.9)</f>
        <v>1432</v>
      </c>
      <c r="BA112" s="9"/>
      <c r="BB112" s="9"/>
    </row>
    <row r="113" customFormat="false" ht="13.8" hidden="false" customHeight="false" outlineLevel="0" collapsed="false">
      <c r="T113" s="21"/>
      <c r="U113" s="21" t="s">
        <v>16</v>
      </c>
      <c r="V113" s="1" t="n">
        <v>143.871</v>
      </c>
      <c r="W113" s="1" t="n">
        <v>26.041</v>
      </c>
      <c r="X113" s="1" t="n">
        <v>28.065</v>
      </c>
      <c r="Y113" s="1" t="n">
        <v>29.798</v>
      </c>
      <c r="Z113" s="1" t="n">
        <v>27.602</v>
      </c>
      <c r="AA113" s="1" t="n">
        <v>280.684</v>
      </c>
      <c r="AB113" s="1" t="n">
        <v>28.837</v>
      </c>
      <c r="AC113" s="1" t="n">
        <v>23.981</v>
      </c>
      <c r="AD113" s="1" t="n">
        <v>27.761</v>
      </c>
      <c r="AE113" s="1" t="n">
        <v>25.404</v>
      </c>
      <c r="AG113" s="1" t="n">
        <f aca="false">PERCENTILE(V113:AE113,0.9)</f>
        <v>157.5523</v>
      </c>
      <c r="AH113" s="9" t="n">
        <f aca="false">N4/AG113</f>
        <v>2.12745989744358</v>
      </c>
      <c r="AI113" s="9" t="n">
        <f aca="false">AH113/8</f>
        <v>0.265932487180447</v>
      </c>
      <c r="AM113" s="4"/>
      <c r="AN113" s="4" t="s">
        <v>16</v>
      </c>
      <c r="AO113" s="1" t="n">
        <v>24.999</v>
      </c>
      <c r="AP113" s="1" t="n">
        <v>22.756</v>
      </c>
      <c r="AQ113" s="1" t="n">
        <v>226.959</v>
      </c>
      <c r="AR113" s="1" t="n">
        <v>24.938</v>
      </c>
      <c r="AS113" s="1" t="n">
        <v>29.728</v>
      </c>
      <c r="AT113" s="1" t="n">
        <v>352.591</v>
      </c>
      <c r="AU113" s="1" t="n">
        <v>36.019</v>
      </c>
      <c r="AV113" s="1" t="n">
        <v>24.871</v>
      </c>
      <c r="AW113" s="1" t="n">
        <v>24.51</v>
      </c>
      <c r="AX113" s="1" t="n">
        <v>258.771</v>
      </c>
      <c r="AY113" s="8"/>
      <c r="AZ113" s="9" t="n">
        <f aca="false">PERCENTILE(AO113:AX113,0.9)</f>
        <v>268.153</v>
      </c>
      <c r="BA113" s="9" t="n">
        <f aca="false">N4/AZ113</f>
        <v>1.24998116746783</v>
      </c>
      <c r="BB113" s="9" t="n">
        <f aca="false">BA113/8</f>
        <v>0.156247645933478</v>
      </c>
    </row>
    <row r="114" customFormat="false" ht="13.8" hidden="false" customHeight="false" outlineLevel="0" collapsed="false">
      <c r="T114" s="21" t="s">
        <v>17</v>
      </c>
      <c r="U114" s="21" t="s">
        <v>15</v>
      </c>
      <c r="V114" s="1" t="n">
        <v>90</v>
      </c>
      <c r="W114" s="1" t="n">
        <v>760</v>
      </c>
      <c r="X114" s="1" t="n">
        <v>80</v>
      </c>
      <c r="Y114" s="1" t="n">
        <v>100</v>
      </c>
      <c r="Z114" s="1" t="n">
        <v>90</v>
      </c>
      <c r="AA114" s="1" t="n">
        <v>80</v>
      </c>
      <c r="AB114" s="1" t="n">
        <v>80</v>
      </c>
      <c r="AC114" s="1" t="n">
        <v>80</v>
      </c>
      <c r="AD114" s="1" t="n">
        <v>80</v>
      </c>
      <c r="AE114" s="1" t="n">
        <v>210</v>
      </c>
      <c r="AG114" s="1" t="n">
        <f aca="false">PERCENTILE(V114:AE114,0.9)</f>
        <v>265</v>
      </c>
      <c r="AH114" s="9"/>
      <c r="AI114" s="9"/>
      <c r="AM114" s="4" t="s">
        <v>17</v>
      </c>
      <c r="AN114" s="4" t="s">
        <v>15</v>
      </c>
      <c r="AO114" s="1" t="n">
        <v>60</v>
      </c>
      <c r="AP114" s="1" t="n">
        <v>70</v>
      </c>
      <c r="AQ114" s="1" t="n">
        <v>70</v>
      </c>
      <c r="AR114" s="1" t="n">
        <v>80</v>
      </c>
      <c r="AS114" s="1" t="n">
        <v>70</v>
      </c>
      <c r="AT114" s="1" t="n">
        <v>410</v>
      </c>
      <c r="AU114" s="1" t="n">
        <v>70</v>
      </c>
      <c r="AV114" s="1" t="n">
        <v>70</v>
      </c>
      <c r="AW114" s="1" t="n">
        <v>70</v>
      </c>
      <c r="AX114" s="1" t="n">
        <v>60</v>
      </c>
      <c r="AY114" s="8"/>
      <c r="AZ114" s="9" t="n">
        <f aca="false">PERCENTILE(AO114:AX114,0.9)</f>
        <v>113</v>
      </c>
      <c r="BA114" s="9"/>
      <c r="BB114" s="9"/>
    </row>
    <row r="115" customFormat="false" ht="13.8" hidden="false" customHeight="false" outlineLevel="0" collapsed="false">
      <c r="T115" s="21"/>
      <c r="U115" s="21" t="s">
        <v>16</v>
      </c>
      <c r="V115" s="1" t="n">
        <v>10.718</v>
      </c>
      <c r="W115" s="1" t="n">
        <v>95.034</v>
      </c>
      <c r="X115" s="1" t="n">
        <v>10.995</v>
      </c>
      <c r="Y115" s="1" t="n">
        <v>12.984</v>
      </c>
      <c r="Z115" s="1" t="n">
        <v>10.796</v>
      </c>
      <c r="AA115" s="1" t="n">
        <v>9.797</v>
      </c>
      <c r="AB115" s="1" t="n">
        <v>10.575</v>
      </c>
      <c r="AC115" s="1" t="n">
        <v>10.478</v>
      </c>
      <c r="AD115" s="1" t="n">
        <v>10.428</v>
      </c>
      <c r="AE115" s="1" t="n">
        <v>25.782</v>
      </c>
      <c r="AG115" s="1" t="n">
        <f aca="false">PERCENTILE(V115:AE115,0.9)</f>
        <v>32.7072</v>
      </c>
      <c r="AH115" s="9" t="n">
        <f aca="false">N6/AG115</f>
        <v>3.18499596419137</v>
      </c>
      <c r="AI115" s="9" t="n">
        <f aca="false">AH115/8</f>
        <v>0.398124495523922</v>
      </c>
      <c r="AM115" s="4"/>
      <c r="AN115" s="4" t="s">
        <v>16</v>
      </c>
      <c r="AO115" s="1" t="n">
        <v>7.676</v>
      </c>
      <c r="AP115" s="1" t="n">
        <v>8.315</v>
      </c>
      <c r="AQ115" s="1" t="n">
        <v>9.001</v>
      </c>
      <c r="AR115" s="1" t="n">
        <v>11.245</v>
      </c>
      <c r="AS115" s="1" t="n">
        <v>9.303</v>
      </c>
      <c r="AT115" s="1" t="n">
        <v>69.383</v>
      </c>
      <c r="AU115" s="1" t="n">
        <v>8.878</v>
      </c>
      <c r="AV115" s="1" t="n">
        <v>9.02</v>
      </c>
      <c r="AW115" s="1" t="n">
        <v>9.134</v>
      </c>
      <c r="AX115" s="1" t="n">
        <v>8.199</v>
      </c>
      <c r="AY115" s="8"/>
      <c r="AZ115" s="9" t="n">
        <f aca="false">PERCENTILE(AO115:AX115,0.9)</f>
        <v>17.0588</v>
      </c>
      <c r="BA115" s="9" t="n">
        <f aca="false">N6/AZ115</f>
        <v>6.10666049194552</v>
      </c>
      <c r="BB115" s="9" t="n">
        <f aca="false">BA115/8</f>
        <v>0.763332561493189</v>
      </c>
    </row>
    <row r="116" customFormat="false" ht="13.8" hidden="false" customHeight="false" outlineLevel="0" collapsed="false">
      <c r="T116" s="21" t="s">
        <v>18</v>
      </c>
      <c r="U116" s="21" t="s">
        <v>15</v>
      </c>
      <c r="V116" s="1" t="n">
        <v>20</v>
      </c>
      <c r="W116" s="1" t="n">
        <v>20</v>
      </c>
      <c r="X116" s="1" t="n">
        <v>310</v>
      </c>
      <c r="Y116" s="1" t="n">
        <v>170</v>
      </c>
      <c r="Z116" s="1" t="n">
        <v>30</v>
      </c>
      <c r="AA116" s="1" t="n">
        <v>20</v>
      </c>
      <c r="AB116" s="1" t="n">
        <v>150</v>
      </c>
      <c r="AC116" s="1" t="n">
        <v>20</v>
      </c>
      <c r="AD116" s="1" t="n">
        <v>30</v>
      </c>
      <c r="AE116" s="1" t="n">
        <v>20</v>
      </c>
      <c r="AG116" s="1" t="n">
        <f aca="false">PERCENTILE(V116:AE116,0.9)</f>
        <v>184</v>
      </c>
      <c r="AH116" s="9"/>
      <c r="AI116" s="9"/>
      <c r="AM116" s="4" t="s">
        <v>18</v>
      </c>
      <c r="AN116" s="4" t="s">
        <v>15</v>
      </c>
      <c r="AO116" s="1" t="n">
        <v>80</v>
      </c>
      <c r="AP116" s="1" t="n">
        <v>140</v>
      </c>
      <c r="AQ116" s="1" t="n">
        <v>60</v>
      </c>
      <c r="AR116" s="1" t="n">
        <v>30</v>
      </c>
      <c r="AS116" s="1" t="n">
        <v>30</v>
      </c>
      <c r="AT116" s="1" t="n">
        <v>30</v>
      </c>
      <c r="AU116" s="1" t="n">
        <v>20</v>
      </c>
      <c r="AV116" s="1" t="n">
        <v>20</v>
      </c>
      <c r="AW116" s="1" t="n">
        <v>20</v>
      </c>
      <c r="AX116" s="1" t="n">
        <v>20</v>
      </c>
      <c r="AY116" s="8"/>
      <c r="AZ116" s="9" t="n">
        <f aca="false">PERCENTILE(AO116:AX116,0.9)</f>
        <v>86</v>
      </c>
      <c r="BA116" s="9"/>
      <c r="BB116" s="9"/>
    </row>
    <row r="117" customFormat="false" ht="13.8" hidden="false" customHeight="false" outlineLevel="0" collapsed="false">
      <c r="T117" s="21"/>
      <c r="U117" s="21" t="s">
        <v>16</v>
      </c>
      <c r="V117" s="1" t="n">
        <v>2.97</v>
      </c>
      <c r="W117" s="1" t="n">
        <v>3.337</v>
      </c>
      <c r="X117" s="1" t="n">
        <v>38.092</v>
      </c>
      <c r="Y117" s="1" t="n">
        <v>21.118</v>
      </c>
      <c r="Z117" s="1" t="n">
        <v>2.994</v>
      </c>
      <c r="AA117" s="1" t="n">
        <v>3.293</v>
      </c>
      <c r="AB117" s="1" t="n">
        <v>19.739</v>
      </c>
      <c r="AC117" s="1" t="n">
        <v>3.247</v>
      </c>
      <c r="AD117" s="1" t="n">
        <v>3.289</v>
      </c>
      <c r="AE117" s="1" t="n">
        <v>3.154</v>
      </c>
      <c r="AG117" s="1" t="n">
        <f aca="false">PERCENTILE(V117:AE117,0.9)</f>
        <v>22.8154</v>
      </c>
      <c r="AH117" s="9" t="n">
        <f aca="false">N8/AG117</f>
        <v>1.39950647369759</v>
      </c>
      <c r="AI117" s="9" t="n">
        <f aca="false">AH117/8</f>
        <v>0.174938309212199</v>
      </c>
      <c r="AM117" s="4"/>
      <c r="AN117" s="4" t="s">
        <v>16</v>
      </c>
      <c r="AO117" s="1" t="n">
        <v>17.18</v>
      </c>
      <c r="AP117" s="1" t="n">
        <v>23.171</v>
      </c>
      <c r="AQ117" s="1" t="n">
        <v>8.224</v>
      </c>
      <c r="AR117" s="1" t="n">
        <v>4.222</v>
      </c>
      <c r="AS117" s="1" t="n">
        <v>3.438</v>
      </c>
      <c r="AT117" s="1" t="n">
        <v>2.887</v>
      </c>
      <c r="AU117" s="1" t="n">
        <v>2.777</v>
      </c>
      <c r="AV117" s="1" t="n">
        <v>3.024</v>
      </c>
      <c r="AW117" s="1" t="n">
        <v>3.114</v>
      </c>
      <c r="AX117" s="1" t="n">
        <v>3.254</v>
      </c>
      <c r="AY117" s="8"/>
      <c r="AZ117" s="9" t="n">
        <f aca="false">PERCENTILE(AO117:AX117,0.9)</f>
        <v>17.7791</v>
      </c>
      <c r="BA117" s="9" t="n">
        <f aca="false">N8/AZ117</f>
        <v>1.79594580153101</v>
      </c>
      <c r="BB117" s="9" t="n">
        <f aca="false">BA117/8</f>
        <v>0.224493225191376</v>
      </c>
    </row>
    <row r="118" customFormat="false" ht="13.8" hidden="false" customHeight="false" outlineLevel="0" collapsed="false">
      <c r="T118" s="21" t="s">
        <v>19</v>
      </c>
      <c r="U118" s="21" t="s">
        <v>15</v>
      </c>
      <c r="V118" s="1" t="n">
        <v>50</v>
      </c>
      <c r="W118" s="1" t="n">
        <v>50</v>
      </c>
      <c r="X118" s="1" t="n">
        <v>50</v>
      </c>
      <c r="Y118" s="1" t="n">
        <v>50</v>
      </c>
      <c r="Z118" s="1" t="n">
        <v>50</v>
      </c>
      <c r="AA118" s="1" t="n">
        <v>50</v>
      </c>
      <c r="AB118" s="1" t="n">
        <v>50</v>
      </c>
      <c r="AC118" s="1" t="n">
        <v>50</v>
      </c>
      <c r="AD118" s="1" t="n">
        <v>50</v>
      </c>
      <c r="AE118" s="1" t="n">
        <v>50</v>
      </c>
      <c r="AG118" s="1" t="n">
        <f aca="false">PERCENTILE(V118:AE118,0.9)</f>
        <v>50</v>
      </c>
      <c r="AH118" s="9"/>
      <c r="AI118" s="9"/>
      <c r="AM118" s="4" t="s">
        <v>19</v>
      </c>
      <c r="AN118" s="4" t="s">
        <v>15</v>
      </c>
      <c r="AO118" s="1" t="n">
        <v>40</v>
      </c>
      <c r="AP118" s="1" t="n">
        <v>40</v>
      </c>
      <c r="AQ118" s="1" t="n">
        <v>40</v>
      </c>
      <c r="AR118" s="1" t="n">
        <v>40</v>
      </c>
      <c r="AS118" s="1" t="n">
        <v>40</v>
      </c>
      <c r="AT118" s="1" t="n">
        <v>40</v>
      </c>
      <c r="AU118" s="1" t="n">
        <v>40</v>
      </c>
      <c r="AV118" s="1" t="n">
        <v>40</v>
      </c>
      <c r="AW118" s="1" t="n">
        <v>40</v>
      </c>
      <c r="AX118" s="1" t="n">
        <v>40</v>
      </c>
      <c r="AY118" s="8"/>
      <c r="AZ118" s="9" t="n">
        <f aca="false">PERCENTILE(AO118:AX118,0.9)</f>
        <v>40</v>
      </c>
      <c r="BA118" s="9"/>
      <c r="BB118" s="9"/>
    </row>
    <row r="119" customFormat="false" ht="13.8" hidden="false" customHeight="false" outlineLevel="0" collapsed="false">
      <c r="T119" s="21"/>
      <c r="U119" s="21" t="s">
        <v>16</v>
      </c>
      <c r="V119" s="1" t="n">
        <v>6.797</v>
      </c>
      <c r="W119" s="1" t="n">
        <v>5.853</v>
      </c>
      <c r="X119" s="1" t="n">
        <v>6.233</v>
      </c>
      <c r="Y119" s="1" t="n">
        <v>6.14</v>
      </c>
      <c r="Z119" s="1" t="n">
        <v>6.322</v>
      </c>
      <c r="AA119" s="1" t="n">
        <v>6.518</v>
      </c>
      <c r="AB119" s="1" t="n">
        <v>6.413</v>
      </c>
      <c r="AC119" s="1" t="n">
        <v>6.367</v>
      </c>
      <c r="AD119" s="1" t="n">
        <v>6.138</v>
      </c>
      <c r="AE119" s="1" t="n">
        <v>6.297</v>
      </c>
      <c r="AG119" s="1" t="n">
        <f aca="false">PERCENTILE(V119:AE119,0.9)</f>
        <v>6.5459</v>
      </c>
      <c r="AH119" s="9" t="n">
        <f aca="false">N10/AG119</f>
        <v>9.84871446248797</v>
      </c>
      <c r="AI119" s="9" t="n">
        <f aca="false">AH119/8</f>
        <v>1.231089307811</v>
      </c>
      <c r="AJ119" s="22"/>
      <c r="AM119" s="4"/>
      <c r="AN119" s="4" t="s">
        <v>16</v>
      </c>
      <c r="AO119" s="1" t="n">
        <v>5.086</v>
      </c>
      <c r="AP119" s="1" t="n">
        <v>5.698</v>
      </c>
      <c r="AQ119" s="1" t="n">
        <v>4.954</v>
      </c>
      <c r="AR119" s="1" t="n">
        <v>5.222</v>
      </c>
      <c r="AS119" s="1" t="n">
        <v>5.213</v>
      </c>
      <c r="AT119" s="1" t="n">
        <v>5.081</v>
      </c>
      <c r="AU119" s="1" t="n">
        <v>5.185</v>
      </c>
      <c r="AV119" s="1" t="n">
        <v>5.328</v>
      </c>
      <c r="AW119" s="1" t="n">
        <v>5.195</v>
      </c>
      <c r="AX119" s="1" t="n">
        <v>5.63</v>
      </c>
      <c r="AY119" s="8"/>
      <c r="AZ119" s="9" t="n">
        <f aca="false">PERCENTILE(AO119:AX119,0.9)</f>
        <v>5.6368</v>
      </c>
      <c r="BA119" s="9" t="n">
        <f aca="false">N10/AZ119</f>
        <v>11.4371097076355</v>
      </c>
      <c r="BB119" s="9" t="n">
        <f aca="false">BA119/8</f>
        <v>1.42963871345444</v>
      </c>
      <c r="BC119" s="22"/>
    </row>
    <row r="120" customFormat="false" ht="13.8" hidden="false" customHeight="false" outlineLevel="0" collapsed="false">
      <c r="T120" s="21" t="s">
        <v>20</v>
      </c>
      <c r="U120" s="21" t="s">
        <v>15</v>
      </c>
      <c r="V120" s="1" t="n">
        <v>2370</v>
      </c>
      <c r="W120" s="1" t="n">
        <v>7620</v>
      </c>
      <c r="X120" s="1" t="n">
        <v>7620</v>
      </c>
      <c r="Y120" s="1" t="n">
        <v>5740</v>
      </c>
      <c r="Z120" s="1" t="n">
        <v>9710</v>
      </c>
      <c r="AA120" s="1" t="n">
        <v>8720</v>
      </c>
      <c r="AB120" s="1" t="n">
        <v>2040</v>
      </c>
      <c r="AC120" s="1" t="n">
        <v>2140</v>
      </c>
      <c r="AD120" s="1" t="n">
        <v>2160</v>
      </c>
      <c r="AE120" s="1" t="n">
        <v>11180</v>
      </c>
      <c r="AG120" s="1" t="n">
        <f aca="false">PERCENTILE(V120:AE120,0.9)</f>
        <v>9857</v>
      </c>
      <c r="AH120" s="9"/>
      <c r="AI120" s="9"/>
      <c r="AM120" s="4" t="s">
        <v>20</v>
      </c>
      <c r="AN120" s="4" t="s">
        <v>15</v>
      </c>
      <c r="AO120" s="1" t="n">
        <v>2430</v>
      </c>
      <c r="AP120" s="1" t="n">
        <v>4920</v>
      </c>
      <c r="AQ120" s="1" t="n">
        <v>17550</v>
      </c>
      <c r="AR120" s="1" t="n">
        <v>8750</v>
      </c>
      <c r="AS120" s="1" t="n">
        <v>5940</v>
      </c>
      <c r="AT120" s="1" t="n">
        <v>1280</v>
      </c>
      <c r="AU120" s="1" t="n">
        <v>1470</v>
      </c>
      <c r="AV120" s="1" t="n">
        <v>1240</v>
      </c>
      <c r="AW120" s="1" t="n">
        <v>1580</v>
      </c>
      <c r="AX120" s="1" t="n">
        <v>12650</v>
      </c>
      <c r="AY120" s="8"/>
      <c r="AZ120" s="9" t="n">
        <f aca="false">PERCENTILE(AO120:AX120,0.9)</f>
        <v>13140</v>
      </c>
      <c r="BA120" s="9"/>
      <c r="BB120" s="9"/>
    </row>
    <row r="121" customFormat="false" ht="13.8" hidden="false" customHeight="false" outlineLevel="0" collapsed="false">
      <c r="T121" s="21"/>
      <c r="U121" s="21" t="s">
        <v>16</v>
      </c>
      <c r="V121" s="1" t="n">
        <v>297.686</v>
      </c>
      <c r="W121" s="1" t="n">
        <v>955.281</v>
      </c>
      <c r="X121" s="1" t="n">
        <v>954.55</v>
      </c>
      <c r="Y121" s="1" t="n">
        <v>719.946</v>
      </c>
      <c r="Z121" s="1" t="n">
        <v>1217.696</v>
      </c>
      <c r="AA121" s="1" t="n">
        <v>1092.403</v>
      </c>
      <c r="AB121" s="1" t="n">
        <v>255.094</v>
      </c>
      <c r="AC121" s="1" t="n">
        <v>268.292</v>
      </c>
      <c r="AD121" s="1" t="n">
        <v>271.756</v>
      </c>
      <c r="AE121" s="1" t="n">
        <v>1401.501</v>
      </c>
      <c r="AG121" s="1" t="n">
        <f aca="false">PERCENTILE(V121:AE121,0.9)</f>
        <v>1236.0765</v>
      </c>
      <c r="AH121" s="9" t="n">
        <f aca="false">N12/AG121</f>
        <v>1.49558753038344</v>
      </c>
      <c r="AI121" s="9" t="n">
        <f aca="false">AH121/8</f>
        <v>0.186948441297929</v>
      </c>
      <c r="AM121" s="4"/>
      <c r="AN121" s="4" t="s">
        <v>16</v>
      </c>
      <c r="AO121" s="1" t="n">
        <v>488.974</v>
      </c>
      <c r="AP121" s="1" t="n">
        <v>728.083</v>
      </c>
      <c r="AQ121" s="1" t="n">
        <v>2952.714</v>
      </c>
      <c r="AR121" s="1" t="n">
        <v>1415.377</v>
      </c>
      <c r="AS121" s="1" t="n">
        <v>954.818</v>
      </c>
      <c r="AT121" s="1" t="n">
        <v>158.825</v>
      </c>
      <c r="AU121" s="1" t="n">
        <v>199.092</v>
      </c>
      <c r="AV121" s="1" t="n">
        <v>155.68</v>
      </c>
      <c r="AW121" s="1" t="n">
        <v>202.379</v>
      </c>
      <c r="AX121" s="1" t="n">
        <v>2130.991</v>
      </c>
      <c r="AY121" s="8"/>
      <c r="AZ121" s="9" t="n">
        <f aca="false">PERCENTILE(AO121:AX121,0.9)</f>
        <v>2213.1633</v>
      </c>
      <c r="BA121" s="9" t="n">
        <f aca="false">N12/AZ121</f>
        <v>0.835302392733514</v>
      </c>
      <c r="BB121" s="9" t="n">
        <f aca="false">BA121/8</f>
        <v>0.104412799091689</v>
      </c>
    </row>
    <row r="122" customFormat="false" ht="12.8" hidden="false" customHeight="false" outlineLevel="0" collapsed="false"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M122" s="3"/>
      <c r="AN122" s="3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3"/>
      <c r="AZ122" s="3"/>
      <c r="BA122" s="3"/>
      <c r="BB122" s="3"/>
    </row>
    <row r="123" customFormat="false" ht="12.8" hidden="false" customHeight="false" outlineLevel="0" collapsed="false"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M123" s="3"/>
      <c r="AN123" s="3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3"/>
      <c r="AZ123" s="3"/>
      <c r="BA123" s="3"/>
      <c r="BB123" s="3"/>
    </row>
    <row r="124" customFormat="false" ht="12.8" hidden="false" customHeight="false" outlineLevel="0" collapsed="false"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M124" s="3"/>
      <c r="AN124" s="3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3"/>
      <c r="AZ124" s="3"/>
      <c r="BA124" s="3"/>
      <c r="BB124" s="3"/>
    </row>
    <row r="125" customFormat="false" ht="12.8" hidden="false" customHeight="false" outlineLevel="0" collapsed="false">
      <c r="T125" s="20" t="s">
        <v>53</v>
      </c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M125" s="17" t="s">
        <v>54</v>
      </c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</row>
    <row r="126" customFormat="false" ht="13.8" hidden="false" customHeight="false" outlineLevel="0" collapsed="false">
      <c r="T126" s="21" t="s">
        <v>1</v>
      </c>
      <c r="U126" s="21" t="s">
        <v>2</v>
      </c>
      <c r="V126" s="21" t="s">
        <v>3</v>
      </c>
      <c r="W126" s="21" t="s">
        <v>4</v>
      </c>
      <c r="X126" s="21" t="s">
        <v>5</v>
      </c>
      <c r="Y126" s="21" t="s">
        <v>6</v>
      </c>
      <c r="Z126" s="21" t="s">
        <v>7</v>
      </c>
      <c r="AA126" s="21" t="s">
        <v>8</v>
      </c>
      <c r="AB126" s="21" t="s">
        <v>9</v>
      </c>
      <c r="AC126" s="21" t="s">
        <v>10</v>
      </c>
      <c r="AD126" s="21" t="s">
        <v>11</v>
      </c>
      <c r="AE126" s="21" t="s">
        <v>12</v>
      </c>
      <c r="AG126" s="22" t="s">
        <v>13</v>
      </c>
      <c r="AH126" s="6" t="s">
        <v>26</v>
      </c>
      <c r="AI126" s="6" t="s">
        <v>27</v>
      </c>
      <c r="AM126" s="4" t="s">
        <v>1</v>
      </c>
      <c r="AN126" s="4" t="s">
        <v>2</v>
      </c>
      <c r="AO126" s="4" t="s">
        <v>3</v>
      </c>
      <c r="AP126" s="4" t="s">
        <v>4</v>
      </c>
      <c r="AQ126" s="4" t="s">
        <v>5</v>
      </c>
      <c r="AR126" s="4" t="s">
        <v>6</v>
      </c>
      <c r="AS126" s="4" t="s">
        <v>7</v>
      </c>
      <c r="AT126" s="4" t="s">
        <v>8</v>
      </c>
      <c r="AU126" s="4" t="s">
        <v>9</v>
      </c>
      <c r="AV126" s="4" t="s">
        <v>10</v>
      </c>
      <c r="AW126" s="4" t="s">
        <v>11</v>
      </c>
      <c r="AX126" s="4" t="s">
        <v>12</v>
      </c>
      <c r="AY126" s="5"/>
      <c r="AZ126" s="6" t="s">
        <v>13</v>
      </c>
      <c r="BA126" s="6" t="s">
        <v>26</v>
      </c>
      <c r="BB126" s="6" t="s">
        <v>27</v>
      </c>
    </row>
    <row r="127" customFormat="false" ht="13.8" hidden="false" customHeight="false" outlineLevel="0" collapsed="false">
      <c r="T127" s="21" t="s">
        <v>14</v>
      </c>
      <c r="U127" s="21" t="s">
        <v>15</v>
      </c>
      <c r="V127" s="1" t="n">
        <v>4410</v>
      </c>
      <c r="W127" s="1" t="n">
        <v>7250</v>
      </c>
      <c r="X127" s="1" t="n">
        <v>3610</v>
      </c>
      <c r="Y127" s="1" t="n">
        <v>370</v>
      </c>
      <c r="Z127" s="1" t="n">
        <v>3800</v>
      </c>
      <c r="AA127" s="1" t="n">
        <v>5040</v>
      </c>
      <c r="AB127" s="1" t="n">
        <v>6270</v>
      </c>
      <c r="AC127" s="1" t="n">
        <v>420</v>
      </c>
      <c r="AD127" s="1" t="n">
        <v>430</v>
      </c>
      <c r="AE127" s="1" t="n">
        <v>400</v>
      </c>
      <c r="AG127" s="1" t="n">
        <f aca="false">PERCENTILE(V127:AE127,0.9)</f>
        <v>6368</v>
      </c>
      <c r="AH127" s="9"/>
      <c r="AI127" s="9"/>
      <c r="AM127" s="4" t="s">
        <v>14</v>
      </c>
      <c r="AN127" s="4" t="s">
        <v>15</v>
      </c>
      <c r="AO127" s="1" t="n">
        <v>520</v>
      </c>
      <c r="AP127" s="1" t="n">
        <v>630</v>
      </c>
      <c r="AQ127" s="1" t="n">
        <v>480</v>
      </c>
      <c r="AR127" s="1" t="n">
        <v>1860</v>
      </c>
      <c r="AS127" s="1" t="n">
        <v>760</v>
      </c>
      <c r="AT127" s="1" t="n">
        <v>690</v>
      </c>
      <c r="AU127" s="1" t="n">
        <v>700</v>
      </c>
      <c r="AV127" s="1" t="n">
        <v>580</v>
      </c>
      <c r="AW127" s="1" t="n">
        <v>490</v>
      </c>
      <c r="AX127" s="1" t="n">
        <v>640</v>
      </c>
      <c r="AY127" s="8"/>
      <c r="AZ127" s="9" t="n">
        <f aca="false">PERCENTILE(AO127:AX127,0.9)</f>
        <v>870</v>
      </c>
      <c r="BA127" s="9"/>
      <c r="BB127" s="9"/>
    </row>
    <row r="128" customFormat="false" ht="13.8" hidden="false" customHeight="false" outlineLevel="0" collapsed="false">
      <c r="T128" s="21"/>
      <c r="U128" s="21" t="s">
        <v>16</v>
      </c>
      <c r="V128" s="1" t="n">
        <v>277.286</v>
      </c>
      <c r="W128" s="1" t="n">
        <v>454.481</v>
      </c>
      <c r="X128" s="1" t="n">
        <v>226.412</v>
      </c>
      <c r="Y128" s="1" t="n">
        <v>23.818</v>
      </c>
      <c r="Z128" s="1" t="n">
        <v>238.935</v>
      </c>
      <c r="AA128" s="1" t="n">
        <v>315.822</v>
      </c>
      <c r="AB128" s="1" t="n">
        <v>393.26</v>
      </c>
      <c r="AC128" s="1" t="n">
        <v>26.613</v>
      </c>
      <c r="AD128" s="1" t="n">
        <v>27.604</v>
      </c>
      <c r="AE128" s="1" t="n">
        <v>25.315</v>
      </c>
      <c r="AG128" s="1" t="n">
        <f aca="false">PERCENTILE(V128:AE128,0.9)</f>
        <v>399.3821</v>
      </c>
      <c r="AH128" s="9" t="n">
        <f aca="false">N4/AG128</f>
        <v>0.839261949897104</v>
      </c>
      <c r="AI128" s="9" t="n">
        <f aca="false">AH128/16</f>
        <v>0.052453871868569</v>
      </c>
      <c r="AM128" s="4"/>
      <c r="AN128" s="4" t="s">
        <v>16</v>
      </c>
      <c r="AO128" s="1" t="n">
        <v>33.059</v>
      </c>
      <c r="AP128" s="1" t="n">
        <v>40.075</v>
      </c>
      <c r="AQ128" s="1" t="n">
        <v>30.296</v>
      </c>
      <c r="AR128" s="1" t="n">
        <v>190.577</v>
      </c>
      <c r="AS128" s="1" t="n">
        <v>48.239</v>
      </c>
      <c r="AT128" s="1" t="n">
        <v>43.887</v>
      </c>
      <c r="AU128" s="1" t="n">
        <v>44.102</v>
      </c>
      <c r="AV128" s="1" t="n">
        <v>36.894</v>
      </c>
      <c r="AW128" s="1" t="n">
        <v>31.567</v>
      </c>
      <c r="AX128" s="1" t="n">
        <v>40.396</v>
      </c>
      <c r="AY128" s="8"/>
      <c r="AZ128" s="9" t="n">
        <f aca="false">PERCENTILE(AO128:AX128,0.9)</f>
        <v>62.4728</v>
      </c>
      <c r="BA128" s="9" t="n">
        <f aca="false">N4/AZ128</f>
        <v>5.3653141847332</v>
      </c>
      <c r="BB128" s="9" t="n">
        <f aca="false">BA128/16</f>
        <v>0.335332136545825</v>
      </c>
    </row>
    <row r="129" customFormat="false" ht="13.8" hidden="false" customHeight="false" outlineLevel="0" collapsed="false">
      <c r="T129" s="21" t="s">
        <v>17</v>
      </c>
      <c r="U129" s="21" t="s">
        <v>15</v>
      </c>
      <c r="V129" s="1" t="n">
        <v>170</v>
      </c>
      <c r="W129" s="1" t="n">
        <v>150</v>
      </c>
      <c r="X129" s="1" t="n">
        <v>150</v>
      </c>
      <c r="Y129" s="1" t="n">
        <v>160</v>
      </c>
      <c r="Z129" s="1" t="n">
        <v>920</v>
      </c>
      <c r="AA129" s="1" t="n">
        <v>150</v>
      </c>
      <c r="AB129" s="1" t="n">
        <v>150</v>
      </c>
      <c r="AC129" s="1" t="n">
        <v>1430</v>
      </c>
      <c r="AD129" s="1" t="n">
        <v>150</v>
      </c>
      <c r="AE129" s="1" t="n">
        <v>160</v>
      </c>
      <c r="AG129" s="1" t="n">
        <f aca="false">PERCENTILE(V129:AE129,0.9)</f>
        <v>971</v>
      </c>
      <c r="AH129" s="9"/>
      <c r="AI129" s="9"/>
      <c r="AM129" s="4" t="s">
        <v>17</v>
      </c>
      <c r="AN129" s="4" t="s">
        <v>15</v>
      </c>
      <c r="AO129" s="1" t="n">
        <v>260</v>
      </c>
      <c r="AP129" s="1" t="n">
        <v>290</v>
      </c>
      <c r="AQ129" s="1" t="n">
        <v>260</v>
      </c>
      <c r="AR129" s="1" t="n">
        <v>250</v>
      </c>
      <c r="AS129" s="1" t="n">
        <v>250</v>
      </c>
      <c r="AT129" s="1" t="n">
        <v>250</v>
      </c>
      <c r="AU129" s="1" t="n">
        <v>250</v>
      </c>
      <c r="AV129" s="1" t="n">
        <v>260</v>
      </c>
      <c r="AW129" s="1" t="n">
        <v>300</v>
      </c>
      <c r="AX129" s="1" t="n">
        <v>270</v>
      </c>
      <c r="AY129" s="8"/>
      <c r="AZ129" s="9" t="n">
        <f aca="false">PERCENTILE(AO129:AX129,0.9)</f>
        <v>291</v>
      </c>
      <c r="BA129" s="9"/>
      <c r="BB129" s="9"/>
    </row>
    <row r="130" customFormat="false" ht="13.8" hidden="false" customHeight="false" outlineLevel="0" collapsed="false">
      <c r="T130" s="21"/>
      <c r="U130" s="21" t="s">
        <v>16</v>
      </c>
      <c r="V130" s="1" t="n">
        <v>10.452</v>
      </c>
      <c r="W130" s="1" t="n">
        <v>9.658</v>
      </c>
      <c r="X130" s="1" t="n">
        <v>9.976</v>
      </c>
      <c r="Y130" s="1" t="n">
        <v>10.019</v>
      </c>
      <c r="Z130" s="1" t="n">
        <v>58.762</v>
      </c>
      <c r="AA130" s="1" t="n">
        <v>10.068</v>
      </c>
      <c r="AB130" s="1" t="n">
        <v>9.887</v>
      </c>
      <c r="AC130" s="1" t="n">
        <v>89.813</v>
      </c>
      <c r="AD130" s="1" t="n">
        <v>9.845</v>
      </c>
      <c r="AE130" s="1" t="n">
        <v>9.954</v>
      </c>
      <c r="AG130" s="1" t="n">
        <f aca="false">PERCENTILE(V130:AE130,0.9)</f>
        <v>61.8671</v>
      </c>
      <c r="AH130" s="9" t="n">
        <f aca="false">N6/AG130</f>
        <v>1.68380771039858</v>
      </c>
      <c r="AI130" s="9" t="n">
        <f aca="false">AH130/16</f>
        <v>0.105237981899911</v>
      </c>
      <c r="AM130" s="4"/>
      <c r="AN130" s="4" t="s">
        <v>16</v>
      </c>
      <c r="AO130" s="1" t="n">
        <v>16.952</v>
      </c>
      <c r="AP130" s="1" t="n">
        <v>18.007</v>
      </c>
      <c r="AQ130" s="1" t="n">
        <v>16.424</v>
      </c>
      <c r="AR130" s="1" t="n">
        <v>16.033</v>
      </c>
      <c r="AS130" s="1" t="n">
        <v>15.593</v>
      </c>
      <c r="AT130" s="1" t="n">
        <v>16.047</v>
      </c>
      <c r="AU130" s="1" t="n">
        <v>16.195</v>
      </c>
      <c r="AV130" s="1" t="n">
        <v>17.027</v>
      </c>
      <c r="AW130" s="1" t="n">
        <v>18.568</v>
      </c>
      <c r="AX130" s="1" t="n">
        <v>17.102</v>
      </c>
      <c r="AY130" s="8"/>
      <c r="AZ130" s="9" t="n">
        <f aca="false">PERCENTILE(AO130:AX130,0.9)</f>
        <v>18.0631</v>
      </c>
      <c r="BA130" s="9" t="n">
        <f aca="false">N6/AZ130</f>
        <v>5.76713299489014</v>
      </c>
      <c r="BB130" s="9" t="n">
        <f aca="false">BA130/16</f>
        <v>0.360445812180633</v>
      </c>
    </row>
    <row r="131" customFormat="false" ht="13.8" hidden="false" customHeight="false" outlineLevel="0" collapsed="false">
      <c r="T131" s="21" t="s">
        <v>18</v>
      </c>
      <c r="U131" s="21" t="s">
        <v>15</v>
      </c>
      <c r="V131" s="1" t="n">
        <v>50</v>
      </c>
      <c r="W131" s="1" t="n">
        <v>40</v>
      </c>
      <c r="X131" s="1" t="n">
        <v>40</v>
      </c>
      <c r="Y131" s="1" t="n">
        <v>40</v>
      </c>
      <c r="Z131" s="1" t="n">
        <v>40</v>
      </c>
      <c r="AA131" s="1" t="n">
        <v>50</v>
      </c>
      <c r="AB131" s="1" t="n">
        <v>50</v>
      </c>
      <c r="AC131" s="1" t="n">
        <v>40</v>
      </c>
      <c r="AD131" s="1" t="n">
        <v>60</v>
      </c>
      <c r="AE131" s="1" t="n">
        <v>50</v>
      </c>
      <c r="AG131" s="1" t="n">
        <f aca="false">PERCENTILE(V131:AE131,0.9)</f>
        <v>51</v>
      </c>
      <c r="AH131" s="9"/>
      <c r="AI131" s="9"/>
      <c r="AM131" s="4" t="s">
        <v>18</v>
      </c>
      <c r="AN131" s="4" t="s">
        <v>15</v>
      </c>
      <c r="AO131" s="1" t="n">
        <v>90</v>
      </c>
      <c r="AP131" s="1" t="n">
        <v>80</v>
      </c>
      <c r="AQ131" s="1" t="n">
        <v>80</v>
      </c>
      <c r="AR131" s="1" t="n">
        <v>90</v>
      </c>
      <c r="AS131" s="1" t="n">
        <v>80</v>
      </c>
      <c r="AT131" s="1" t="n">
        <v>80</v>
      </c>
      <c r="AU131" s="1" t="n">
        <v>70</v>
      </c>
      <c r="AV131" s="1" t="n">
        <v>80</v>
      </c>
      <c r="AW131" s="1" t="n">
        <v>50</v>
      </c>
      <c r="AX131" s="1" t="n">
        <v>80</v>
      </c>
      <c r="AY131" s="8"/>
      <c r="AZ131" s="9" t="n">
        <f aca="false">PERCENTILE(AO131:AX131,0.9)</f>
        <v>90</v>
      </c>
      <c r="BA131" s="9"/>
      <c r="BB131" s="9"/>
    </row>
    <row r="132" customFormat="false" ht="13.8" hidden="false" customHeight="false" outlineLevel="0" collapsed="false">
      <c r="T132" s="21"/>
      <c r="U132" s="21" t="s">
        <v>16</v>
      </c>
      <c r="V132" s="1" t="n">
        <v>3.372</v>
      </c>
      <c r="W132" s="1" t="n">
        <v>3.427</v>
      </c>
      <c r="X132" s="1" t="n">
        <v>3.155</v>
      </c>
      <c r="Y132" s="1" t="n">
        <v>3.318</v>
      </c>
      <c r="Z132" s="1" t="n">
        <v>3.134</v>
      </c>
      <c r="AA132" s="1" t="n">
        <v>3.331</v>
      </c>
      <c r="AB132" s="1" t="n">
        <v>3.237</v>
      </c>
      <c r="AC132" s="1" t="n">
        <v>3.291</v>
      </c>
      <c r="AD132" s="1" t="n">
        <v>3.661</v>
      </c>
      <c r="AE132" s="1" t="n">
        <v>3.246</v>
      </c>
      <c r="AG132" s="1" t="n">
        <f aca="false">PERCENTILE(V132:AE132,0.9)</f>
        <v>3.4504</v>
      </c>
      <c r="AH132" s="9" t="n">
        <f aca="false">N8/AG132</f>
        <v>9.25408648272664</v>
      </c>
      <c r="AI132" s="9" t="n">
        <f aca="false">AH132/16</f>
        <v>0.578380405170415</v>
      </c>
      <c r="AM132" s="4"/>
      <c r="AN132" s="4" t="s">
        <v>16</v>
      </c>
      <c r="AO132" s="1" t="n">
        <v>5.764</v>
      </c>
      <c r="AP132" s="1" t="n">
        <v>5.593</v>
      </c>
      <c r="AQ132" s="1" t="n">
        <v>5.637</v>
      </c>
      <c r="AR132" s="1" t="n">
        <v>5.94</v>
      </c>
      <c r="AS132" s="1" t="n">
        <v>5.281</v>
      </c>
      <c r="AT132" s="1" t="n">
        <v>5.09</v>
      </c>
      <c r="AU132" s="1" t="n">
        <v>5.331</v>
      </c>
      <c r="AV132" s="1" t="n">
        <v>5.507</v>
      </c>
      <c r="AW132" s="1" t="n">
        <v>3.905</v>
      </c>
      <c r="AX132" s="1" t="n">
        <v>5.335</v>
      </c>
      <c r="AY132" s="8"/>
      <c r="AZ132" s="9" t="n">
        <f aca="false">PERCENTILE(AO132:AX132,0.9)</f>
        <v>5.7816</v>
      </c>
      <c r="BA132" s="9" t="n">
        <f aca="false">N8/AZ132</f>
        <v>5.52274456897745</v>
      </c>
      <c r="BB132" s="9" t="n">
        <f aca="false">BA132/16</f>
        <v>0.34517153556109</v>
      </c>
    </row>
    <row r="133" customFormat="false" ht="13.8" hidden="false" customHeight="false" outlineLevel="0" collapsed="false">
      <c r="T133" s="21" t="s">
        <v>19</v>
      </c>
      <c r="U133" s="21" t="s">
        <v>15</v>
      </c>
      <c r="V133" s="1" t="n">
        <v>80</v>
      </c>
      <c r="W133" s="1" t="n">
        <v>80</v>
      </c>
      <c r="X133" s="1" t="n">
        <v>100</v>
      </c>
      <c r="Y133" s="1" t="n">
        <v>90</v>
      </c>
      <c r="Z133" s="1" t="n">
        <v>100</v>
      </c>
      <c r="AA133" s="1" t="n">
        <v>90</v>
      </c>
      <c r="AB133" s="1" t="n">
        <v>100</v>
      </c>
      <c r="AC133" s="1" t="n">
        <v>80</v>
      </c>
      <c r="AD133" s="1" t="n">
        <v>90</v>
      </c>
      <c r="AE133" s="1" t="n">
        <v>100</v>
      </c>
      <c r="AG133" s="1" t="n">
        <f aca="false">PERCENTILE(V133:AE133,0.9)</f>
        <v>100</v>
      </c>
      <c r="AH133" s="9"/>
      <c r="AI133" s="9"/>
      <c r="AM133" s="4" t="s">
        <v>19</v>
      </c>
      <c r="AN133" s="4" t="s">
        <v>15</v>
      </c>
      <c r="AO133" s="1" t="n">
        <v>140</v>
      </c>
      <c r="AP133" s="1" t="n">
        <v>170</v>
      </c>
      <c r="AQ133" s="1" t="n">
        <v>150</v>
      </c>
      <c r="AR133" s="1" t="n">
        <v>140</v>
      </c>
      <c r="AS133" s="1" t="n">
        <v>150</v>
      </c>
      <c r="AT133" s="1" t="n">
        <v>250</v>
      </c>
      <c r="AU133" s="1" t="n">
        <v>140</v>
      </c>
      <c r="AV133" s="1" t="n">
        <v>140</v>
      </c>
      <c r="AW133" s="1" t="n">
        <v>140</v>
      </c>
      <c r="AX133" s="1" t="n">
        <v>750</v>
      </c>
      <c r="AY133" s="8"/>
      <c r="AZ133" s="9" t="n">
        <f aca="false">PERCENTILE(AO133:AX133,0.9)</f>
        <v>300</v>
      </c>
      <c r="BA133" s="9"/>
      <c r="BB133" s="9"/>
    </row>
    <row r="134" customFormat="false" ht="13.8" hidden="false" customHeight="false" outlineLevel="0" collapsed="false">
      <c r="T134" s="21"/>
      <c r="U134" s="21" t="s">
        <v>16</v>
      </c>
      <c r="V134" s="1" t="n">
        <v>5.448</v>
      </c>
      <c r="W134" s="1" t="n">
        <v>5.452</v>
      </c>
      <c r="X134" s="1" t="n">
        <v>5.903</v>
      </c>
      <c r="Y134" s="1" t="n">
        <v>5.964</v>
      </c>
      <c r="Z134" s="1" t="n">
        <v>5.897</v>
      </c>
      <c r="AA134" s="1" t="n">
        <v>5.856</v>
      </c>
      <c r="AB134" s="1" t="n">
        <v>6.131</v>
      </c>
      <c r="AC134" s="1" t="n">
        <v>5.89</v>
      </c>
      <c r="AD134" s="1" t="n">
        <v>5.968</v>
      </c>
      <c r="AE134" s="1" t="n">
        <v>6.167</v>
      </c>
      <c r="AG134" s="1" t="n">
        <f aca="false">PERCENTILE(V134:AE134,0.9)</f>
        <v>6.1346</v>
      </c>
      <c r="AH134" s="9" t="n">
        <f aca="false">N10/AG134</f>
        <v>10.5090307436508</v>
      </c>
      <c r="AI134" s="9" t="n">
        <f aca="false">AH134/16</f>
        <v>0.656814421478173</v>
      </c>
      <c r="AM134" s="4"/>
      <c r="AN134" s="4" t="s">
        <v>16</v>
      </c>
      <c r="AO134" s="1" t="n">
        <v>9.689</v>
      </c>
      <c r="AP134" s="1" t="n">
        <v>11.119</v>
      </c>
      <c r="AQ134" s="1" t="n">
        <v>9.723</v>
      </c>
      <c r="AR134" s="1" t="n">
        <v>8.855</v>
      </c>
      <c r="AS134" s="1" t="n">
        <v>10.37</v>
      </c>
      <c r="AT134" s="1" t="n">
        <v>20.331</v>
      </c>
      <c r="AU134" s="1" t="n">
        <v>9.095</v>
      </c>
      <c r="AV134" s="1" t="n">
        <v>9.224</v>
      </c>
      <c r="AW134" s="1" t="n">
        <v>9.198</v>
      </c>
      <c r="AX134" s="1" t="n">
        <v>72.346</v>
      </c>
      <c r="AY134" s="8"/>
      <c r="AZ134" s="9" t="n">
        <f aca="false">PERCENTILE(AO134:AX134,0.9)</f>
        <v>25.5325</v>
      </c>
      <c r="BA134" s="9" t="n">
        <f aca="false">N10/AZ134</f>
        <v>2.52496621952414</v>
      </c>
      <c r="BB134" s="9" t="n">
        <f aca="false">BA134/16</f>
        <v>0.157810388720259</v>
      </c>
    </row>
    <row r="135" customFormat="false" ht="13.8" hidden="false" customHeight="false" outlineLevel="0" collapsed="false">
      <c r="T135" s="21" t="s">
        <v>20</v>
      </c>
      <c r="U135" s="21" t="s">
        <v>15</v>
      </c>
      <c r="V135" s="1" t="n">
        <v>66270</v>
      </c>
      <c r="W135" s="1" t="n">
        <v>71570</v>
      </c>
      <c r="X135" s="1" t="n">
        <v>74090</v>
      </c>
      <c r="Y135" s="1" t="n">
        <v>53700</v>
      </c>
      <c r="Z135" s="1" t="n">
        <v>83350</v>
      </c>
      <c r="AA135" s="1" t="n">
        <v>78650</v>
      </c>
      <c r="AB135" s="1" t="n">
        <v>82960</v>
      </c>
      <c r="AC135" s="1" t="n">
        <v>49090</v>
      </c>
      <c r="AD135" s="1" t="n">
        <v>3470</v>
      </c>
      <c r="AE135" s="1" t="n">
        <v>83420</v>
      </c>
      <c r="AG135" s="1" t="n">
        <f aca="false">PERCENTILE(V135:AE135,0.9)</f>
        <v>83357</v>
      </c>
      <c r="AH135" s="9"/>
      <c r="AI135" s="9"/>
      <c r="AM135" s="4" t="s">
        <v>20</v>
      </c>
      <c r="AN135" s="4" t="s">
        <v>15</v>
      </c>
      <c r="AO135" s="1" t="n">
        <v>12730</v>
      </c>
      <c r="AP135" s="1" t="n">
        <v>12300</v>
      </c>
      <c r="AQ135" s="1" t="n">
        <v>3820</v>
      </c>
      <c r="AR135" s="1" t="n">
        <v>5780</v>
      </c>
      <c r="AS135" s="1" t="n">
        <v>6810</v>
      </c>
      <c r="AT135" s="1" t="n">
        <v>12380</v>
      </c>
      <c r="AU135" s="1" t="n">
        <v>6240</v>
      </c>
      <c r="AV135" s="1" t="n">
        <v>5670</v>
      </c>
      <c r="AW135" s="1" t="n">
        <v>6850</v>
      </c>
      <c r="AX135" s="1" t="n">
        <v>4860</v>
      </c>
      <c r="AY135" s="8"/>
      <c r="AZ135" s="9" t="n">
        <f aca="false">PERCENTILE(AO135:AX135,0.9)</f>
        <v>12415</v>
      </c>
      <c r="BA135" s="9"/>
      <c r="BB135" s="9"/>
    </row>
    <row r="136" customFormat="false" ht="13.8" hidden="false" customHeight="false" outlineLevel="0" collapsed="false">
      <c r="T136" s="21"/>
      <c r="U136" s="21" t="s">
        <v>16</v>
      </c>
      <c r="V136" s="1" t="n">
        <v>4154.795</v>
      </c>
      <c r="W136" s="1" t="n">
        <v>4484.795</v>
      </c>
      <c r="X136" s="1" t="n">
        <v>4642.617</v>
      </c>
      <c r="Y136" s="1" t="n">
        <v>3364.946</v>
      </c>
      <c r="Z136" s="1" t="n">
        <v>5222.513</v>
      </c>
      <c r="AA136" s="1" t="n">
        <v>4928.111</v>
      </c>
      <c r="AB136" s="1" t="n">
        <v>5202.444</v>
      </c>
      <c r="AC136" s="1" t="n">
        <v>3076.351</v>
      </c>
      <c r="AD136" s="1" t="n">
        <v>217.375</v>
      </c>
      <c r="AE136" s="1" t="n">
        <v>5227.519</v>
      </c>
      <c r="AG136" s="1" t="n">
        <f aca="false">PERCENTILE(V136:AE136,0.9)</f>
        <v>5223.0136</v>
      </c>
      <c r="AH136" s="9" t="n">
        <f aca="false">N12/AG136</f>
        <v>0.353945201291454</v>
      </c>
      <c r="AI136" s="9" t="n">
        <f aca="false">AH136/16</f>
        <v>0.0221215750807159</v>
      </c>
      <c r="AM136" s="4"/>
      <c r="AN136" s="4" t="s">
        <v>16</v>
      </c>
      <c r="AO136" s="1" t="n">
        <v>948.974</v>
      </c>
      <c r="AP136" s="1" t="n">
        <v>779.923</v>
      </c>
      <c r="AQ136" s="1" t="n">
        <v>257.411</v>
      </c>
      <c r="AR136" s="1" t="n">
        <v>364.119</v>
      </c>
      <c r="AS136" s="1" t="n">
        <v>431.417</v>
      </c>
      <c r="AT136" s="1" t="n">
        <v>868.778</v>
      </c>
      <c r="AU136" s="1" t="n">
        <v>402.012</v>
      </c>
      <c r="AV136" s="1" t="n">
        <v>362.28</v>
      </c>
      <c r="AW136" s="1" t="n">
        <v>429.777</v>
      </c>
      <c r="AX136" s="1" t="n">
        <v>305.2</v>
      </c>
      <c r="AY136" s="8"/>
      <c r="AZ136" s="9" t="n">
        <f aca="false">PERCENTILE(AO136:AX136,0.9)</f>
        <v>876.7976</v>
      </c>
      <c r="BA136" s="9" t="n">
        <f aca="false">N12/AZ136</f>
        <v>2.1084234263415</v>
      </c>
      <c r="BB136" s="9" t="n">
        <f aca="false">BA136/16</f>
        <v>0.131776464146343</v>
      </c>
    </row>
    <row r="137" customFormat="false" ht="12.8" hidden="false" customHeight="false" outlineLevel="0" collapsed="false"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M137" s="3"/>
      <c r="AN137" s="3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3"/>
      <c r="AZ137" s="3"/>
      <c r="BA137" s="3"/>
      <c r="BB137" s="3"/>
    </row>
    <row r="138" customFormat="false" ht="12.8" hidden="false" customHeight="false" outlineLevel="0" collapsed="false"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M138" s="3"/>
      <c r="AN138" s="3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3"/>
      <c r="AZ138" s="3"/>
      <c r="BA138" s="3"/>
      <c r="BB138" s="3"/>
    </row>
    <row r="139" customFormat="false" ht="12.8" hidden="false" customHeight="false" outlineLevel="0" collapsed="false"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M139" s="3"/>
      <c r="AN139" s="3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3"/>
      <c r="AZ139" s="3"/>
      <c r="BA139" s="3"/>
      <c r="BB139" s="3"/>
    </row>
    <row r="140" customFormat="false" ht="12.8" hidden="false" customHeight="false" outlineLevel="0" collapsed="false">
      <c r="T140" s="20" t="s">
        <v>55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M140" s="17" t="s">
        <v>56</v>
      </c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</row>
    <row r="141" customFormat="false" ht="13.8" hidden="false" customHeight="false" outlineLevel="0" collapsed="false">
      <c r="T141" s="21" t="s">
        <v>1</v>
      </c>
      <c r="U141" s="21" t="s">
        <v>2</v>
      </c>
      <c r="V141" s="21" t="s">
        <v>3</v>
      </c>
      <c r="W141" s="21" t="s">
        <v>4</v>
      </c>
      <c r="X141" s="21" t="s">
        <v>5</v>
      </c>
      <c r="Y141" s="21" t="s">
        <v>6</v>
      </c>
      <c r="Z141" s="21" t="s">
        <v>7</v>
      </c>
      <c r="AA141" s="21" t="s">
        <v>8</v>
      </c>
      <c r="AB141" s="21" t="s">
        <v>9</v>
      </c>
      <c r="AC141" s="21" t="s">
        <v>10</v>
      </c>
      <c r="AD141" s="21" t="s">
        <v>11</v>
      </c>
      <c r="AE141" s="21" t="s">
        <v>12</v>
      </c>
      <c r="AG141" s="22" t="s">
        <v>13</v>
      </c>
      <c r="AH141" s="6" t="s">
        <v>26</v>
      </c>
      <c r="AI141" s="6" t="s">
        <v>27</v>
      </c>
      <c r="AM141" s="4" t="s">
        <v>1</v>
      </c>
      <c r="AN141" s="4" t="s">
        <v>2</v>
      </c>
      <c r="AO141" s="4" t="s">
        <v>3</v>
      </c>
      <c r="AP141" s="4" t="s">
        <v>4</v>
      </c>
      <c r="AQ141" s="4" t="s">
        <v>5</v>
      </c>
      <c r="AR141" s="4" t="s">
        <v>6</v>
      </c>
      <c r="AS141" s="4" t="s">
        <v>7</v>
      </c>
      <c r="AT141" s="4" t="s">
        <v>8</v>
      </c>
      <c r="AU141" s="4" t="s">
        <v>9</v>
      </c>
      <c r="AV141" s="4" t="s">
        <v>10</v>
      </c>
      <c r="AW141" s="4" t="s">
        <v>11</v>
      </c>
      <c r="AX141" s="4" t="s">
        <v>12</v>
      </c>
      <c r="AY141" s="5"/>
      <c r="AZ141" s="6" t="s">
        <v>13</v>
      </c>
      <c r="BA141" s="6" t="s">
        <v>26</v>
      </c>
      <c r="BB141" s="6" t="s">
        <v>27</v>
      </c>
    </row>
    <row r="142" customFormat="false" ht="13.8" hidden="false" customHeight="false" outlineLevel="0" collapsed="false">
      <c r="T142" s="21" t="s">
        <v>14</v>
      </c>
      <c r="U142" s="21" t="s">
        <v>15</v>
      </c>
      <c r="V142" s="1" t="n">
        <v>920</v>
      </c>
      <c r="W142" s="1" t="n">
        <v>740</v>
      </c>
      <c r="X142" s="1" t="n">
        <v>810</v>
      </c>
      <c r="Y142" s="1" t="n">
        <v>990</v>
      </c>
      <c r="Z142" s="1" t="n">
        <v>810</v>
      </c>
      <c r="AA142" s="1" t="n">
        <v>820</v>
      </c>
      <c r="AB142" s="1" t="n">
        <v>850</v>
      </c>
      <c r="AC142" s="1" t="n">
        <v>830</v>
      </c>
      <c r="AD142" s="1" t="n">
        <v>990</v>
      </c>
      <c r="AE142" s="1" t="n">
        <v>870</v>
      </c>
      <c r="AG142" s="1" t="n">
        <f aca="false">PERCENTILE(V142:AE142,0.9)</f>
        <v>990</v>
      </c>
      <c r="AH142" s="9"/>
      <c r="AI142" s="9"/>
      <c r="AM142" s="4" t="s">
        <v>14</v>
      </c>
      <c r="AN142" s="4" t="s">
        <v>15</v>
      </c>
      <c r="AO142" s="1" t="n">
        <v>2170</v>
      </c>
      <c r="AP142" s="1" t="n">
        <v>1810</v>
      </c>
      <c r="AQ142" s="1" t="n">
        <v>2070</v>
      </c>
      <c r="AR142" s="1" t="n">
        <v>2340</v>
      </c>
      <c r="AS142" s="1" t="n">
        <v>1800</v>
      </c>
      <c r="AT142" s="1" t="n">
        <v>1800</v>
      </c>
      <c r="AU142" s="1" t="n">
        <v>1800</v>
      </c>
      <c r="AV142" s="1" t="n">
        <v>1820</v>
      </c>
      <c r="AW142" s="1" t="n">
        <v>1800</v>
      </c>
      <c r="AX142" s="1" t="n">
        <v>1810</v>
      </c>
      <c r="AY142" s="8"/>
      <c r="AZ142" s="9" t="n">
        <f aca="false">PERCENTILE(AO142:AX142,0.9)</f>
        <v>2187</v>
      </c>
      <c r="BA142" s="9"/>
      <c r="BB142" s="9"/>
    </row>
    <row r="143" customFormat="false" ht="13.8" hidden="false" customHeight="false" outlineLevel="0" collapsed="false">
      <c r="T143" s="21"/>
      <c r="U143" s="21" t="s">
        <v>16</v>
      </c>
      <c r="V143" s="1" t="n">
        <v>29.519</v>
      </c>
      <c r="W143" s="1" t="n">
        <v>23.788</v>
      </c>
      <c r="X143" s="1" t="n">
        <v>25.815</v>
      </c>
      <c r="Y143" s="1" t="n">
        <v>31.495</v>
      </c>
      <c r="Z143" s="1" t="n">
        <v>25.853</v>
      </c>
      <c r="AA143" s="1" t="n">
        <v>26.304</v>
      </c>
      <c r="AB143" s="1" t="n">
        <v>27.158</v>
      </c>
      <c r="AC143" s="1" t="n">
        <v>26.462</v>
      </c>
      <c r="AD143" s="1" t="n">
        <v>31.69</v>
      </c>
      <c r="AE143" s="1" t="n">
        <v>27.515</v>
      </c>
      <c r="AG143" s="1" t="n">
        <f aca="false">PERCENTILE(V143:AE143,0.9)</f>
        <v>31.5145</v>
      </c>
      <c r="AH143" s="9" t="n">
        <f aca="false">N4/AG143</f>
        <v>10.6359358390582</v>
      </c>
      <c r="AI143" s="9" t="n">
        <f aca="false">AH143/32</f>
        <v>0.332372994970569</v>
      </c>
      <c r="AM143" s="4"/>
      <c r="AN143" s="4" t="s">
        <v>16</v>
      </c>
      <c r="AO143" s="1" t="n">
        <v>68.728</v>
      </c>
      <c r="AP143" s="1" t="n">
        <v>57.251</v>
      </c>
      <c r="AQ143" s="1" t="n">
        <v>66.084</v>
      </c>
      <c r="AR143" s="1" t="n">
        <v>78.853</v>
      </c>
      <c r="AS143" s="1" t="n">
        <v>57.347</v>
      </c>
      <c r="AT143" s="1" t="n">
        <v>57.372</v>
      </c>
      <c r="AU143" s="1" t="n">
        <v>57.296</v>
      </c>
      <c r="AV143" s="1" t="n">
        <v>57.782</v>
      </c>
      <c r="AW143" s="1" t="n">
        <v>57.149</v>
      </c>
      <c r="AX143" s="1" t="n">
        <v>57.313</v>
      </c>
      <c r="AY143" s="8"/>
      <c r="AZ143" s="9" t="n">
        <f aca="false">PERCENTILE(AO143:AX143,0.9)</f>
        <v>69.7405</v>
      </c>
      <c r="BA143" s="9" t="n">
        <f aca="false">N4/AZ143</f>
        <v>4.80619152429363</v>
      </c>
      <c r="BB143" s="9" t="n">
        <f aca="false">BA143/32</f>
        <v>0.150193485134176</v>
      </c>
    </row>
    <row r="144" customFormat="false" ht="13.8" hidden="false" customHeight="false" outlineLevel="0" collapsed="false">
      <c r="T144" s="21" t="s">
        <v>17</v>
      </c>
      <c r="U144" s="21" t="s">
        <v>15</v>
      </c>
      <c r="V144" s="1" t="n">
        <v>300</v>
      </c>
      <c r="W144" s="1" t="n">
        <v>310</v>
      </c>
      <c r="X144" s="1" t="n">
        <v>290</v>
      </c>
      <c r="Y144" s="1" t="n">
        <v>270</v>
      </c>
      <c r="Z144" s="1" t="n">
        <v>320</v>
      </c>
      <c r="AA144" s="1" t="n">
        <v>310</v>
      </c>
      <c r="AB144" s="1" t="n">
        <v>300</v>
      </c>
      <c r="AC144" s="1" t="n">
        <v>310</v>
      </c>
      <c r="AD144" s="1" t="n">
        <v>350</v>
      </c>
      <c r="AE144" s="1" t="n">
        <v>300</v>
      </c>
      <c r="AG144" s="1" t="n">
        <f aca="false">PERCENTILE(V144:AE144,0.9)</f>
        <v>323</v>
      </c>
      <c r="AH144" s="9"/>
      <c r="AI144" s="9"/>
      <c r="AM144" s="4" t="s">
        <v>17</v>
      </c>
      <c r="AN144" s="4" t="s">
        <v>15</v>
      </c>
      <c r="AO144" s="1" t="n">
        <v>630</v>
      </c>
      <c r="AP144" s="1" t="n">
        <v>630</v>
      </c>
      <c r="AQ144" s="1" t="n">
        <v>630</v>
      </c>
      <c r="AR144" s="1" t="n">
        <v>640</v>
      </c>
      <c r="AS144" s="1" t="n">
        <v>620</v>
      </c>
      <c r="AT144" s="1" t="n">
        <v>660</v>
      </c>
      <c r="AU144" s="1" t="n">
        <v>630</v>
      </c>
      <c r="AV144" s="1" t="n">
        <v>620</v>
      </c>
      <c r="AW144" s="1" t="n">
        <v>650</v>
      </c>
      <c r="AX144" s="1" t="n">
        <v>630</v>
      </c>
      <c r="AY144" s="8"/>
      <c r="AZ144" s="9" t="n">
        <f aca="false">PERCENTILE(AO144:AX144,0.9)</f>
        <v>651</v>
      </c>
      <c r="BA144" s="9"/>
      <c r="BB144" s="9"/>
    </row>
    <row r="145" customFormat="false" ht="13.8" hidden="false" customHeight="false" outlineLevel="0" collapsed="false">
      <c r="T145" s="21"/>
      <c r="U145" s="21" t="s">
        <v>16</v>
      </c>
      <c r="V145" s="1" t="n">
        <v>10.171</v>
      </c>
      <c r="W145" s="1" t="n">
        <v>10.394</v>
      </c>
      <c r="X145" s="1" t="n">
        <v>9.984</v>
      </c>
      <c r="Y145" s="1" t="n">
        <v>9.447</v>
      </c>
      <c r="Z145" s="1" t="n">
        <v>10.409</v>
      </c>
      <c r="AA145" s="1" t="n">
        <v>10.505</v>
      </c>
      <c r="AB145" s="1" t="n">
        <v>9.995</v>
      </c>
      <c r="AC145" s="1" t="n">
        <v>10.626</v>
      </c>
      <c r="AD145" s="1" t="n">
        <v>11.036</v>
      </c>
      <c r="AE145" s="1" t="n">
        <v>9.898</v>
      </c>
      <c r="AG145" s="1" t="n">
        <f aca="false">PERCENTILE(V145:AE145,0.9)</f>
        <v>10.667</v>
      </c>
      <c r="AH145" s="9" t="n">
        <f aca="false">N6/AG145</f>
        <v>9.76584794225181</v>
      </c>
      <c r="AI145" s="9" t="n">
        <f aca="false">AH145/32</f>
        <v>0.305182748195369</v>
      </c>
      <c r="AM145" s="4"/>
      <c r="AN145" s="4" t="s">
        <v>16</v>
      </c>
      <c r="AO145" s="1" t="n">
        <v>20.201</v>
      </c>
      <c r="AP145" s="1" t="n">
        <v>20.579</v>
      </c>
      <c r="AQ145" s="1" t="n">
        <v>20.441</v>
      </c>
      <c r="AR145" s="1" t="n">
        <v>21.078</v>
      </c>
      <c r="AS145" s="1" t="n">
        <v>20.383</v>
      </c>
      <c r="AT145" s="1" t="n">
        <v>21.239</v>
      </c>
      <c r="AU145" s="1" t="n">
        <v>20.328</v>
      </c>
      <c r="AV145" s="1" t="n">
        <v>20.36</v>
      </c>
      <c r="AW145" s="1" t="n">
        <v>21.164</v>
      </c>
      <c r="AX145" s="1" t="n">
        <v>20.461</v>
      </c>
      <c r="AY145" s="8"/>
      <c r="AZ145" s="9" t="n">
        <f aca="false">PERCENTILE(AO145:AX145,0.9)</f>
        <v>21.1715</v>
      </c>
      <c r="BA145" s="9" t="n">
        <f aca="false">N6/AZ145</f>
        <v>4.92040242779208</v>
      </c>
      <c r="BB145" s="9" t="n">
        <f aca="false">BA145/32</f>
        <v>0.153762575868502</v>
      </c>
    </row>
    <row r="146" customFormat="false" ht="13.8" hidden="false" customHeight="false" outlineLevel="0" collapsed="false">
      <c r="T146" s="21" t="s">
        <v>18</v>
      </c>
      <c r="U146" s="21" t="s">
        <v>15</v>
      </c>
      <c r="V146" s="1" t="n">
        <v>110</v>
      </c>
      <c r="W146" s="1" t="n">
        <v>110</v>
      </c>
      <c r="X146" s="1" t="n">
        <v>100</v>
      </c>
      <c r="Y146" s="1" t="n">
        <v>110</v>
      </c>
      <c r="Z146" s="1" t="n">
        <v>100</v>
      </c>
      <c r="AA146" s="1" t="n">
        <v>100</v>
      </c>
      <c r="AB146" s="1" t="n">
        <v>90</v>
      </c>
      <c r="AC146" s="1" t="n">
        <v>120</v>
      </c>
      <c r="AD146" s="1" t="n">
        <v>110</v>
      </c>
      <c r="AE146" s="1" t="n">
        <v>110</v>
      </c>
      <c r="AG146" s="1" t="n">
        <f aca="false">PERCENTILE(V146:AE146,0.9)</f>
        <v>111</v>
      </c>
      <c r="AH146" s="9"/>
      <c r="AI146" s="9"/>
      <c r="AM146" s="4" t="s">
        <v>18</v>
      </c>
      <c r="AN146" s="4" t="s">
        <v>15</v>
      </c>
      <c r="AO146" s="1" t="n">
        <v>190</v>
      </c>
      <c r="AP146" s="1" t="n">
        <v>190</v>
      </c>
      <c r="AQ146" s="1" t="n">
        <v>190</v>
      </c>
      <c r="AR146" s="1" t="n">
        <v>200</v>
      </c>
      <c r="AS146" s="1" t="n">
        <v>190</v>
      </c>
      <c r="AT146" s="1" t="n">
        <v>190</v>
      </c>
      <c r="AU146" s="1" t="n">
        <v>190</v>
      </c>
      <c r="AV146" s="1" t="n">
        <v>190</v>
      </c>
      <c r="AW146" s="1" t="n">
        <v>200</v>
      </c>
      <c r="AX146" s="1" t="n">
        <v>190</v>
      </c>
      <c r="AY146" s="8"/>
      <c r="AZ146" s="9" t="n">
        <f aca="false">PERCENTILE(AO146:AX146,0.9)</f>
        <v>200</v>
      </c>
      <c r="BA146" s="9"/>
      <c r="BB146" s="9"/>
    </row>
    <row r="147" customFormat="false" ht="13.8" hidden="false" customHeight="false" outlineLevel="0" collapsed="false">
      <c r="T147" s="21"/>
      <c r="U147" s="21" t="s">
        <v>16</v>
      </c>
      <c r="V147" s="1" t="n">
        <v>3.972</v>
      </c>
      <c r="W147" s="1" t="n">
        <v>3.738</v>
      </c>
      <c r="X147" s="1" t="n">
        <v>3.608</v>
      </c>
      <c r="Y147" s="1" t="n">
        <v>4.195</v>
      </c>
      <c r="Z147" s="1" t="n">
        <v>3.736</v>
      </c>
      <c r="AA147" s="1" t="n">
        <v>3.789</v>
      </c>
      <c r="AB147" s="1" t="n">
        <v>3.581</v>
      </c>
      <c r="AC147" s="1" t="n">
        <v>4.237</v>
      </c>
      <c r="AD147" s="1" t="n">
        <v>3.805</v>
      </c>
      <c r="AE147" s="1" t="n">
        <v>3.898</v>
      </c>
      <c r="AG147" s="1" t="n">
        <f aca="false">PERCENTILE(V147:AE147,0.9)</f>
        <v>4.1992</v>
      </c>
      <c r="AH147" s="9" t="n">
        <f aca="false">N8/AG147</f>
        <v>7.60390074299867</v>
      </c>
      <c r="AI147" s="9" t="n">
        <f aca="false">AH147/32</f>
        <v>0.237621898218708</v>
      </c>
      <c r="AM147" s="4"/>
      <c r="AN147" s="4" t="s">
        <v>16</v>
      </c>
      <c r="AO147" s="1" t="n">
        <v>6.807</v>
      </c>
      <c r="AP147" s="1" t="n">
        <v>6.752</v>
      </c>
      <c r="AQ147" s="1" t="n">
        <v>6.758</v>
      </c>
      <c r="AR147" s="1" t="n">
        <v>7.211</v>
      </c>
      <c r="AS147" s="1" t="n">
        <v>6.696</v>
      </c>
      <c r="AT147" s="1" t="n">
        <v>6.709</v>
      </c>
      <c r="AU147" s="1" t="n">
        <v>6.75</v>
      </c>
      <c r="AV147" s="1" t="n">
        <v>6.785</v>
      </c>
      <c r="AW147" s="1" t="n">
        <v>6.848</v>
      </c>
      <c r="AX147" s="1" t="n">
        <v>6.985</v>
      </c>
      <c r="AY147" s="8"/>
      <c r="AZ147" s="9" t="n">
        <f aca="false">PERCENTILE(AO147:AX147,0.9)</f>
        <v>7.0076</v>
      </c>
      <c r="BA147" s="9" t="n">
        <f aca="false">N8/AZ147</f>
        <v>4.55652434499686</v>
      </c>
      <c r="BB147" s="9" t="n">
        <f aca="false">BA147/32</f>
        <v>0.142391385781152</v>
      </c>
    </row>
    <row r="148" customFormat="false" ht="13.8" hidden="false" customHeight="false" outlineLevel="0" collapsed="false">
      <c r="T148" s="21" t="s">
        <v>19</v>
      </c>
      <c r="U148" s="21" t="s">
        <v>15</v>
      </c>
      <c r="V148" s="1" t="n">
        <v>190</v>
      </c>
      <c r="W148" s="1" t="n">
        <v>180</v>
      </c>
      <c r="X148" s="1" t="n">
        <v>170</v>
      </c>
      <c r="Y148" s="1" t="n">
        <v>170</v>
      </c>
      <c r="Z148" s="1" t="n">
        <v>180</v>
      </c>
      <c r="AA148" s="1" t="n">
        <v>180</v>
      </c>
      <c r="AB148" s="1" t="n">
        <v>160</v>
      </c>
      <c r="AC148" s="1" t="n">
        <v>180</v>
      </c>
      <c r="AD148" s="1" t="n">
        <v>180</v>
      </c>
      <c r="AE148" s="1" t="n">
        <v>180</v>
      </c>
      <c r="AG148" s="1" t="n">
        <f aca="false">PERCENTILE(V148:AE148,0.9)</f>
        <v>181</v>
      </c>
      <c r="AH148" s="9"/>
      <c r="AI148" s="9"/>
      <c r="AM148" s="4" t="s">
        <v>19</v>
      </c>
      <c r="AN148" s="4" t="s">
        <v>15</v>
      </c>
      <c r="AO148" s="1" t="n">
        <v>370</v>
      </c>
      <c r="AP148" s="1" t="n">
        <v>420</v>
      </c>
      <c r="AQ148" s="1" t="n">
        <v>360</v>
      </c>
      <c r="AR148" s="1" t="n">
        <v>430</v>
      </c>
      <c r="AS148" s="1" t="n">
        <v>420</v>
      </c>
      <c r="AT148" s="1" t="n">
        <v>380</v>
      </c>
      <c r="AU148" s="1" t="n">
        <v>370</v>
      </c>
      <c r="AV148" s="1" t="n">
        <v>410</v>
      </c>
      <c r="AW148" s="1" t="n">
        <v>380</v>
      </c>
      <c r="AX148" s="1" t="n">
        <v>370</v>
      </c>
      <c r="AY148" s="8"/>
      <c r="AZ148" s="9" t="n">
        <f aca="false">PERCENTILE(AO148:AX148,0.9)</f>
        <v>421</v>
      </c>
      <c r="BA148" s="9"/>
      <c r="BB148" s="9"/>
    </row>
    <row r="149" customFormat="false" ht="13.8" hidden="false" customHeight="false" outlineLevel="0" collapsed="false">
      <c r="T149" s="21"/>
      <c r="U149" s="21" t="s">
        <v>16</v>
      </c>
      <c r="V149" s="1" t="n">
        <v>6.504</v>
      </c>
      <c r="W149" s="1" t="n">
        <v>6.341</v>
      </c>
      <c r="X149" s="1" t="n">
        <v>6.28</v>
      </c>
      <c r="Y149" s="1" t="n">
        <v>6.136</v>
      </c>
      <c r="Z149" s="1" t="n">
        <v>6.216</v>
      </c>
      <c r="AA149" s="1" t="n">
        <v>6.026</v>
      </c>
      <c r="AB149" s="1" t="n">
        <v>5.904</v>
      </c>
      <c r="AC149" s="1" t="n">
        <v>6.251</v>
      </c>
      <c r="AD149" s="1" t="n">
        <v>6.107</v>
      </c>
      <c r="AE149" s="1" t="n">
        <v>6.166</v>
      </c>
      <c r="AG149" s="1" t="n">
        <f aca="false">PERCENTILE(V149:AE149,0.9)</f>
        <v>6.3573</v>
      </c>
      <c r="AH149" s="9" t="n">
        <f aca="false">N10/AG149</f>
        <v>10.1408931464615</v>
      </c>
      <c r="AI149" s="9" t="n">
        <f aca="false">AH149/32</f>
        <v>0.316902910826923</v>
      </c>
      <c r="AM149" s="4"/>
      <c r="AN149" s="4" t="s">
        <v>16</v>
      </c>
      <c r="AO149" s="1" t="n">
        <v>11.783</v>
      </c>
      <c r="AP149" s="1" t="n">
        <v>13.791</v>
      </c>
      <c r="AQ149" s="1" t="n">
        <v>11.862</v>
      </c>
      <c r="AR149" s="1" t="n">
        <v>14.099</v>
      </c>
      <c r="AS149" s="1" t="n">
        <v>13.856</v>
      </c>
      <c r="AT149" s="1" t="n">
        <v>12.477</v>
      </c>
      <c r="AU149" s="1" t="n">
        <v>12.049</v>
      </c>
      <c r="AV149" s="1" t="n">
        <v>13.878</v>
      </c>
      <c r="AW149" s="1" t="n">
        <v>12.704</v>
      </c>
      <c r="AX149" s="1" t="n">
        <v>12.06</v>
      </c>
      <c r="AY149" s="8"/>
      <c r="AZ149" s="9" t="n">
        <f aca="false">PERCENTILE(AO149:AX149,0.9)</f>
        <v>13.9001</v>
      </c>
      <c r="BA149" s="9" t="n">
        <f aca="false">N10/AZ149</f>
        <v>4.63800260429781</v>
      </c>
      <c r="BB149" s="9" t="n">
        <f aca="false">BA149/32</f>
        <v>0.144937581384307</v>
      </c>
    </row>
    <row r="150" customFormat="false" ht="13.8" hidden="false" customHeight="false" outlineLevel="0" collapsed="false">
      <c r="T150" s="21" t="s">
        <v>20</v>
      </c>
      <c r="U150" s="21" t="s">
        <v>15</v>
      </c>
      <c r="V150" s="1" t="n">
        <v>6720</v>
      </c>
      <c r="W150" s="1" t="n">
        <v>6590</v>
      </c>
      <c r="X150" s="1" t="n">
        <v>6410</v>
      </c>
      <c r="Y150" s="1" t="n">
        <v>6640</v>
      </c>
      <c r="Z150" s="1" t="n">
        <v>6690</v>
      </c>
      <c r="AA150" s="1" t="n">
        <v>7480</v>
      </c>
      <c r="AB150" s="1" t="n">
        <v>6540</v>
      </c>
      <c r="AC150" s="1" t="n">
        <v>6470</v>
      </c>
      <c r="AD150" s="1" t="n">
        <v>6980</v>
      </c>
      <c r="AE150" s="1" t="n">
        <v>6300</v>
      </c>
      <c r="AG150" s="1" t="n">
        <f aca="false">PERCENTILE(V150:AE150,0.9)</f>
        <v>7030</v>
      </c>
      <c r="AH150" s="9"/>
      <c r="AI150" s="9"/>
      <c r="AM150" s="4" t="s">
        <v>20</v>
      </c>
      <c r="AN150" s="4" t="s">
        <v>15</v>
      </c>
      <c r="AO150" s="1" t="n">
        <v>13430</v>
      </c>
      <c r="AP150" s="1" t="n">
        <v>13680</v>
      </c>
      <c r="AQ150" s="1" t="n">
        <v>13540</v>
      </c>
      <c r="AR150" s="1" t="n">
        <v>13370</v>
      </c>
      <c r="AS150" s="1" t="n">
        <v>13500</v>
      </c>
      <c r="AT150" s="1" t="n">
        <v>13550</v>
      </c>
      <c r="AU150" s="1" t="n">
        <v>13620</v>
      </c>
      <c r="AV150" s="1" t="n">
        <v>13630</v>
      </c>
      <c r="AW150" s="1" t="n">
        <v>13400</v>
      </c>
      <c r="AX150" s="1" t="n">
        <v>13390</v>
      </c>
      <c r="AY150" s="8"/>
      <c r="AZ150" s="9" t="n">
        <f aca="false">PERCENTILE(AO150:AX150,0.9)</f>
        <v>13635</v>
      </c>
      <c r="BA150" s="9"/>
      <c r="BB150" s="9"/>
    </row>
    <row r="151" customFormat="false" ht="13.8" hidden="false" customHeight="false" outlineLevel="0" collapsed="false">
      <c r="T151" s="21"/>
      <c r="U151" s="21" t="s">
        <v>16</v>
      </c>
      <c r="V151" s="1" t="n">
        <v>210.948</v>
      </c>
      <c r="W151" s="1" t="n">
        <v>206.983</v>
      </c>
      <c r="X151" s="1" t="n">
        <v>201.477</v>
      </c>
      <c r="Y151" s="1" t="n">
        <v>208.569</v>
      </c>
      <c r="Z151" s="1" t="n">
        <v>210.205</v>
      </c>
      <c r="AA151" s="1" t="n">
        <v>235.104</v>
      </c>
      <c r="AB151" s="1" t="n">
        <v>205.598</v>
      </c>
      <c r="AC151" s="1" t="n">
        <v>203.268</v>
      </c>
      <c r="AD151" s="1" t="n">
        <v>218.964</v>
      </c>
      <c r="AE151" s="1" t="n">
        <v>198.241</v>
      </c>
      <c r="AG151" s="1" t="n">
        <f aca="false">PERCENTILE(V151:AE151,0.9)</f>
        <v>220.578</v>
      </c>
      <c r="AH151" s="9" t="n">
        <f aca="false">N12/AG151</f>
        <v>8.38098359763893</v>
      </c>
      <c r="AI151" s="9" t="n">
        <f aca="false">AH151/32</f>
        <v>0.261905737426217</v>
      </c>
      <c r="AM151" s="4"/>
      <c r="AN151" s="4" t="s">
        <v>16</v>
      </c>
      <c r="AO151" s="1" t="n">
        <v>421.37</v>
      </c>
      <c r="AP151" s="1" t="n">
        <v>429.727</v>
      </c>
      <c r="AQ151" s="1" t="n">
        <v>424.911</v>
      </c>
      <c r="AR151" s="1" t="n">
        <v>419.584</v>
      </c>
      <c r="AS151" s="1" t="n">
        <v>429.75</v>
      </c>
      <c r="AT151" s="1" t="n">
        <v>425.092</v>
      </c>
      <c r="AU151" s="1" t="n">
        <v>430.51</v>
      </c>
      <c r="AV151" s="1" t="n">
        <v>447.77</v>
      </c>
      <c r="AW151" s="1" t="n">
        <v>420.483</v>
      </c>
      <c r="AX151" s="1" t="n">
        <v>420.181</v>
      </c>
      <c r="AY151" s="8"/>
      <c r="AZ151" s="9" t="n">
        <f aca="false">PERCENTILE(AO151:AX151,0.9)</f>
        <v>432.236</v>
      </c>
      <c r="BA151" s="9" t="n">
        <f aca="false">N12/AZ151</f>
        <v>4.27697045132752</v>
      </c>
      <c r="BB151" s="9" t="n">
        <f aca="false">BA151/32</f>
        <v>0.133655326603985</v>
      </c>
    </row>
    <row r="152" customFormat="false" ht="12.8" hidden="false" customHeight="false" outlineLevel="0" collapsed="false"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M152" s="3"/>
      <c r="AN152" s="3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3"/>
      <c r="AZ152" s="3"/>
      <c r="BA152" s="3"/>
      <c r="BB152" s="3"/>
    </row>
    <row r="153" customFormat="false" ht="12.8" hidden="false" customHeight="false" outlineLevel="0" collapsed="false"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M153" s="3"/>
      <c r="AN153" s="3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3"/>
      <c r="AZ153" s="3"/>
      <c r="BA153" s="3"/>
      <c r="BB153" s="3"/>
    </row>
    <row r="154" customFormat="false" ht="12.8" hidden="false" customHeight="false" outlineLevel="0" collapsed="false"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M154" s="3"/>
      <c r="AN154" s="3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3"/>
      <c r="AZ154" s="3"/>
      <c r="BA154" s="3"/>
      <c r="BB154" s="3"/>
    </row>
    <row r="155" customFormat="false" ht="12.8" hidden="false" customHeight="false" outlineLevel="0" collapsed="false">
      <c r="T155" s="20" t="s">
        <v>57</v>
      </c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M155" s="17" t="s">
        <v>58</v>
      </c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</row>
    <row r="156" customFormat="false" ht="13.8" hidden="false" customHeight="false" outlineLevel="0" collapsed="false">
      <c r="T156" s="21" t="s">
        <v>1</v>
      </c>
      <c r="U156" s="21" t="s">
        <v>2</v>
      </c>
      <c r="V156" s="21" t="s">
        <v>3</v>
      </c>
      <c r="W156" s="21" t="s">
        <v>4</v>
      </c>
      <c r="X156" s="21" t="s">
        <v>5</v>
      </c>
      <c r="Y156" s="21" t="s">
        <v>6</v>
      </c>
      <c r="Z156" s="21" t="s">
        <v>7</v>
      </c>
      <c r="AA156" s="21" t="s">
        <v>8</v>
      </c>
      <c r="AB156" s="21" t="s">
        <v>9</v>
      </c>
      <c r="AC156" s="21" t="s">
        <v>10</v>
      </c>
      <c r="AD156" s="21" t="s">
        <v>11</v>
      </c>
      <c r="AE156" s="21" t="s">
        <v>12</v>
      </c>
      <c r="AG156" s="22" t="s">
        <v>13</v>
      </c>
      <c r="AH156" s="6" t="s">
        <v>26</v>
      </c>
      <c r="AI156" s="6" t="s">
        <v>27</v>
      </c>
      <c r="AM156" s="4" t="s">
        <v>1</v>
      </c>
      <c r="AN156" s="4" t="s">
        <v>2</v>
      </c>
      <c r="AO156" s="4" t="s">
        <v>3</v>
      </c>
      <c r="AP156" s="4" t="s">
        <v>4</v>
      </c>
      <c r="AQ156" s="4" t="s">
        <v>5</v>
      </c>
      <c r="AR156" s="4" t="s">
        <v>6</v>
      </c>
      <c r="AS156" s="4" t="s">
        <v>7</v>
      </c>
      <c r="AT156" s="4" t="s">
        <v>8</v>
      </c>
      <c r="AU156" s="4" t="s">
        <v>9</v>
      </c>
      <c r="AV156" s="4" t="s">
        <v>10</v>
      </c>
      <c r="AW156" s="4" t="s">
        <v>11</v>
      </c>
      <c r="AX156" s="4" t="s">
        <v>12</v>
      </c>
      <c r="AY156" s="5"/>
      <c r="AZ156" s="6" t="s">
        <v>13</v>
      </c>
      <c r="BA156" s="6" t="s">
        <v>26</v>
      </c>
      <c r="BB156" s="6" t="s">
        <v>27</v>
      </c>
    </row>
    <row r="157" customFormat="false" ht="13.8" hidden="false" customHeight="false" outlineLevel="0" collapsed="false">
      <c r="T157" s="21" t="s">
        <v>14</v>
      </c>
      <c r="U157" s="21" t="s">
        <v>15</v>
      </c>
      <c r="V157" s="1" t="n">
        <v>4950</v>
      </c>
      <c r="W157" s="1" t="n">
        <v>14800</v>
      </c>
      <c r="X157" s="1" t="n">
        <v>5010</v>
      </c>
      <c r="Y157" s="1" t="n">
        <v>4850</v>
      </c>
      <c r="Z157" s="1" t="n">
        <v>10070</v>
      </c>
      <c r="AA157" s="1" t="n">
        <v>7360</v>
      </c>
      <c r="AB157" s="1" t="n">
        <v>5130</v>
      </c>
      <c r="AC157" s="1" t="n">
        <v>4790</v>
      </c>
      <c r="AD157" s="1" t="n">
        <v>6770</v>
      </c>
      <c r="AE157" s="1" t="n">
        <v>15770</v>
      </c>
      <c r="AG157" s="1" t="n">
        <f aca="false">PERCENTILE(V157:AE157,0.9)</f>
        <v>14897</v>
      </c>
      <c r="AH157" s="9"/>
      <c r="AI157" s="9"/>
      <c r="AM157" s="4" t="s">
        <v>14</v>
      </c>
      <c r="AN157" s="4" t="s">
        <v>15</v>
      </c>
      <c r="AO157" s="1" t="n">
        <v>1920</v>
      </c>
      <c r="AP157" s="1" t="n">
        <v>2450</v>
      </c>
      <c r="AQ157" s="1" t="n">
        <v>2990</v>
      </c>
      <c r="AR157" s="1" t="n">
        <v>2680</v>
      </c>
      <c r="AS157" s="1" t="n">
        <v>2290</v>
      </c>
      <c r="AT157" s="1" t="n">
        <v>2270</v>
      </c>
      <c r="AU157" s="1" t="n">
        <v>2630</v>
      </c>
      <c r="AV157" s="1" t="n">
        <v>3180</v>
      </c>
      <c r="AW157" s="1" t="n">
        <v>2330</v>
      </c>
      <c r="AX157" s="1" t="n">
        <v>2290</v>
      </c>
      <c r="AY157" s="8"/>
      <c r="AZ157" s="9" t="n">
        <f aca="false">PERCENTILE(AO157:AX157,0.9)</f>
        <v>3009</v>
      </c>
      <c r="BA157" s="9"/>
      <c r="BB157" s="9"/>
    </row>
    <row r="158" customFormat="false" ht="13.8" hidden="false" customHeight="false" outlineLevel="0" collapsed="false">
      <c r="T158" s="21"/>
      <c r="U158" s="21" t="s">
        <v>16</v>
      </c>
      <c r="V158" s="1" t="n">
        <v>168.523</v>
      </c>
      <c r="W158" s="1" t="n">
        <v>318.139</v>
      </c>
      <c r="X158" s="1" t="n">
        <v>115.416</v>
      </c>
      <c r="Y158" s="1" t="n">
        <v>109.948</v>
      </c>
      <c r="Z158" s="1" t="n">
        <v>272.793</v>
      </c>
      <c r="AA158" s="1" t="n">
        <v>208.567</v>
      </c>
      <c r="AB158" s="1" t="n">
        <v>166.634</v>
      </c>
      <c r="AC158" s="1" t="n">
        <v>123.733</v>
      </c>
      <c r="AD158" s="1" t="n">
        <v>188.441</v>
      </c>
      <c r="AE158" s="1" t="n">
        <v>362.703</v>
      </c>
      <c r="AG158" s="1" t="n">
        <f aca="false">PERCENTILE(V158:AE158,0.9)</f>
        <v>322.5954</v>
      </c>
      <c r="AH158" s="9" t="n">
        <f aca="false">N4/AG158</f>
        <v>1.03902969478176</v>
      </c>
      <c r="AI158" s="9" t="n">
        <f aca="false">AH158/64</f>
        <v>0.016234838980965</v>
      </c>
      <c r="AM158" s="4"/>
      <c r="AN158" s="4" t="s">
        <v>16</v>
      </c>
      <c r="AO158" s="1" t="n">
        <v>31.228</v>
      </c>
      <c r="AP158" s="1" t="n">
        <v>39.517</v>
      </c>
      <c r="AQ158" s="1" t="n">
        <v>49.049</v>
      </c>
      <c r="AR158" s="1" t="n">
        <v>43.376</v>
      </c>
      <c r="AS158" s="1" t="n">
        <v>36.869</v>
      </c>
      <c r="AT158" s="1" t="n">
        <v>36.86</v>
      </c>
      <c r="AU158" s="1" t="n">
        <v>42.489</v>
      </c>
      <c r="AV158" s="1" t="n">
        <v>53.133</v>
      </c>
      <c r="AW158" s="1" t="n">
        <v>37.499</v>
      </c>
      <c r="AX158" s="1" t="n">
        <v>37.031</v>
      </c>
      <c r="AY158" s="8"/>
      <c r="AZ158" s="9" t="n">
        <f aca="false">PERCENTILE(AO158:AX158,0.9)</f>
        <v>49.4574</v>
      </c>
      <c r="BA158" s="9" t="n">
        <f aca="false">N4/AZ158</f>
        <v>6.77727094428741</v>
      </c>
      <c r="BB158" s="9" t="n">
        <f aca="false">BA158/64</f>
        <v>0.105894858504491</v>
      </c>
    </row>
    <row r="159" customFormat="false" ht="13.8" hidden="false" customHeight="false" outlineLevel="0" collapsed="false">
      <c r="T159" s="21" t="s">
        <v>17</v>
      </c>
      <c r="U159" s="21" t="s">
        <v>15</v>
      </c>
      <c r="V159" s="1" t="n">
        <v>3400</v>
      </c>
      <c r="W159" s="1" t="n">
        <v>3940</v>
      </c>
      <c r="X159" s="1" t="n">
        <v>4190</v>
      </c>
      <c r="Y159" s="1" t="n">
        <v>2800</v>
      </c>
      <c r="Z159" s="1" t="n">
        <v>2410</v>
      </c>
      <c r="AA159" s="1" t="n">
        <v>3640</v>
      </c>
      <c r="AB159" s="1" t="n">
        <v>2820</v>
      </c>
      <c r="AC159" s="1" t="n">
        <v>2270</v>
      </c>
      <c r="AD159" s="1" t="n">
        <v>2510</v>
      </c>
      <c r="AE159" s="1" t="n">
        <v>5120</v>
      </c>
      <c r="AG159" s="1" t="n">
        <f aca="false">PERCENTILE(V159:AE159,0.9)</f>
        <v>4283</v>
      </c>
      <c r="AH159" s="9"/>
      <c r="AI159" s="9"/>
      <c r="AM159" s="4" t="s">
        <v>17</v>
      </c>
      <c r="AN159" s="4" t="s">
        <v>15</v>
      </c>
      <c r="AO159" s="1" t="n">
        <v>690</v>
      </c>
      <c r="AP159" s="1" t="n">
        <v>1490</v>
      </c>
      <c r="AQ159" s="1" t="n">
        <v>700</v>
      </c>
      <c r="AR159" s="1" t="n">
        <v>1490</v>
      </c>
      <c r="AS159" s="1" t="n">
        <v>700</v>
      </c>
      <c r="AT159" s="1" t="n">
        <v>1610</v>
      </c>
      <c r="AU159" s="1" t="n">
        <v>700</v>
      </c>
      <c r="AV159" s="1" t="n">
        <v>690</v>
      </c>
      <c r="AW159" s="1" t="n">
        <v>1660</v>
      </c>
      <c r="AX159" s="1" t="n">
        <v>820</v>
      </c>
      <c r="AY159" s="8"/>
      <c r="AZ159" s="9" t="n">
        <f aca="false">PERCENTILE(AO159:AX159,0.9)</f>
        <v>1615</v>
      </c>
      <c r="BA159" s="9"/>
      <c r="BB159" s="9"/>
    </row>
    <row r="160" customFormat="false" ht="13.8" hidden="false" customHeight="false" outlineLevel="0" collapsed="false">
      <c r="T160" s="21"/>
      <c r="U160" s="21" t="s">
        <v>16</v>
      </c>
      <c r="V160" s="1" t="n">
        <v>103.211</v>
      </c>
      <c r="W160" s="1" t="n">
        <v>99.929</v>
      </c>
      <c r="X160" s="1" t="n">
        <v>97.221</v>
      </c>
      <c r="Y160" s="1" t="n">
        <v>49.57</v>
      </c>
      <c r="Z160" s="1" t="n">
        <v>87.694</v>
      </c>
      <c r="AA160" s="1" t="n">
        <v>91.198</v>
      </c>
      <c r="AB160" s="1" t="n">
        <v>106.681</v>
      </c>
      <c r="AC160" s="1" t="n">
        <v>61.761</v>
      </c>
      <c r="AD160" s="1" t="n">
        <v>58.595</v>
      </c>
      <c r="AE160" s="1" t="n">
        <v>154.986</v>
      </c>
      <c r="AG160" s="1" t="n">
        <f aca="false">PERCENTILE(V160:AE160,0.9)</f>
        <v>111.5115</v>
      </c>
      <c r="AH160" s="9" t="n">
        <f aca="false">N6/AG160</f>
        <v>0.934184366634832</v>
      </c>
      <c r="AI160" s="9" t="n">
        <f aca="false">AH160/64</f>
        <v>0.0145966307286692</v>
      </c>
      <c r="AM160" s="4"/>
      <c r="AN160" s="4" t="s">
        <v>16</v>
      </c>
      <c r="AO160" s="1" t="n">
        <v>11.929</v>
      </c>
      <c r="AP160" s="1" t="n">
        <v>25.075</v>
      </c>
      <c r="AQ160" s="1" t="n">
        <v>12.054</v>
      </c>
      <c r="AR160" s="1" t="n">
        <v>24.905</v>
      </c>
      <c r="AS160" s="1" t="n">
        <v>12.136</v>
      </c>
      <c r="AT160" s="1" t="n">
        <v>26.459</v>
      </c>
      <c r="AU160" s="1" t="n">
        <v>12.182</v>
      </c>
      <c r="AV160" s="1" t="n">
        <v>11.997</v>
      </c>
      <c r="AW160" s="1" t="n">
        <v>27.572</v>
      </c>
      <c r="AX160" s="1" t="n">
        <v>13.926</v>
      </c>
      <c r="AY160" s="8"/>
      <c r="AZ160" s="9" t="n">
        <f aca="false">PERCENTILE(AO160:AX160,0.9)</f>
        <v>26.5703</v>
      </c>
      <c r="BA160" s="9" t="n">
        <f aca="false">N6/AZ160</f>
        <v>3.92062942458309</v>
      </c>
      <c r="BB160" s="9" t="n">
        <f aca="false">BA160/64</f>
        <v>0.0612598347591107</v>
      </c>
    </row>
    <row r="161" customFormat="false" ht="13.8" hidden="false" customHeight="false" outlineLevel="0" collapsed="false">
      <c r="T161" s="21" t="s">
        <v>18</v>
      </c>
      <c r="U161" s="21" t="s">
        <v>15</v>
      </c>
      <c r="V161" s="1" t="n">
        <v>2150</v>
      </c>
      <c r="W161" s="1" t="n">
        <v>3120</v>
      </c>
      <c r="X161" s="1" t="n">
        <v>1890</v>
      </c>
      <c r="Y161" s="1" t="n">
        <v>2780</v>
      </c>
      <c r="Z161" s="1" t="n">
        <v>2260</v>
      </c>
      <c r="AA161" s="1" t="n">
        <v>2010</v>
      </c>
      <c r="AB161" s="1" t="n">
        <v>2130</v>
      </c>
      <c r="AC161" s="1" t="n">
        <v>2380</v>
      </c>
      <c r="AD161" s="1" t="n">
        <v>2530</v>
      </c>
      <c r="AE161" s="1" t="n">
        <v>1740</v>
      </c>
      <c r="AG161" s="1" t="n">
        <f aca="false">PERCENTILE(V161:AE161,0.9)</f>
        <v>2814</v>
      </c>
      <c r="AH161" s="9"/>
      <c r="AI161" s="9"/>
      <c r="AM161" s="4" t="s">
        <v>18</v>
      </c>
      <c r="AN161" s="4" t="s">
        <v>15</v>
      </c>
      <c r="AO161" s="1" t="n">
        <v>240</v>
      </c>
      <c r="AP161" s="1" t="n">
        <v>250</v>
      </c>
      <c r="AQ161" s="1" t="n">
        <v>1800</v>
      </c>
      <c r="AR161" s="1" t="n">
        <v>250</v>
      </c>
      <c r="AS161" s="1" t="n">
        <v>250</v>
      </c>
      <c r="AT161" s="1" t="n">
        <v>1500</v>
      </c>
      <c r="AU161" s="1" t="n">
        <v>890</v>
      </c>
      <c r="AV161" s="1" t="n">
        <v>260</v>
      </c>
      <c r="AW161" s="1" t="n">
        <v>1020</v>
      </c>
      <c r="AX161" s="1" t="n">
        <v>290</v>
      </c>
      <c r="AY161" s="8"/>
      <c r="AZ161" s="9" t="n">
        <f aca="false">PERCENTILE(AO161:AX161,0.9)</f>
        <v>1530</v>
      </c>
      <c r="BA161" s="9"/>
      <c r="BB161" s="9"/>
    </row>
    <row r="162" customFormat="false" ht="13.8" hidden="false" customHeight="false" outlineLevel="0" collapsed="false">
      <c r="T162" s="21"/>
      <c r="U162" s="21" t="s">
        <v>16</v>
      </c>
      <c r="V162" s="1" t="n">
        <v>73.679</v>
      </c>
      <c r="W162" s="1" t="n">
        <v>113.243</v>
      </c>
      <c r="X162" s="1" t="n">
        <v>51.369</v>
      </c>
      <c r="Y162" s="1" t="n">
        <v>80.086</v>
      </c>
      <c r="Z162" s="1" t="n">
        <v>59.3</v>
      </c>
      <c r="AA162" s="1" t="n">
        <v>61.108</v>
      </c>
      <c r="AB162" s="1" t="n">
        <v>69.124</v>
      </c>
      <c r="AC162" s="1" t="n">
        <v>57.847</v>
      </c>
      <c r="AD162" s="1" t="n">
        <v>73.893</v>
      </c>
      <c r="AE162" s="1" t="n">
        <v>42.206</v>
      </c>
      <c r="AG162" s="1" t="n">
        <f aca="false">PERCENTILE(V162:AE162,0.9)</f>
        <v>83.4017</v>
      </c>
      <c r="AH162" s="9" t="n">
        <f aca="false">N8/AG162</f>
        <v>0.382849510261781</v>
      </c>
      <c r="AI162" s="9" t="n">
        <f aca="false">AH162/64</f>
        <v>0.00598202359784033</v>
      </c>
      <c r="AM162" s="4"/>
      <c r="AN162" s="4" t="s">
        <v>16</v>
      </c>
      <c r="AO162" s="1" t="n">
        <v>4.829</v>
      </c>
      <c r="AP162" s="1" t="n">
        <v>5.045</v>
      </c>
      <c r="AQ162" s="1" t="n">
        <v>31.491</v>
      </c>
      <c r="AR162" s="1" t="n">
        <v>4.974</v>
      </c>
      <c r="AS162" s="1" t="n">
        <v>5.075</v>
      </c>
      <c r="AT162" s="1" t="n">
        <v>28.431</v>
      </c>
      <c r="AU162" s="1" t="n">
        <v>17.116</v>
      </c>
      <c r="AV162" s="1" t="n">
        <v>4.917</v>
      </c>
      <c r="AW162" s="1" t="n">
        <v>17.325</v>
      </c>
      <c r="AX162" s="1" t="n">
        <v>5.519</v>
      </c>
      <c r="AY162" s="8"/>
      <c r="AZ162" s="9" t="n">
        <f aca="false">PERCENTILE(AO162:AX162,0.9)</f>
        <v>28.737</v>
      </c>
      <c r="BA162" s="9" t="n">
        <f aca="false">N8/AZ162</f>
        <v>1.11112155061419</v>
      </c>
      <c r="BB162" s="9" t="n">
        <f aca="false">BA162/64</f>
        <v>0.0173612742283467</v>
      </c>
    </row>
    <row r="163" customFormat="false" ht="13.8" hidden="false" customHeight="false" outlineLevel="0" collapsed="false">
      <c r="T163" s="21" t="s">
        <v>19</v>
      </c>
      <c r="U163" s="21" t="s">
        <v>15</v>
      </c>
      <c r="V163" s="1" t="n">
        <v>2820</v>
      </c>
      <c r="W163" s="1" t="n">
        <v>2620</v>
      </c>
      <c r="X163" s="1" t="n">
        <v>3100</v>
      </c>
      <c r="Y163" s="1" t="n">
        <v>2480</v>
      </c>
      <c r="Z163" s="1" t="n">
        <v>2320</v>
      </c>
      <c r="AA163" s="1" t="n">
        <v>3860</v>
      </c>
      <c r="AB163" s="1" t="n">
        <v>3130</v>
      </c>
      <c r="AC163" s="1" t="n">
        <v>2130</v>
      </c>
      <c r="AD163" s="1" t="n">
        <v>2620</v>
      </c>
      <c r="AE163" s="1" t="n">
        <v>2380</v>
      </c>
      <c r="AG163" s="1" t="n">
        <f aca="false">PERCENTILE(V163:AE163,0.9)</f>
        <v>3203</v>
      </c>
      <c r="AH163" s="9"/>
      <c r="AI163" s="9"/>
      <c r="AM163" s="4" t="s">
        <v>19</v>
      </c>
      <c r="AN163" s="4" t="s">
        <v>15</v>
      </c>
      <c r="AO163" s="1" t="n">
        <v>1150</v>
      </c>
      <c r="AP163" s="1" t="n">
        <v>420</v>
      </c>
      <c r="AQ163" s="1" t="n">
        <v>420</v>
      </c>
      <c r="AR163" s="1" t="n">
        <v>1960</v>
      </c>
      <c r="AS163" s="1" t="n">
        <v>420</v>
      </c>
      <c r="AT163" s="1" t="n">
        <v>420</v>
      </c>
      <c r="AU163" s="1" t="n">
        <v>420</v>
      </c>
      <c r="AV163" s="1" t="n">
        <v>480</v>
      </c>
      <c r="AW163" s="1" t="n">
        <v>420</v>
      </c>
      <c r="AX163" s="1" t="n">
        <v>420</v>
      </c>
      <c r="AY163" s="8"/>
      <c r="AZ163" s="9" t="n">
        <f aca="false">PERCENTILE(AO163:AX163,0.9)</f>
        <v>1231</v>
      </c>
      <c r="BA163" s="9"/>
      <c r="BB163" s="9"/>
    </row>
    <row r="164" customFormat="false" ht="13.8" hidden="false" customHeight="false" outlineLevel="0" collapsed="false">
      <c r="T164" s="21"/>
      <c r="U164" s="21" t="s">
        <v>16</v>
      </c>
      <c r="V164" s="1" t="n">
        <v>90.81</v>
      </c>
      <c r="W164" s="1" t="n">
        <v>76.633</v>
      </c>
      <c r="X164" s="1" t="n">
        <v>73.504</v>
      </c>
      <c r="Y164" s="1" t="n">
        <v>107.091</v>
      </c>
      <c r="Z164" s="1" t="n">
        <v>47.485</v>
      </c>
      <c r="AA164" s="1" t="n">
        <v>142.779</v>
      </c>
      <c r="AB164" s="1" t="n">
        <v>113.62</v>
      </c>
      <c r="AC164" s="1" t="n">
        <v>68.72</v>
      </c>
      <c r="AD164" s="1" t="n">
        <v>86.048</v>
      </c>
      <c r="AE164" s="1" t="n">
        <v>63.956</v>
      </c>
      <c r="AG164" s="1" t="n">
        <f aca="false">PERCENTILE(V164:AE164,0.9)</f>
        <v>116.5359</v>
      </c>
      <c r="AH164" s="9" t="n">
        <f aca="false">N10/AG164</f>
        <v>0.553208925318292</v>
      </c>
      <c r="AI164" s="9" t="n">
        <f aca="false">AH164/64</f>
        <v>0.00864388945809832</v>
      </c>
      <c r="AM164" s="4"/>
      <c r="AN164" s="4" t="s">
        <v>16</v>
      </c>
      <c r="AO164" s="1" t="n">
        <v>21.069</v>
      </c>
      <c r="AP164" s="1" t="n">
        <v>7.516</v>
      </c>
      <c r="AQ164" s="1" t="n">
        <v>7.507</v>
      </c>
      <c r="AR164" s="1" t="n">
        <v>35.442</v>
      </c>
      <c r="AS164" s="1" t="n">
        <v>7.624</v>
      </c>
      <c r="AT164" s="1" t="n">
        <v>7.681</v>
      </c>
      <c r="AU164" s="1" t="n">
        <v>7.665</v>
      </c>
      <c r="AV164" s="1" t="n">
        <v>8.632</v>
      </c>
      <c r="AW164" s="1" t="n">
        <v>7.663</v>
      </c>
      <c r="AX164" s="1" t="n">
        <v>8.06</v>
      </c>
      <c r="AY164" s="8"/>
      <c r="AZ164" s="9" t="n">
        <f aca="false">PERCENTILE(AO164:AX164,0.9)</f>
        <v>22.5063</v>
      </c>
      <c r="BA164" s="9" t="n">
        <f aca="false">N10/AZ164</f>
        <v>2.86447350297472</v>
      </c>
      <c r="BB164" s="9" t="n">
        <f aca="false">BA164/64</f>
        <v>0.0447573984839801</v>
      </c>
    </row>
    <row r="165" customFormat="false" ht="13.8" hidden="false" customHeight="false" outlineLevel="0" collapsed="false">
      <c r="T165" s="21" t="s">
        <v>20</v>
      </c>
      <c r="U165" s="21" t="s">
        <v>15</v>
      </c>
      <c r="V165" s="1" t="n">
        <v>384510</v>
      </c>
      <c r="W165" s="1" t="n">
        <v>57610</v>
      </c>
      <c r="X165" s="1" t="n">
        <v>31070</v>
      </c>
      <c r="Y165" s="1" t="n">
        <v>69140</v>
      </c>
      <c r="Z165" s="1" t="n">
        <v>29120</v>
      </c>
      <c r="AA165" s="1" t="n">
        <v>21870</v>
      </c>
      <c r="AB165" s="1" t="n">
        <v>65100</v>
      </c>
      <c r="AC165" s="1" t="n">
        <v>28720</v>
      </c>
      <c r="AD165" s="1" t="n">
        <v>189040</v>
      </c>
      <c r="AE165" s="1" t="n">
        <v>295690</v>
      </c>
      <c r="AG165" s="1" t="n">
        <f aca="false">PERCENTILE(V165:AE165,0.9)</f>
        <v>304572</v>
      </c>
      <c r="AH165" s="9"/>
      <c r="AI165" s="9"/>
      <c r="AM165" s="4" t="s">
        <v>20</v>
      </c>
      <c r="AN165" s="4" t="s">
        <v>15</v>
      </c>
      <c r="AO165" s="1" t="n">
        <v>13980</v>
      </c>
      <c r="AP165" s="1" t="n">
        <v>14310</v>
      </c>
      <c r="AQ165" s="1" t="n">
        <v>14710</v>
      </c>
      <c r="AR165" s="1" t="n">
        <v>14650</v>
      </c>
      <c r="AS165" s="1" t="n">
        <v>14240</v>
      </c>
      <c r="AT165" s="1" t="n">
        <v>13980</v>
      </c>
      <c r="AU165" s="1" t="n">
        <v>14560</v>
      </c>
      <c r="AV165" s="1" t="n">
        <v>13880</v>
      </c>
      <c r="AW165" s="1" t="n">
        <v>14590</v>
      </c>
      <c r="AX165" s="1" t="n">
        <v>14490</v>
      </c>
      <c r="AY165" s="8"/>
      <c r="AZ165" s="9" t="n">
        <f aca="false">PERCENTILE(AO165:AX165,0.9)</f>
        <v>14656</v>
      </c>
      <c r="BA165" s="9"/>
      <c r="BB165" s="9"/>
    </row>
    <row r="166" customFormat="false" ht="13.8" hidden="false" customHeight="false" outlineLevel="0" collapsed="false">
      <c r="T166" s="21"/>
      <c r="U166" s="21" t="s">
        <v>16</v>
      </c>
      <c r="V166" s="1" t="n">
        <v>12184.84</v>
      </c>
      <c r="W166" s="1" t="n">
        <v>1401.526</v>
      </c>
      <c r="X166" s="1" t="n">
        <v>647.876</v>
      </c>
      <c r="Y166" s="1" t="n">
        <v>1434.815</v>
      </c>
      <c r="Z166" s="1" t="n">
        <v>692.13</v>
      </c>
      <c r="AA166" s="1" t="n">
        <v>627.088</v>
      </c>
      <c r="AB166" s="1" t="n">
        <v>1401.096</v>
      </c>
      <c r="AC166" s="1" t="n">
        <v>634.702</v>
      </c>
      <c r="AD166" s="1" t="n">
        <v>6388.822</v>
      </c>
      <c r="AE166" s="1" t="n">
        <v>8614.904</v>
      </c>
      <c r="AG166" s="1" t="n">
        <f aca="false">PERCENTILE(V166:AE166,0.9)</f>
        <v>8971.8976</v>
      </c>
      <c r="AH166" s="9" t="n">
        <f aca="false">N12/AG166</f>
        <v>0.206050122551555</v>
      </c>
      <c r="AI166" s="9" t="n">
        <f aca="false">AH166/64</f>
        <v>0.00321953316486804</v>
      </c>
      <c r="AM166" s="4"/>
      <c r="AN166" s="4" t="s">
        <v>16</v>
      </c>
      <c r="AO166" s="1" t="n">
        <v>220.31</v>
      </c>
      <c r="AP166" s="1" t="n">
        <v>235.439</v>
      </c>
      <c r="AQ166" s="1" t="n">
        <v>232.018</v>
      </c>
      <c r="AR166" s="1" t="n">
        <v>230.877</v>
      </c>
      <c r="AS166" s="1" t="n">
        <v>229.831</v>
      </c>
      <c r="AT166" s="1" t="n">
        <v>220.034</v>
      </c>
      <c r="AU166" s="1" t="n">
        <v>232.498</v>
      </c>
      <c r="AV166" s="1" t="n">
        <v>218.681</v>
      </c>
      <c r="AW166" s="1" t="n">
        <v>235.555</v>
      </c>
      <c r="AX166" s="1" t="n">
        <v>232.781</v>
      </c>
      <c r="AY166" s="8"/>
      <c r="AZ166" s="9" t="n">
        <f aca="false">PERCENTILE(AO166:AX166,0.9)</f>
        <v>235.4506</v>
      </c>
      <c r="BA166" s="9" t="n">
        <f aca="false">N12/AZ166</f>
        <v>7.85158585282858</v>
      </c>
      <c r="BB166" s="9" t="n">
        <f aca="false">BA166/64</f>
        <v>0.122681028950447</v>
      </c>
    </row>
  </sheetData>
  <mergeCells count="161">
    <mergeCell ref="A1:N1"/>
    <mergeCell ref="A3:A4"/>
    <mergeCell ref="A5:A6"/>
    <mergeCell ref="A7:A8"/>
    <mergeCell ref="A9:A10"/>
    <mergeCell ref="A11:A12"/>
    <mergeCell ref="T16:AI16"/>
    <mergeCell ref="AM16:BB16"/>
    <mergeCell ref="A18:P18"/>
    <mergeCell ref="T18:AI18"/>
    <mergeCell ref="AM18:BB18"/>
    <mergeCell ref="A20:A21"/>
    <mergeCell ref="T20:T21"/>
    <mergeCell ref="AM20:AM21"/>
    <mergeCell ref="A22:A23"/>
    <mergeCell ref="T22:T23"/>
    <mergeCell ref="AM22:AM23"/>
    <mergeCell ref="A24:A25"/>
    <mergeCell ref="T24:T25"/>
    <mergeCell ref="AM24:AM25"/>
    <mergeCell ref="A26:A27"/>
    <mergeCell ref="T26:T27"/>
    <mergeCell ref="AM26:AM27"/>
    <mergeCell ref="A28:A29"/>
    <mergeCell ref="T28:T29"/>
    <mergeCell ref="AM28:AM29"/>
    <mergeCell ref="A33:P33"/>
    <mergeCell ref="T33:AI33"/>
    <mergeCell ref="AM33:BB33"/>
    <mergeCell ref="A35:A36"/>
    <mergeCell ref="T35:T36"/>
    <mergeCell ref="AM35:AM36"/>
    <mergeCell ref="A37:A38"/>
    <mergeCell ref="T37:T38"/>
    <mergeCell ref="AM37:AM38"/>
    <mergeCell ref="A39:A40"/>
    <mergeCell ref="T39:T40"/>
    <mergeCell ref="AM39:AM40"/>
    <mergeCell ref="A41:A42"/>
    <mergeCell ref="T41:T42"/>
    <mergeCell ref="AM41:AM42"/>
    <mergeCell ref="A43:A44"/>
    <mergeCell ref="T43:T44"/>
    <mergeCell ref="AM43:AM44"/>
    <mergeCell ref="A48:P48"/>
    <mergeCell ref="T48:AI48"/>
    <mergeCell ref="AM48:BB48"/>
    <mergeCell ref="A50:A51"/>
    <mergeCell ref="T50:T51"/>
    <mergeCell ref="AM50:AM51"/>
    <mergeCell ref="A52:A53"/>
    <mergeCell ref="T52:T53"/>
    <mergeCell ref="AM52:AM53"/>
    <mergeCell ref="A54:A55"/>
    <mergeCell ref="T54:T55"/>
    <mergeCell ref="AM54:AM55"/>
    <mergeCell ref="A56:A57"/>
    <mergeCell ref="T56:T57"/>
    <mergeCell ref="AM56:AM57"/>
    <mergeCell ref="A58:A59"/>
    <mergeCell ref="T58:T59"/>
    <mergeCell ref="AM58:AM59"/>
    <mergeCell ref="A63:P63"/>
    <mergeCell ref="T63:AI63"/>
    <mergeCell ref="AM63:BB63"/>
    <mergeCell ref="A65:A66"/>
    <mergeCell ref="T65:T66"/>
    <mergeCell ref="AM65:AM66"/>
    <mergeCell ref="A67:A68"/>
    <mergeCell ref="T67:T68"/>
    <mergeCell ref="AM67:AM68"/>
    <mergeCell ref="A69:A70"/>
    <mergeCell ref="T69:T70"/>
    <mergeCell ref="AM69:AM70"/>
    <mergeCell ref="A71:A72"/>
    <mergeCell ref="T71:T72"/>
    <mergeCell ref="AM71:AM72"/>
    <mergeCell ref="A73:A74"/>
    <mergeCell ref="T73:T74"/>
    <mergeCell ref="AM73:AM74"/>
    <mergeCell ref="A78:P78"/>
    <mergeCell ref="T78:AI78"/>
    <mergeCell ref="AM78:BB78"/>
    <mergeCell ref="A80:A81"/>
    <mergeCell ref="T80:T81"/>
    <mergeCell ref="AM80:AM81"/>
    <mergeCell ref="A82:A83"/>
    <mergeCell ref="T82:T83"/>
    <mergeCell ref="AM82:AM83"/>
    <mergeCell ref="A84:A85"/>
    <mergeCell ref="T84:T85"/>
    <mergeCell ref="AM84:AM85"/>
    <mergeCell ref="A86:A87"/>
    <mergeCell ref="T86:T87"/>
    <mergeCell ref="AM86:AM87"/>
    <mergeCell ref="A88:A89"/>
    <mergeCell ref="T88:T89"/>
    <mergeCell ref="AM88:AM89"/>
    <mergeCell ref="T93:AI93"/>
    <mergeCell ref="AM93:BB93"/>
    <mergeCell ref="A94:C94"/>
    <mergeCell ref="T95:AE95"/>
    <mergeCell ref="AM95:BB95"/>
    <mergeCell ref="T97:T98"/>
    <mergeCell ref="AM97:AM98"/>
    <mergeCell ref="T99:T100"/>
    <mergeCell ref="AM99:AM100"/>
    <mergeCell ref="T101:T102"/>
    <mergeCell ref="AM101:AM102"/>
    <mergeCell ref="T103:T104"/>
    <mergeCell ref="AM103:AM104"/>
    <mergeCell ref="T105:T106"/>
    <mergeCell ref="AM105:AM106"/>
    <mergeCell ref="T110:AE110"/>
    <mergeCell ref="AM110:BB110"/>
    <mergeCell ref="T112:T113"/>
    <mergeCell ref="AM112:AM113"/>
    <mergeCell ref="T114:T115"/>
    <mergeCell ref="AM114:AM115"/>
    <mergeCell ref="T116:T117"/>
    <mergeCell ref="AM116:AM117"/>
    <mergeCell ref="T118:T119"/>
    <mergeCell ref="AM118:AM119"/>
    <mergeCell ref="T120:T121"/>
    <mergeCell ref="AM120:AM121"/>
    <mergeCell ref="T125:AE125"/>
    <mergeCell ref="AM125:BB125"/>
    <mergeCell ref="T127:T128"/>
    <mergeCell ref="AM127:AM128"/>
    <mergeCell ref="T129:T130"/>
    <mergeCell ref="AM129:AM130"/>
    <mergeCell ref="T131:T132"/>
    <mergeCell ref="AM131:AM132"/>
    <mergeCell ref="T133:T134"/>
    <mergeCell ref="AM133:AM134"/>
    <mergeCell ref="T135:T136"/>
    <mergeCell ref="AM135:AM136"/>
    <mergeCell ref="T140:AE140"/>
    <mergeCell ref="AM140:BB140"/>
    <mergeCell ref="T142:T143"/>
    <mergeCell ref="AM142:AM143"/>
    <mergeCell ref="T144:T145"/>
    <mergeCell ref="AM144:AM145"/>
    <mergeCell ref="T146:T147"/>
    <mergeCell ref="AM146:AM147"/>
    <mergeCell ref="T148:T149"/>
    <mergeCell ref="AM148:AM149"/>
    <mergeCell ref="T150:T151"/>
    <mergeCell ref="AM150:AM151"/>
    <mergeCell ref="T155:AE155"/>
    <mergeCell ref="AM155:BB155"/>
    <mergeCell ref="T157:T158"/>
    <mergeCell ref="AM157:AM158"/>
    <mergeCell ref="T159:T160"/>
    <mergeCell ref="AM159:AM160"/>
    <mergeCell ref="T161:T162"/>
    <mergeCell ref="AM161:AM162"/>
    <mergeCell ref="T163:T164"/>
    <mergeCell ref="AM163:AM164"/>
    <mergeCell ref="T165:T166"/>
    <mergeCell ref="AM165:AM166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4" zoomScaleNormal="104" zoomScalePageLayoutView="100" workbookViewId="0">
      <selection pane="topLeft" activeCell="K45" activeCellId="0" sqref="K4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6" min="1" style="1" width="16.74"/>
  </cols>
  <sheetData>
    <row r="1" customFormat="false" ht="12.8" hidden="false" customHeight="false" outlineLevel="0" collapsed="false">
      <c r="A1" s="19" t="s">
        <v>59</v>
      </c>
      <c r="B1" s="19"/>
      <c r="C1" s="19"/>
      <c r="D1" s="19"/>
      <c r="E1" s="19"/>
      <c r="F1" s="19"/>
    </row>
    <row r="2" customFormat="false" ht="12.8" hidden="false" customHeight="false" outlineLevel="0" collapsed="false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65</v>
      </c>
    </row>
    <row r="3" customFormat="false" ht="12.8" hidden="false" customHeight="false" outlineLevel="0" collapsed="false">
      <c r="A3" s="1" t="n">
        <v>4</v>
      </c>
      <c r="B3" s="1" t="n">
        <f aca="false">INDEX(overall!O$21:O$1000, 1 + (ROWS($B$3:B3)-1)*15)</f>
        <v>2.74524067709989</v>
      </c>
      <c r="C3" s="1" t="n">
        <f aca="false">INDEX(overall!AH$21:AH$1000, 1 + (ROWS($C$3:C3)-1)*15)</f>
        <v>0.900120871445256</v>
      </c>
      <c r="D3" s="1" t="n">
        <f aca="false">INDEX(overall!BA$21:BA$1000, 1 + (ROWS($D$3:D3)-1)*15)</f>
        <v>0.773806137883526</v>
      </c>
      <c r="E3" s="1" t="n">
        <f aca="false">INDEX(overall!AH$98:AH$1000, 1 + (ROWS($E$3:E3)-1)*15)</f>
        <v>7.75807780616969</v>
      </c>
      <c r="F3" s="1" t="n">
        <f aca="false">INDEX(overall!BA$98:BA$1000, 1 + (ROWS($F$3:F3)-1)*15)</f>
        <v>3.33912324482101</v>
      </c>
    </row>
    <row r="4" customFormat="false" ht="12.8" hidden="false" customHeight="false" outlineLevel="0" collapsed="false">
      <c r="A4" s="1" t="n">
        <v>8</v>
      </c>
      <c r="B4" s="1" t="n">
        <f aca="false">INDEX(overall!O$21:O$1000, 1 + (ROWS($B$3:B4)-1)*15)</f>
        <v>5.36061195376122</v>
      </c>
      <c r="C4" s="1" t="n">
        <f aca="false">INDEX(overall!AH$21:AH$1000, 1 + (ROWS($C$3:C4)-1)*15)</f>
        <v>1.09451164060401</v>
      </c>
      <c r="D4" s="1" t="n">
        <f aca="false">INDEX(overall!BA$21:BA$1000, 1 + (ROWS($D$3:D4)-1)*15)</f>
        <v>0.892890070104879</v>
      </c>
      <c r="E4" s="1" t="n">
        <f aca="false">INDEX(overall!AH$98:AH$1000, 1 + (ROWS($E$3:E4)-1)*15)</f>
        <v>2.12745989744358</v>
      </c>
      <c r="F4" s="1" t="n">
        <f aca="false">INDEX(overall!BA$98:BA$1000, 1 + (ROWS($F$3:F4)-1)*15)</f>
        <v>1.24998116746783</v>
      </c>
    </row>
    <row r="5" customFormat="false" ht="12.8" hidden="false" customHeight="false" outlineLevel="0" collapsed="false">
      <c r="A5" s="1" t="n">
        <v>16</v>
      </c>
      <c r="B5" s="1" t="n">
        <f aca="false">INDEX(overall!O$21:O$1000, 1 + (ROWS($B$3:B5)-1)*15)</f>
        <v>5.06801274917747</v>
      </c>
      <c r="C5" s="1" t="n">
        <f aca="false">INDEX(overall!AH$21:AH$1000, 1 + (ROWS($C$3:C5)-1)*15)</f>
        <v>1.57475533204886</v>
      </c>
      <c r="D5" s="1" t="n">
        <f aca="false">INDEX(overall!BA$21:BA$1000, 1 + (ROWS($D$3:D5)-1)*15)</f>
        <v>1.70163072889855</v>
      </c>
      <c r="E5" s="1" t="n">
        <f aca="false">INDEX(overall!AH$98:AH$1000, 1 + (ROWS($E$3:E5)-1)*15)</f>
        <v>0.839261949897104</v>
      </c>
      <c r="F5" s="1" t="n">
        <f aca="false">INDEX(overall!BA$98:BA$1000, 1 + (ROWS($F$3:F5)-1)*15)</f>
        <v>5.3653141847332</v>
      </c>
    </row>
    <row r="6" customFormat="false" ht="12.8" hidden="false" customHeight="false" outlineLevel="0" collapsed="false">
      <c r="A6" s="1" t="n">
        <v>32</v>
      </c>
      <c r="B6" s="1" t="n">
        <f aca="false">INDEX(overall!O$21:O$1000, 1 + (ROWS($B$3:B6)-1)*15)</f>
        <v>8.91002418990404</v>
      </c>
      <c r="C6" s="1" t="n">
        <f aca="false">INDEX(overall!AH$21:AH$1000, 1 + (ROWS($C$3:C6)-1)*15)</f>
        <v>0.896956297537363</v>
      </c>
      <c r="D6" s="1" t="n">
        <f aca="false">INDEX(overall!BA$21:BA$1000, 1 + (ROWS($D$3:D6)-1)*15)</f>
        <v>2.55798594576114</v>
      </c>
      <c r="E6" s="1" t="n">
        <f aca="false">INDEX(overall!AH$98:AH$1000, 1 + (ROWS($E$3:E6)-1)*15)</f>
        <v>10.6359358390582</v>
      </c>
      <c r="F6" s="1" t="n">
        <f aca="false">INDEX(overall!BA$98:BA$1000, 1 + (ROWS($F$3:F6)-1)*15)</f>
        <v>4.80619152429363</v>
      </c>
    </row>
    <row r="7" customFormat="false" ht="12.8" hidden="false" customHeight="false" outlineLevel="0" collapsed="false">
      <c r="A7" s="1" t="n">
        <v>64</v>
      </c>
      <c r="B7" s="1" t="n">
        <f aca="false">INDEX(overall!O$21:O$1000, 1 + (ROWS($B$3:B7)-1)*15)</f>
        <v>3.62468477353439</v>
      </c>
      <c r="C7" s="1" t="n">
        <f aca="false">INDEX(overall!AH$21:AH$1000, 1 + (ROWS($C$3:C7)-1)*15)</f>
        <v>2.55222453190793</v>
      </c>
      <c r="D7" s="1" t="n">
        <f aca="false">INDEX(overall!BA$21:BA$1000, 1 + (ROWS($D$3:D7)-1)*15)</f>
        <v>1.47060575920296</v>
      </c>
      <c r="E7" s="1" t="n">
        <f aca="false">INDEX(overall!AH$98:AH$1000, 1 + (ROWS($E$3:E7)-1)*15)</f>
        <v>1.03902969478176</v>
      </c>
      <c r="F7" s="1" t="n">
        <f aca="false">INDEX(overall!BA$98:BA$1000, 1 + (ROWS($F$3:F7)-1)*15)</f>
        <v>6.77727094428741</v>
      </c>
    </row>
    <row r="13" customFormat="false" ht="12.8" hidden="false" customHeight="false" outlineLevel="0" collapsed="false">
      <c r="A13" s="19" t="s">
        <v>66</v>
      </c>
      <c r="B13" s="19"/>
      <c r="C13" s="19"/>
      <c r="D13" s="19"/>
      <c r="E13" s="19"/>
      <c r="F13" s="19"/>
    </row>
    <row r="14" customFormat="false" ht="12.8" hidden="false" customHeight="false" outlineLevel="0" collapsed="false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</row>
    <row r="15" customFormat="false" ht="12.8" hidden="false" customHeight="false" outlineLevel="0" collapsed="false">
      <c r="A15" s="1" t="n">
        <v>4</v>
      </c>
      <c r="B15" s="1" t="n">
        <f aca="false">INDEX(overall!O$23:O$1000, 1 + (ROWS($B$15:B15)-1)*15)</f>
        <v>5.42168731133549</v>
      </c>
      <c r="C15" s="1" t="n">
        <f aca="false">INDEX(overall!AH$23:AH$1000, 1 + (ROWS($C$15:C15)-1)*15)</f>
        <v>0.556688883141202</v>
      </c>
      <c r="D15" s="1" t="n">
        <f aca="false">INDEX(overall!BA$23:BA$1000, 1 + (ROWS($D$15:D15)-1)*15)</f>
        <v>0.789578880349266</v>
      </c>
      <c r="E15" s="1" t="n">
        <f aca="false">INDEX(overall!AH$100:AH$1000, 1 + (ROWS($E$15:E15)-1)*15)</f>
        <v>6.77327550894349</v>
      </c>
      <c r="F15" s="1" t="n">
        <f aca="false">INDEX(overall!BA$100:BA$1000, 1 + (ROWS($F$15:F15)-1)*15)</f>
        <v>6.77847619419447</v>
      </c>
    </row>
    <row r="16" customFormat="false" ht="12.8" hidden="false" customHeight="false" outlineLevel="0" collapsed="false">
      <c r="A16" s="1" t="n">
        <v>8</v>
      </c>
      <c r="B16" s="1" t="n">
        <f aca="false">INDEX(overall!O$23:O$1000, 1 + (ROWS($B$15:B16)-1)*15)</f>
        <v>4.64412197405377</v>
      </c>
      <c r="C16" s="1" t="n">
        <f aca="false">INDEX(overall!AH$23:AH$1000, 1 + (ROWS($C$15:C16)-1)*15)</f>
        <v>0.492918912678104</v>
      </c>
      <c r="D16" s="1" t="n">
        <f aca="false">INDEX(overall!BA$23:BA$1000, 1 + (ROWS($D$15:D16)-1)*15)</f>
        <v>0.799577999157227</v>
      </c>
      <c r="E16" s="1" t="n">
        <f aca="false">INDEX(overall!AH$100:AH$1000, 1 + (ROWS($E$15:E16)-1)*15)</f>
        <v>3.18499596419137</v>
      </c>
      <c r="F16" s="1" t="n">
        <f aca="false">INDEX(overall!BA$100:BA$1000, 1 + (ROWS($F$15:F16)-1)*15)</f>
        <v>6.10666049194552</v>
      </c>
    </row>
    <row r="17" customFormat="false" ht="12.8" hidden="false" customHeight="false" outlineLevel="0" collapsed="false">
      <c r="A17" s="1" t="n">
        <v>16</v>
      </c>
      <c r="B17" s="1" t="n">
        <f aca="false">INDEX(overall!O$23:O$1000, 1 + (ROWS($B$15:B17)-1)*15)</f>
        <v>4.24650548482959</v>
      </c>
      <c r="C17" s="1" t="n">
        <f aca="false">INDEX(overall!AH$23:AH$1000, 1 + (ROWS($C$15:C17)-1)*15)</f>
        <v>1.0588940255178</v>
      </c>
      <c r="D17" s="1" t="n">
        <f aca="false">INDEX(overall!BA$23:BA$1000, 1 + (ROWS($D$15:D17)-1)*15)</f>
        <v>0.79060298368815</v>
      </c>
      <c r="E17" s="1" t="n">
        <f aca="false">INDEX(overall!AH$100:AH$1000, 1 + (ROWS($E$15:E17)-1)*15)</f>
        <v>1.68380771039858</v>
      </c>
      <c r="F17" s="1" t="n">
        <f aca="false">INDEX(overall!BA$100:BA$1000, 1 + (ROWS($F$15:F17)-1)*15)</f>
        <v>5.76713299489014</v>
      </c>
    </row>
    <row r="18" customFormat="false" ht="12.8" hidden="false" customHeight="false" outlineLevel="0" collapsed="false">
      <c r="A18" s="1" t="n">
        <v>32</v>
      </c>
      <c r="B18" s="1" t="n">
        <f aca="false">INDEX(overall!O$23:O$1000, 1 + (ROWS($B$15:B18)-1)*15)</f>
        <v>7.95433061246306</v>
      </c>
      <c r="C18" s="1" t="n">
        <f aca="false">INDEX(overall!AH$23:AH$1000, 1 + (ROWS($C$15:C18)-1)*15)</f>
        <v>0.918527355498478</v>
      </c>
      <c r="D18" s="1" t="n">
        <f aca="false">INDEX(overall!BA$23:BA$1000, 1 + (ROWS($D$15:D18)-1)*15)</f>
        <v>1.62486390875882</v>
      </c>
      <c r="E18" s="1" t="n">
        <f aca="false">INDEX(overall!AH$100:AH$1000, 1 + (ROWS($E$15:E18)-1)*15)</f>
        <v>9.76584794225181</v>
      </c>
      <c r="F18" s="1" t="n">
        <f aca="false">INDEX(overall!BA$100:BA$1000, 1 + (ROWS($F$15:F18)-1)*15)</f>
        <v>4.92040242779208</v>
      </c>
    </row>
    <row r="19" customFormat="false" ht="12.8" hidden="false" customHeight="false" outlineLevel="0" collapsed="false">
      <c r="A19" s="1" t="n">
        <v>64</v>
      </c>
      <c r="B19" s="1" t="n">
        <f aca="false">INDEX(overall!O$23:O$1000, 1 + (ROWS($B$15:B19)-1)*15)</f>
        <v>2.63530527833643</v>
      </c>
      <c r="C19" s="1" t="n">
        <f aca="false">INDEX(overall!AH$23:AH$1000, 1 + (ROWS($C$15:C19)-1)*15)</f>
        <v>1.39684593600155</v>
      </c>
      <c r="D19" s="1" t="n">
        <f aca="false">INDEX(overall!BA$23:BA$1000, 1 + (ROWS($D$15:D19)-1)*15)</f>
        <v>0.289738284521331</v>
      </c>
      <c r="E19" s="1" t="n">
        <f aca="false">INDEX(overall!AH$100:AH$1000, 1 + (ROWS($E$15:E19)-1)*15)</f>
        <v>0.934184366634832</v>
      </c>
      <c r="F19" s="1" t="n">
        <f aca="false">INDEX(overall!BA$100:BA$1000, 1 + (ROWS($F$15:F19)-1)*15)</f>
        <v>3.92062942458309</v>
      </c>
    </row>
    <row r="25" customFormat="false" ht="12.8" hidden="false" customHeight="false" outlineLevel="0" collapsed="false">
      <c r="A25" s="19" t="s">
        <v>67</v>
      </c>
      <c r="B25" s="19"/>
      <c r="C25" s="19"/>
      <c r="D25" s="19"/>
      <c r="E25" s="19"/>
      <c r="F25" s="19"/>
    </row>
    <row r="26" customFormat="false" ht="12.8" hidden="false" customHeight="false" outlineLevel="0" collapsed="false">
      <c r="A26" s="1" t="s">
        <v>60</v>
      </c>
      <c r="B26" s="1" t="s">
        <v>61</v>
      </c>
      <c r="C26" s="1" t="s">
        <v>62</v>
      </c>
      <c r="D26" s="1" t="s">
        <v>63</v>
      </c>
      <c r="E26" s="1" t="s">
        <v>64</v>
      </c>
      <c r="F26" s="1" t="s">
        <v>65</v>
      </c>
    </row>
    <row r="27" customFormat="false" ht="12.8" hidden="false" customHeight="false" outlineLevel="0" collapsed="false">
      <c r="A27" s="1" t="n">
        <v>4</v>
      </c>
      <c r="B27" s="1" t="n">
        <f aca="false">INDEX(overall!O$25:O$1000, 1 + (ROWS($B$27:B27)-1)*15)</f>
        <v>0.719437703769296</v>
      </c>
      <c r="C27" s="1" t="n">
        <f aca="false">INDEX(overall!AH$25:AH$1000, 1 + (ROWS($C$27:C27)-1)*15)</f>
        <v>0.859300025566156</v>
      </c>
      <c r="D27" s="1" t="n">
        <f aca="false">INDEX(overall!BA$25:BA$1000, 1 + (ROWS($D$27:D27)-1)*15)</f>
        <v>0.917595365224239</v>
      </c>
      <c r="E27" s="1" t="n">
        <f aca="false">INDEX(overall!AH$102:AH$1000, 1 + (ROWS($E$27:E27)-1)*15)</f>
        <v>3.37411896484313</v>
      </c>
      <c r="F27" s="1" t="n">
        <f aca="false">INDEX(overall!BA$102:BA$1000, 1 + (ROWS($F$27:F27)-1)*15)</f>
        <v>0.886233943579097</v>
      </c>
    </row>
    <row r="28" customFormat="false" ht="12.8" hidden="false" customHeight="false" outlineLevel="0" collapsed="false">
      <c r="A28" s="1" t="n">
        <v>8</v>
      </c>
      <c r="B28" s="1" t="n">
        <f aca="false">INDEX(overall!O$25:O$1000, 1 + (ROWS($B$27:B28)-1)*15)</f>
        <v>5.10966554648744</v>
      </c>
      <c r="C28" s="1" t="n">
        <f aca="false">INDEX(overall!AH$25:AH$1000, 1 + (ROWS($C$27:C28)-1)*15)</f>
        <v>0.567579145706312</v>
      </c>
      <c r="D28" s="1" t="n">
        <f aca="false">INDEX(overall!BA$25:BA$1000, 1 + (ROWS($D$27:D28)-1)*15)</f>
        <v>0.786658224480042</v>
      </c>
      <c r="E28" s="1" t="n">
        <f aca="false">INDEX(overall!AH$102:AH$1000, 1 + (ROWS($E$27:E28)-1)*15)</f>
        <v>1.39950647369759</v>
      </c>
      <c r="F28" s="1" t="n">
        <f aca="false">INDEX(overall!BA$102:BA$1000, 1 + (ROWS($F$27:F28)-1)*15)</f>
        <v>1.79594580153101</v>
      </c>
    </row>
    <row r="29" customFormat="false" ht="12.8" hidden="false" customHeight="false" outlineLevel="0" collapsed="false">
      <c r="A29" s="1" t="n">
        <v>16</v>
      </c>
      <c r="B29" s="1" t="n">
        <f aca="false">INDEX(overall!O$25:O$1000, 1 + (ROWS($B$27:B29)-1)*15)</f>
        <v>4.53137018377918</v>
      </c>
      <c r="C29" s="1" t="n">
        <f aca="false">INDEX(overall!AH$25:AH$1000, 1 + (ROWS($C$27:C29)-1)*15)</f>
        <v>0.229362094911772</v>
      </c>
      <c r="D29" s="1" t="n">
        <f aca="false">INDEX(overall!BA$25:BA$1000, 1 + (ROWS($D$27:D29)-1)*15)</f>
        <v>1.56771605605036</v>
      </c>
      <c r="E29" s="1" t="n">
        <f aca="false">INDEX(overall!AH$102:AH$1000, 1 + (ROWS($E$27:E29)-1)*15)</f>
        <v>9.25408648272664</v>
      </c>
      <c r="F29" s="1" t="n">
        <f aca="false">INDEX(overall!BA$102:BA$1000, 1 + (ROWS($F$27:F29)-1)*15)</f>
        <v>5.52274456897745</v>
      </c>
    </row>
    <row r="30" customFormat="false" ht="12.8" hidden="false" customHeight="false" outlineLevel="0" collapsed="false">
      <c r="A30" s="1" t="n">
        <v>32</v>
      </c>
      <c r="B30" s="1" t="n">
        <f aca="false">INDEX(overall!O$25:O$1000, 1 + (ROWS($B$27:B30)-1)*15)</f>
        <v>6.86053457092519</v>
      </c>
      <c r="C30" s="1" t="n">
        <f aca="false">INDEX(overall!AH$25:AH$1000, 1 + (ROWS($C$27:C30)-1)*15)</f>
        <v>0.7817374336827</v>
      </c>
      <c r="D30" s="1" t="n">
        <f aca="false">INDEX(overall!BA$25:BA$1000, 1 + (ROWS($D$27:D30)-1)*15)</f>
        <v>1.14922509915708</v>
      </c>
      <c r="E30" s="1" t="n">
        <f aca="false">INDEX(overall!AH$102:AH$1000, 1 + (ROWS($E$27:E30)-1)*15)</f>
        <v>7.60390074299867</v>
      </c>
      <c r="F30" s="1" t="n">
        <f aca="false">INDEX(overall!BA$102:BA$1000, 1 + (ROWS($F$27:F30)-1)*15)</f>
        <v>4.55652434499686</v>
      </c>
    </row>
    <row r="31" customFormat="false" ht="12.8" hidden="false" customHeight="false" outlineLevel="0" collapsed="false">
      <c r="A31" s="1" t="n">
        <v>64</v>
      </c>
      <c r="B31" s="1" t="n">
        <f aca="false">INDEX(overall!O$25:O$1000, 1 + (ROWS($B$27:B31)-1)*15)</f>
        <v>1.11877157022477</v>
      </c>
      <c r="C31" s="1" t="n">
        <f aca="false">INDEX(overall!AH$25:AH$1000, 1 + (ROWS($C$27:C31)-1)*15)</f>
        <v>1.09590164778402</v>
      </c>
      <c r="D31" s="1" t="n">
        <f aca="false">INDEX(overall!BA$25:BA$1000, 1 + (ROWS($D$27:D31)-1)*15)</f>
        <v>0.280270559930201</v>
      </c>
      <c r="E31" s="1" t="n">
        <f aca="false">INDEX(overall!AH$102:AH$1000, 1 + (ROWS($E$27:E31)-1)*15)</f>
        <v>0.382849510261781</v>
      </c>
      <c r="F31" s="1" t="n">
        <f aca="false">INDEX(overall!BA$102:BA$1000, 1 + (ROWS($F$27:F31)-1)*15)</f>
        <v>1.11112155061419</v>
      </c>
    </row>
    <row r="37" customFormat="false" ht="12.8" hidden="false" customHeight="false" outlineLevel="0" collapsed="false">
      <c r="A37" s="19" t="s">
        <v>68</v>
      </c>
      <c r="B37" s="19"/>
      <c r="C37" s="19"/>
      <c r="D37" s="19"/>
      <c r="E37" s="19"/>
      <c r="F37" s="19"/>
    </row>
    <row r="38" customFormat="false" ht="12.8" hidden="false" customHeight="false" outlineLevel="0" collapsed="false">
      <c r="A38" s="1" t="s">
        <v>60</v>
      </c>
      <c r="B38" s="1" t="s">
        <v>61</v>
      </c>
      <c r="C38" s="1" t="s">
        <v>62</v>
      </c>
      <c r="D38" s="1" t="s">
        <v>63</v>
      </c>
      <c r="E38" s="1" t="s">
        <v>64</v>
      </c>
      <c r="F38" s="1" t="s">
        <v>65</v>
      </c>
    </row>
    <row r="39" customFormat="false" ht="12.8" hidden="false" customHeight="false" outlineLevel="0" collapsed="false">
      <c r="A39" s="1" t="n">
        <v>4</v>
      </c>
      <c r="B39" s="1" t="n">
        <f aca="false">INDEX(overall!O$27:O$1000, 1 + (ROWS($B$39:B39)-1)*15)</f>
        <v>6.3675934614055</v>
      </c>
      <c r="C39" s="1" t="n">
        <f aca="false">INDEX(overall!AH$27:AH$1000, 1 + (ROWS($C$39:C39)-1)*15)</f>
        <v>0.3671865210725</v>
      </c>
      <c r="D39" s="1" t="n">
        <f aca="false">INDEX(overall!BA$27:BA$1000, 1 + (ROWS($D$39:D39)-1)*15)</f>
        <v>0.855555850463817</v>
      </c>
      <c r="E39" s="1" t="n">
        <f aca="false">INDEX(overall!AH$104:AH$1000, 1 + (ROWS($E$39:E39)-1)*15)</f>
        <v>6.90827359329626</v>
      </c>
      <c r="F39" s="1" t="n">
        <f aca="false">INDEX(overall!BA$104:BA$1000, 1 + (ROWS($F$39:F39)-1)*15)</f>
        <v>7.36894624344188</v>
      </c>
    </row>
    <row r="40" customFormat="false" ht="12.8" hidden="false" customHeight="false" outlineLevel="0" collapsed="false">
      <c r="A40" s="1" t="n">
        <v>8</v>
      </c>
      <c r="B40" s="1" t="n">
        <f aca="false">INDEX(overall!O$27:O$1000, 1 + (ROWS($B$39:B40)-1)*15)</f>
        <v>5.22911394458504</v>
      </c>
      <c r="C40" s="1" t="n">
        <f aca="false">INDEX(overall!AH$27:AH$1000, 1 + (ROWS($C$39:C40)-1)*15)</f>
        <v>0.827195216618657</v>
      </c>
      <c r="D40" s="1" t="n">
        <f aca="false">INDEX(overall!BA$27:BA$1000, 1 + (ROWS($D$39:D40)-1)*15)</f>
        <v>0.822019656445723</v>
      </c>
      <c r="E40" s="1" t="n">
        <f aca="false">INDEX(overall!AH$104:AH$1000, 1 + (ROWS($E$39:E40)-1)*15)</f>
        <v>9.84871446248797</v>
      </c>
      <c r="F40" s="1" t="n">
        <f aca="false">INDEX(overall!BA$104:BA$1000, 1 + (ROWS($F$39:F40)-1)*15)</f>
        <v>11.4371097076355</v>
      </c>
    </row>
    <row r="41" customFormat="false" ht="12.8" hidden="false" customHeight="false" outlineLevel="0" collapsed="false">
      <c r="A41" s="1" t="n">
        <v>16</v>
      </c>
      <c r="B41" s="1" t="n">
        <f aca="false">INDEX(overall!O$27:O$1000, 1 + (ROWS($B$39:B41)-1)*15)</f>
        <v>4.79160875543498</v>
      </c>
      <c r="C41" s="1" t="n">
        <f aca="false">INDEX(overall!AH$27:AH$1000, 1 + (ROWS($C$39:C41)-1)*15)</f>
        <v>1.10896912128724</v>
      </c>
      <c r="D41" s="1" t="n">
        <f aca="false">INDEX(overall!BA$27:BA$1000, 1 + (ROWS($D$39:D41)-1)*15)</f>
        <v>1.22410473550298</v>
      </c>
      <c r="E41" s="1" t="n">
        <f aca="false">INDEX(overall!AH$104:AH$1000, 1 + (ROWS($E$39:E41)-1)*15)</f>
        <v>10.5090307436508</v>
      </c>
      <c r="F41" s="1" t="n">
        <f aca="false">INDEX(overall!BA$104:BA$1000, 1 + (ROWS($F$39:F41)-1)*15)</f>
        <v>2.52496621952414</v>
      </c>
    </row>
    <row r="42" customFormat="false" ht="12.8" hidden="false" customHeight="false" outlineLevel="0" collapsed="false">
      <c r="A42" s="1" t="n">
        <v>32</v>
      </c>
      <c r="B42" s="1" t="n">
        <f aca="false">INDEX(overall!O$27:O$1000, 1 + (ROWS($B$39:B42)-1)*15)</f>
        <v>8.38573602674332</v>
      </c>
      <c r="C42" s="1" t="n">
        <f aca="false">INDEX(overall!AH$27:AH$1000, 1 + (ROWS($C$39:C42)-1)*15)</f>
        <v>0.932455965263977</v>
      </c>
      <c r="D42" s="1" t="n">
        <f aca="false">INDEX(overall!BA$27:BA$1000, 1 + (ROWS($D$39:D42)-1)*15)</f>
        <v>1.78746558497911</v>
      </c>
      <c r="E42" s="1" t="n">
        <f aca="false">INDEX(overall!AH$104:AH$1000, 1 + (ROWS($E$39:E42)-1)*15)</f>
        <v>10.1408931464615</v>
      </c>
      <c r="F42" s="1" t="n">
        <f aca="false">INDEX(overall!BA$104:BA$1000, 1 + (ROWS($F$39:F42)-1)*15)</f>
        <v>4.63800260429781</v>
      </c>
    </row>
    <row r="43" customFormat="false" ht="12.8" hidden="false" customHeight="false" outlineLevel="0" collapsed="false">
      <c r="A43" s="1" t="n">
        <v>64</v>
      </c>
      <c r="B43" s="1" t="n">
        <f aca="false">INDEX(overall!O$27:O$1000, 1 + (ROWS($B$39:B43)-1)*15)</f>
        <v>1.77593853646711</v>
      </c>
      <c r="C43" s="1" t="n">
        <f aca="false">INDEX(overall!AH$27:AH$1000, 1 + (ROWS($C$39:C43)-1)*15)</f>
        <v>1.43417712789505</v>
      </c>
      <c r="D43" s="1" t="n">
        <f aca="false">INDEX(overall!BA$27:BA$1000, 1 + (ROWS($D$39:D43)-1)*15)</f>
        <v>0.308025989948222</v>
      </c>
      <c r="E43" s="1" t="n">
        <f aca="false">INDEX(overall!AH$104:AH$1000, 1 + (ROWS($E$39:E43)-1)*15)</f>
        <v>0.553208925318292</v>
      </c>
      <c r="F43" s="1" t="n">
        <f aca="false">INDEX(overall!BA$104:BA$1000, 1 + (ROWS($F$39:F43)-1)*15)</f>
        <v>2.86447350297472</v>
      </c>
    </row>
    <row r="49" customFormat="false" ht="12.8" hidden="false" customHeight="false" outlineLevel="0" collapsed="false">
      <c r="A49" s="19" t="s">
        <v>69</v>
      </c>
      <c r="B49" s="19"/>
      <c r="C49" s="19"/>
      <c r="D49" s="19"/>
      <c r="E49" s="19"/>
      <c r="F49" s="19"/>
    </row>
    <row r="50" customFormat="false" ht="12.8" hidden="false" customHeight="false" outlineLevel="0" collapsed="false">
      <c r="A50" s="1" t="s">
        <v>60</v>
      </c>
      <c r="B50" s="1" t="s">
        <v>61</v>
      </c>
      <c r="C50" s="1" t="s">
        <v>62</v>
      </c>
      <c r="D50" s="1" t="s">
        <v>63</v>
      </c>
      <c r="E50" s="1" t="s">
        <v>64</v>
      </c>
      <c r="F50" s="1" t="s">
        <v>65</v>
      </c>
    </row>
    <row r="51" customFormat="false" ht="12.8" hidden="false" customHeight="false" outlineLevel="0" collapsed="false">
      <c r="A51" s="1" t="n">
        <v>4</v>
      </c>
      <c r="B51" s="1" t="n">
        <f aca="false">INDEX(overall!O$29:O$1000, 1 + (ROWS($B$51:B51)-1)*15)</f>
        <v>0.712331943664968</v>
      </c>
      <c r="C51" s="1" t="n">
        <f aca="false">INDEX(overall!AH$29:AH$1000, 1 + (ROWS($C$51:C51)-1)*15)</f>
        <v>0.105721462450132</v>
      </c>
      <c r="D51" s="1" t="n">
        <f aca="false">INDEX(overall!BA$29:BA$1000, 1 + (ROWS($D$51:D51)-1)*15)</f>
        <v>0.145562764278091</v>
      </c>
      <c r="E51" s="1" t="n">
        <f aca="false">INDEX(overall!AH$106:AH$1000, 1 + (ROWS($E$51:E51)-1)*15)</f>
        <v>5.14777036116471</v>
      </c>
      <c r="F51" s="1" t="n">
        <f aca="false">INDEX(overall!BA$106:BA$1000, 1 + (ROWS($F$51:F51)-1)*15)</f>
        <v>0.732666182175362</v>
      </c>
    </row>
    <row r="52" customFormat="false" ht="12.8" hidden="false" customHeight="false" outlineLevel="0" collapsed="false">
      <c r="A52" s="1" t="n">
        <v>8</v>
      </c>
      <c r="B52" s="1" t="n">
        <f aca="false">INDEX(overall!O$29:O$1000, 1 + (ROWS($B$51:B52)-1)*15)</f>
        <v>3.99841634508364</v>
      </c>
      <c r="C52" s="1" t="n">
        <f aca="false">INDEX(overall!AH$29:AH$1000, 1 + (ROWS($C$51:C52)-1)*15)</f>
        <v>0.344839250411272</v>
      </c>
      <c r="D52" s="1" t="n">
        <f aca="false">INDEX(overall!BA$29:BA$1000, 1 + (ROWS($D$51:D52)-1)*15)</f>
        <v>0.238362342697261</v>
      </c>
      <c r="E52" s="1" t="n">
        <f aca="false">INDEX(overall!AH$106:AH$1000, 1 + (ROWS($E$51:E52)-1)*15)</f>
        <v>1.49558753038344</v>
      </c>
      <c r="F52" s="1" t="n">
        <f aca="false">INDEX(overall!BA$106:BA$1000, 1 + (ROWS($F$51:F52)-1)*15)</f>
        <v>0.835302392733514</v>
      </c>
    </row>
    <row r="53" customFormat="false" ht="12.8" hidden="false" customHeight="false" outlineLevel="0" collapsed="false">
      <c r="A53" s="1" t="n">
        <v>16</v>
      </c>
      <c r="B53" s="1" t="n">
        <f aca="false">INDEX(overall!O$29:O$1000, 1 + (ROWS($B$51:B53)-1)*15)</f>
        <v>3.88821138254131</v>
      </c>
      <c r="C53" s="1" t="n">
        <f aca="false">INDEX(overall!AH$29:AH$1000, 1 + (ROWS($C$51:C53)-1)*15)</f>
        <v>0.522388602502009</v>
      </c>
      <c r="D53" s="1" t="n">
        <f aca="false">INDEX(overall!BA$29:BA$1000, 1 + (ROWS($D$51:D53)-1)*15)</f>
        <v>0.136996810004236</v>
      </c>
      <c r="E53" s="1" t="n">
        <f aca="false">INDEX(overall!AH$106:AH$1000, 1 + (ROWS($E$51:E53)-1)*15)</f>
        <v>0.353945201291454</v>
      </c>
      <c r="F53" s="1" t="n">
        <f aca="false">INDEX(overall!BA$106:BA$1000, 1 + (ROWS($F$51:F53)-1)*15)</f>
        <v>2.1084234263415</v>
      </c>
    </row>
    <row r="54" customFormat="false" ht="12.8" hidden="false" customHeight="false" outlineLevel="0" collapsed="false">
      <c r="A54" s="1" t="n">
        <v>32</v>
      </c>
      <c r="B54" s="1" t="n">
        <f aca="false">INDEX(overall!O$29:O$1000, 1 + (ROWS($B$51:B54)-1)*15)</f>
        <v>6.50228448303152</v>
      </c>
      <c r="C54" s="1" t="n">
        <f aca="false">INDEX(overall!AH$29:AH$1000, 1 + (ROWS($C$51:C54)-1)*15)</f>
        <v>0.138309421386398</v>
      </c>
      <c r="D54" s="1" t="n">
        <f aca="false">INDEX(overall!BA$29:BA$1000, 1 + (ROWS($D$51:D54)-1)*15)</f>
        <v>0.79029804365965</v>
      </c>
      <c r="E54" s="1" t="n">
        <f aca="false">INDEX(overall!AH$106:AH$1000, 1 + (ROWS($E$51:E54)-1)*15)</f>
        <v>8.38098359763893</v>
      </c>
      <c r="F54" s="1" t="n">
        <f aca="false">INDEX(overall!BA$106:BA$1000, 1 + (ROWS($F$51:F54)-1)*15)</f>
        <v>4.27697045132752</v>
      </c>
    </row>
    <row r="55" customFormat="false" ht="12.8" hidden="false" customHeight="false" outlineLevel="0" collapsed="false">
      <c r="A55" s="1" t="n">
        <v>64</v>
      </c>
      <c r="B55" s="1" t="n">
        <f aca="false">INDEX(overall!O$29:O$1000, 1 + (ROWS($B$51:B55)-1)*15)</f>
        <v>3.25361298304959</v>
      </c>
      <c r="C55" s="1" t="n">
        <f aca="false">INDEX(overall!AH$29:AH$1000, 1 + (ROWS($C$51:C55)-1)*15)</f>
        <v>0.87786686958026</v>
      </c>
      <c r="D55" s="1" t="n">
        <f aca="false">INDEX(overall!BA$29:BA$1000, 1 + (ROWS($D$51:D55)-1)*15)</f>
        <v>0.0498534368867225</v>
      </c>
      <c r="E55" s="1" t="n">
        <f aca="false">INDEX(overall!AH$106:AH$1000, 1 + (ROWS($E$51:E55)-1)*15)</f>
        <v>0.206050122551555</v>
      </c>
      <c r="F55" s="1" t="n">
        <f aca="false">INDEX(overall!BA$106:BA$1000, 1 + (ROWS($F$51:F55)-1)*15)</f>
        <v>7.85158585282858</v>
      </c>
    </row>
  </sheetData>
  <mergeCells count="5">
    <mergeCell ref="A1:F1"/>
    <mergeCell ref="A13:F13"/>
    <mergeCell ref="A25:F25"/>
    <mergeCell ref="A37:F37"/>
    <mergeCell ref="A49:F49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415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2025-11-07T16:24:08Z</dcterms:created>
  <dc:creator/>
  <dc:description/>
  <dc:language>en-US</dc:language>
  <cp:lastModifiedBy/>
  <cp:lastPrinted>2025-11-18T15:43:45Z</cp:lastPrinted>
  <dcterms:modified xsi:type="dcterms:W3CDTF">2025-11-19T16:58:13Z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