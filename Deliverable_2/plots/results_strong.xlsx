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4.xml" ContentType="application/vnd.openxmlformats-officedocument.spreadsheetml.worksheet+xml"/>
  <Override PartName="/xl/worksheets/sheet13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12"/>
  </bookViews>
  <sheets>
    <sheet name="spmv_1" sheetId="1" state="visible" r:id="rId3"/>
    <sheet name="spmv_2" sheetId="2" state="visible" r:id="rId4"/>
    <sheet name="spmv_4" sheetId="3" state="visible" r:id="rId5"/>
    <sheet name="spmv_8" sheetId="4" state="visible" r:id="rId6"/>
    <sheet name="spmv_1x16" sheetId="5" state="visible" r:id="rId7"/>
    <sheet name="spmv_2x8" sheetId="6" state="visible" r:id="rId8"/>
    <sheet name="spmv_2x16" sheetId="7" state="visible" r:id="rId9"/>
    <sheet name="spmv_4x8" sheetId="8" state="visible" r:id="rId10"/>
    <sheet name="spmv_4x16" sheetId="9" state="visible" r:id="rId11"/>
    <sheet name="spmv_8x8" sheetId="10" state="visible" r:id="rId12"/>
    <sheet name="spmv_8x16" sheetId="11" state="visible" r:id="rId13"/>
    <sheet name="spmv_16x8" sheetId="12" state="visible" r:id="rId14"/>
    <sheet name="Sheet13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<sst xmlns="http://schemas.openxmlformats.org/spreadsheetml/2006/main" count="3519" uniqueCount="46">
  <si>
    <t xml:space="preserve">Matrix</t>
  </si>
  <si>
    <t xml:space="preserve">Rank</t>
  </si>
  <si>
    <t xml:space="preserve">Local NNZ</t>
  </si>
  <si>
    <t xml:space="preserve">GFLOPS</t>
  </si>
  <si>
    <t xml:space="preserve">Iter_0</t>
  </si>
  <si>
    <t xml:space="preserve">Iter_1</t>
  </si>
  <si>
    <t xml:space="preserve">Iter_2</t>
  </si>
  <si>
    <t xml:space="preserve">Iter_3</t>
  </si>
  <si>
    <t xml:space="preserve">Iter_4</t>
  </si>
  <si>
    <t xml:space="preserve">Iter_5</t>
  </si>
  <si>
    <t xml:space="preserve">Iter_6</t>
  </si>
  <si>
    <t xml:space="preserve">Iter_7</t>
  </si>
  <si>
    <t xml:space="preserve">Iter_8</t>
  </si>
  <si>
    <t xml:space="preserve">Iter_9</t>
  </si>
  <si>
    <t xml:space="preserve">90 percentile</t>
  </si>
  <si>
    <t xml:space="preserve">bmwcra_1.mtx</t>
  </si>
  <si>
    <t xml:space="preserve">ML_Geer.mtx</t>
  </si>
  <si>
    <t xml:space="preserve">msdoor.mtx</t>
  </si>
  <si>
    <t xml:space="preserve">nlpkkt240.mtx</t>
  </si>
  <si>
    <t xml:space="preserve">Pflow_742.mtx</t>
  </si>
  <si>
    <t xml:space="preserve">Speedup</t>
  </si>
  <si>
    <t xml:space="preserve">Efficiency</t>
  </si>
  <si>
    <t xml:space="preserve">#PROC</t>
  </si>
  <si>
    <t xml:space="preserve">MAX NNZ</t>
  </si>
  <si>
    <t xml:space="preserve">MIN NNZ</t>
  </si>
  <si>
    <t xml:space="preserve">AVG NNZ</t>
  </si>
  <si>
    <t xml:space="preserve">IMBALANCE</t>
  </si>
  <si>
    <t xml:space="preserve">MAX Speedup </t>
  </si>
  <si>
    <t xml:space="preserve">MIN Speedup</t>
  </si>
  <si>
    <t xml:space="preserve">num proc</t>
  </si>
  <si>
    <t xml:space="preserve">bmwcra_1</t>
  </si>
  <si>
    <t xml:space="preserve">ML_Geer</t>
  </si>
  <si>
    <t xml:space="preserve">msdoor</t>
  </si>
  <si>
    <t xml:space="preserve">nlpkkt240</t>
  </si>
  <si>
    <t xml:space="preserve">Pflow_742</t>
  </si>
  <si>
    <t xml:space="preserve">Theoretical </t>
  </si>
  <si>
    <t xml:space="preserve">1x16</t>
  </si>
  <si>
    <t xml:space="preserve">2x8</t>
  </si>
  <si>
    <t xml:space="preserve">2x16</t>
  </si>
  <si>
    <t xml:space="preserve">4x8</t>
  </si>
  <si>
    <t xml:space="preserve">Distributed</t>
  </si>
  <si>
    <t xml:space="preserve">Dense</t>
  </si>
  <si>
    <t xml:space="preserve">4x16</t>
  </si>
  <si>
    <t xml:space="preserve">8x8</t>
  </si>
  <si>
    <t xml:space="preserve">8x16</t>
  </si>
  <si>
    <t xml:space="preserve">16x8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</si>
</sst>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000000"/>
    <numFmt numFmtId="166" formatCode="0.00%"/>
    <numFmt numFmtId="167" formatCode="@"/>
    <numFmt numFmtId="168" formatCode="#,##0_);\(#,##0\)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color theme="1"/>
      <name val="Calibri"/>
      <family val="2"/>
      <charset val="1"/>
    </font>
    <font>
      <sz val="13"/>
      <color rgb="FF000000"/>
      <name val="Arial"/>
      <family val="2"/>
    </font>
    <font>
      <sz val="11"/>
      <color rgb="FF000000"/>
      <name val="Arial"/>
      <family val="2"/>
    </font>
    <font>
      <sz val="10"/>
      <color rgb="FF000000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8F2A1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E0021"/>
      <rgbColor rgb="FF008000"/>
      <rgbColor rgb="FF000080"/>
      <rgbColor rgb="FF808000"/>
      <rgbColor rgb="FF800080"/>
      <rgbColor rgb="FF008080"/>
      <rgbColor rgb="FFB3B3B3"/>
      <rgbColor rgb="F3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E8F2A1"/>
      <rgbColor rgb="FF83CAFF"/>
      <rgbColor rgb="FFFF99CC"/>
      <rgbColor rgb="FFCC99FF"/>
      <rgbColor rgb="FFFFCC99"/>
      <rgbColor rgb="FF3366FF"/>
      <rgbColor rgb="FF33CCCC"/>
      <rgbColor rgb="FF99CC00"/>
      <rgbColor rgb="FFFFD320"/>
      <rgbColor rgb="FFFF9900"/>
      <rgbColor rgb="FFFF420E"/>
      <rgbColor rgb="FF666699"/>
      <rgbColor rgb="FF969696"/>
      <rgbColor rgb="FF003366"/>
      <rgbColor rgb="FF579D1C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solidFill>
                  <a:srgbClr val="000000"/>
                </a:solidFill>
                <a:uFillTx/>
                <a:latin typeface="Arial"/>
              </a:rPr>
              <a:t>Speedup</a:t>
            </a:r>
          </a:p>
          <a:p>
            <a:pPr>
              <a:defRPr sz="1300" b="0" u="none" strike="noStrike">
                <a:uFillTx/>
                <a:latin typeface="Arial"/>
              </a:defRPr>
            </a:pPr>
            <a:r>
              <a:rPr sz="1100" b="0" u="none" strike="noStrike">
                <a:solidFill>
                  <a:srgbClr val="000000"/>
                </a:solidFill>
                <a:uFillTx/>
                <a:latin typeface="Arial"/>
              </a:rPr>
              <a:t/>
            </a:r>
          </a:p>
          <a:p>
            <a:pPr>
              <a:defRPr sz="1300" b="0" u="none" strike="noStrike">
                <a:uFillTx/>
                <a:latin typeface="Arial"/>
              </a:defRPr>
            </a:pPr>
            <a:r>
              <a:rPr sz="1100" b="0" u="none" strike="noStrike">
                <a:solidFill>
                  <a:srgbClr val="000000"/>
                </a:solidFill>
                <a:uFillTx/>
                <a:latin typeface="Arial"/>
              </a:rPr>
              <a:t>Dense configuration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9688960085436"/>
          <c:y val="0.284286903770667"/>
          <c:w val="0.57422240021359"/>
          <c:h val="0.554894730581658"/>
        </c:manualLayout>
      </c:layout>
      <c:lineChart>
        <c:grouping val="standard"/>
        <c:varyColors val="0"/>
        <c:ser>
          <c:idx val="0"/>
          <c:order val="0"/>
          <c:tx>
            <c:strRef>
              <c:f>Sheet13!$O$1</c:f>
              <c:strCache>
                <c:ptCount val="1"/>
                <c:pt idx="0">
                  <c:v>bmwcra_1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Sheet13!$N$2:$N$8</c:f>
              <c:strCache>
                <c:ptCount val="7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  <c:pt idx="6">
                  <c:v>128</c:v>
                </c:pt>
              </c:strCache>
            </c:strRef>
          </c:cat>
          <c:val>
            <c:numRef>
              <c:f>Sheet13!$O$2:$O$8</c:f>
              <c:numCache>
                <c:formatCode>0.00000000</c:formatCode>
                <c:ptCount val="7"/>
                <c:pt idx="0">
                  <c:v>2.22443957414495</c:v>
                </c:pt>
                <c:pt idx="1">
                  <c:v>4.62697222111497</c:v>
                </c:pt>
                <c:pt idx="2">
                  <c:v>6.38596332274275</c:v>
                </c:pt>
                <c:pt idx="3">
                  <c:v>11.4102969143128</c:v>
                </c:pt>
                <c:pt idx="4">
                  <c:v>7.53455590927924</c:v>
                </c:pt>
                <c:pt idx="5">
                  <c:v>6.66865045631934</c:v>
                </c:pt>
                <c:pt idx="6">
                  <c:v>5.2706343998207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Sheet13!$P$1</c:f>
              <c:strCache>
                <c:ptCount val="1"/>
                <c:pt idx="0">
                  <c:v>ML_Geer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triangle"/>
            <c:size val="8"/>
            <c:spPr>
              <a:solidFill>
                <a:srgbClr val="ffd32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Sheet13!$N$2:$N$8</c:f>
              <c:strCache>
                <c:ptCount val="7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  <c:pt idx="6">
                  <c:v>128</c:v>
                </c:pt>
              </c:strCache>
            </c:strRef>
          </c:cat>
          <c:val>
            <c:numRef>
              <c:f>Sheet13!$P$2:$P$8</c:f>
              <c:numCache>
                <c:formatCode>0.00000000</c:formatCode>
                <c:ptCount val="7"/>
                <c:pt idx="0">
                  <c:v>2.1878736490374</c:v>
                </c:pt>
                <c:pt idx="1">
                  <c:v>4.10967742244383</c:v>
                </c:pt>
                <c:pt idx="2">
                  <c:v>5.92253241376383</c:v>
                </c:pt>
                <c:pt idx="3">
                  <c:v>10.0532721335726</c:v>
                </c:pt>
                <c:pt idx="4">
                  <c:v>8.02461752390682</c:v>
                </c:pt>
                <c:pt idx="5">
                  <c:v>6.68589882988214</c:v>
                </c:pt>
                <c:pt idx="6">
                  <c:v>8.90590202298243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Sheet13!$Q$1</c:f>
              <c:strCache>
                <c:ptCount val="1"/>
                <c:pt idx="0">
                  <c:v>msdoor</c:v>
                </c:pt>
              </c:strCache>
            </c:strRef>
          </c:tx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triangle"/>
            <c:size val="8"/>
            <c:spPr>
              <a:solidFill>
                <a:srgbClr val="579d1c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Sheet13!$N$2:$N$8</c:f>
              <c:strCache>
                <c:ptCount val="7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  <c:pt idx="6">
                  <c:v>128</c:v>
                </c:pt>
              </c:strCache>
            </c:strRef>
          </c:cat>
          <c:val>
            <c:numRef>
              <c:f>Sheet13!$Q$2:$Q$8</c:f>
              <c:numCache>
                <c:formatCode>0.00000000</c:formatCode>
                <c:ptCount val="7"/>
                <c:pt idx="0">
                  <c:v>2.13691595839035</c:v>
                </c:pt>
                <c:pt idx="1">
                  <c:v>4.20002585112758</c:v>
                </c:pt>
                <c:pt idx="2">
                  <c:v>4.97027308653408</c:v>
                </c:pt>
                <c:pt idx="3">
                  <c:v>7.11843226390198</c:v>
                </c:pt>
                <c:pt idx="4">
                  <c:v>6.58372984273629</c:v>
                </c:pt>
                <c:pt idx="5">
                  <c:v>4.36778793140474</c:v>
                </c:pt>
                <c:pt idx="6">
                  <c:v>3.5860228622631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Sheet13!$R$1</c:f>
              <c:strCache>
                <c:ptCount val="1"/>
                <c:pt idx="0">
                  <c:v>nlpkkt240</c:v>
                </c:pt>
              </c:strCache>
            </c:strRef>
          </c:tx>
          <c:spPr>
            <a:solidFill>
              <a:srgbClr val="7e0021"/>
            </a:solidFill>
            <a:ln w="28800">
              <a:solidFill>
                <a:srgbClr val="7e0021"/>
              </a:solidFill>
              <a:round/>
            </a:ln>
          </c:spPr>
          <c:marker>
            <c:symbol val="triangle"/>
            <c:size val="8"/>
            <c:spPr>
              <a:solidFill>
                <a:srgbClr val="7e0021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Sheet13!$N$2:$N$8</c:f>
              <c:strCache>
                <c:ptCount val="7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  <c:pt idx="6">
                  <c:v>128</c:v>
                </c:pt>
              </c:strCache>
            </c:strRef>
          </c:cat>
          <c:val>
            <c:numRef>
              <c:f>Sheet13!$R$2:$R$8</c:f>
              <c:numCache>
                <c:formatCode>0.00000000</c:formatCode>
                <c:ptCount val="7"/>
                <c:pt idx="0">
                  <c:v>1.89365027361533</c:v>
                </c:pt>
                <c:pt idx="1">
                  <c:v>3.00667071512143</c:v>
                </c:pt>
                <c:pt idx="2">
                  <c:v>3.21704223369461</c:v>
                </c:pt>
                <c:pt idx="3">
                  <c:v>4.56954599475706</c:v>
                </c:pt>
                <c:pt idx="4">
                  <c:v>2.45173835246441</c:v>
                </c:pt>
                <c:pt idx="5">
                  <c:v>2.87028865707347</c:v>
                </c:pt>
                <c:pt idx="6">
                  <c:v>3.27592698714147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Sheet13!$S$1</c:f>
              <c:strCache>
                <c:ptCount val="1"/>
                <c:pt idx="0">
                  <c:v>Pflow_742</c:v>
                </c:pt>
              </c:strCache>
            </c:strRef>
          </c:tx>
          <c:spPr>
            <a:solidFill>
              <a:srgbClr val="83caff"/>
            </a:solidFill>
            <a:ln w="28800">
              <a:solidFill>
                <a:srgbClr val="83caff"/>
              </a:solidFill>
              <a:round/>
            </a:ln>
          </c:spPr>
          <c:marker>
            <c:symbol val="triangle"/>
            <c:size val="8"/>
            <c:spPr>
              <a:solidFill>
                <a:srgbClr val="83caff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Sheet13!$N$2:$N$8</c:f>
              <c:strCache>
                <c:ptCount val="7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  <c:pt idx="6">
                  <c:v>128</c:v>
                </c:pt>
              </c:strCache>
            </c:strRef>
          </c:cat>
          <c:val>
            <c:numRef>
              <c:f>Sheet13!$S$2:$S$8</c:f>
              <c:numCache>
                <c:formatCode>General</c:formatCode>
                <c:ptCount val="7"/>
                <c:pt idx="0">
                  <c:v>2.84187954717803</c:v>
                </c:pt>
                <c:pt idx="1">
                  <c:v>5.22114601226045</c:v>
                </c:pt>
                <c:pt idx="2">
                  <c:v>7.22124403008274</c:v>
                </c:pt>
                <c:pt idx="3">
                  <c:v>11.8553171961688</c:v>
                </c:pt>
                <c:pt idx="4">
                  <c:v>6.63496958923842</c:v>
                </c:pt>
                <c:pt idx="5">
                  <c:v>11.9938256617041</c:v>
                </c:pt>
                <c:pt idx="6">
                  <c:v>5.18745891912083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Sheet13!$T$1</c:f>
              <c:strCache>
                <c:ptCount val="1"/>
                <c:pt idx="0">
                  <c:v>Theoretical </c:v>
                </c:pt>
              </c:strCache>
            </c:strRef>
          </c:tx>
          <c:spPr>
            <a:solidFill>
              <a:srgbClr val="808080">
                <a:alpha val="95000"/>
              </a:srgbClr>
            </a:solidFill>
            <a:ln w="9000">
              <a:solidFill>
                <a:srgbClr val="808080">
                  <a:alpha val="95000"/>
                </a:srgbClr>
              </a:solidFill>
              <a:prstDash val="sysDash"/>
              <a:round/>
            </a:ln>
          </c:spPr>
          <c:marker>
            <c:symbol val="square"/>
            <c:size val="8"/>
            <c:spPr>
              <a:solidFill>
                <a:srgbClr val="80808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900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Sheet13!$N$2:$N$8</c:f>
              <c:strCache>
                <c:ptCount val="7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  <c:pt idx="6">
                  <c:v>128</c:v>
                </c:pt>
              </c:strCache>
            </c:strRef>
          </c:cat>
          <c:val>
            <c:numRef>
              <c:f>Sheet13!$T$2:$T$8</c:f>
              <c:numCache>
                <c:formatCode>General</c:formatCode>
                <c:ptCount val="7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  <c:pt idx="6">
                  <c:v>128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4997663"/>
        <c:axId val="71003688"/>
      </c:lineChart>
      <c:catAx>
        <c:axId val="499766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solidFill>
                      <a:srgbClr val="000000"/>
                    </a:solidFill>
                    <a:uFillTx/>
                    <a:latin typeface="Arial"/>
                  </a:rPr>
                  <a:t>Number of processes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71003688"/>
        <c:crosses val="autoZero"/>
        <c:auto val="1"/>
        <c:lblAlgn val="ctr"/>
        <c:lblOffset val="100"/>
        <c:noMultiLvlLbl val="0"/>
      </c:catAx>
      <c:valAx>
        <c:axId val="71003688"/>
        <c:scaling>
          <c:orientation val="minMax"/>
          <c:max val="16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solidFill>
                      <a:srgbClr val="000000"/>
                    </a:solidFill>
                    <a:uFillTx/>
                    <a:latin typeface="Arial"/>
                  </a:rPr>
                  <a:t>Speedup (T1/TP)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@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4997663"/>
        <c:crossesAt val="0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solidFill>
                  <a:srgbClr val="000000"/>
                </a:solidFill>
                <a:uFillTx/>
                <a:latin typeface="Arial"/>
              </a:rPr>
              <a:t>Speedup</a:t>
            </a:r>
          </a:p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solidFill>
                  <a:srgbClr val="000000"/>
                </a:solidFill>
                <a:uFillTx/>
                <a:latin typeface="Arial"/>
              </a:rPr>
              <a:t/>
            </a:r>
          </a:p>
          <a:p>
            <a:pPr>
              <a:defRPr sz="1300" b="0" u="none" strike="noStrike">
                <a:uFillTx/>
                <a:latin typeface="Arial"/>
              </a:defRPr>
            </a:pPr>
            <a:r>
              <a:rPr sz="1100" b="0" u="none" strike="noStrike">
                <a:solidFill>
                  <a:srgbClr val="000000"/>
                </a:solidFill>
                <a:uFillTx/>
                <a:latin typeface="Arial"/>
              </a:rPr>
              <a:t>Distributed Configuration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686474858833"/>
          <c:y val="0.251530796013927"/>
          <c:w val="0.565340145200323"/>
          <c:h val="0.532837075279145"/>
        </c:manualLayout>
      </c:layout>
      <c:lineChart>
        <c:grouping val="standard"/>
        <c:varyColors val="0"/>
        <c:ser>
          <c:idx val="0"/>
          <c:order val="0"/>
          <c:tx>
            <c:strRef>
              <c:f>Sheet13!$O$24</c:f>
              <c:strCache>
                <c:ptCount val="1"/>
                <c:pt idx="0">
                  <c:v>bmwcra_1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Sheet13!$N$25:$N$31</c:f>
              <c:strCache>
                <c:ptCount val="7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  <c:pt idx="6">
                  <c:v>128</c:v>
                </c:pt>
              </c:strCache>
            </c:strRef>
          </c:cat>
          <c:val>
            <c:numRef>
              <c:f>Sheet13!$O$25:$O$31</c:f>
              <c:numCache>
                <c:formatCode>0.00000000</c:formatCode>
                <c:ptCount val="7"/>
                <c:pt idx="0">
                  <c:v>2.22443957414495</c:v>
                </c:pt>
                <c:pt idx="1">
                  <c:v>4.62697222111497</c:v>
                </c:pt>
                <c:pt idx="2">
                  <c:v>6.38596332274275</c:v>
                </c:pt>
                <c:pt idx="3">
                  <c:v>9.11747778251533</c:v>
                </c:pt>
                <c:pt idx="4">
                  <c:v>7.66470923086534</c:v>
                </c:pt>
                <c:pt idx="5">
                  <c:v>4.62934677588117</c:v>
                </c:pt>
                <c:pt idx="6">
                  <c:v>5.80074777074911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Sheet13!$P$24</c:f>
              <c:strCache>
                <c:ptCount val="1"/>
                <c:pt idx="0">
                  <c:v>ML_Geer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triangle"/>
            <c:size val="8"/>
            <c:spPr>
              <a:solidFill>
                <a:srgbClr val="ffd32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Sheet13!$N$25:$N$31</c:f>
              <c:strCache>
                <c:ptCount val="7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  <c:pt idx="6">
                  <c:v>128</c:v>
                </c:pt>
              </c:strCache>
            </c:strRef>
          </c:cat>
          <c:val>
            <c:numRef>
              <c:f>Sheet13!$P$25:$P$31</c:f>
              <c:numCache>
                <c:formatCode>0.00000000</c:formatCode>
                <c:ptCount val="7"/>
                <c:pt idx="0">
                  <c:v>2.1878736490374</c:v>
                </c:pt>
                <c:pt idx="1">
                  <c:v>4.10967742244383</c:v>
                </c:pt>
                <c:pt idx="2">
                  <c:v>5.92253241376383</c:v>
                </c:pt>
                <c:pt idx="3">
                  <c:v>6.94270225552735</c:v>
                </c:pt>
                <c:pt idx="4">
                  <c:v>7.66470923086534</c:v>
                </c:pt>
                <c:pt idx="5">
                  <c:v>4.62934677588117</c:v>
                </c:pt>
                <c:pt idx="6">
                  <c:v>12.9426551079659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Sheet13!$Q$24</c:f>
              <c:strCache>
                <c:ptCount val="1"/>
                <c:pt idx="0">
                  <c:v>msdoor</c:v>
                </c:pt>
              </c:strCache>
            </c:strRef>
          </c:tx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triangle"/>
            <c:size val="8"/>
            <c:spPr>
              <a:solidFill>
                <a:srgbClr val="579d1c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Sheet13!$N$25:$N$31</c:f>
              <c:strCache>
                <c:ptCount val="7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  <c:pt idx="6">
                  <c:v>128</c:v>
                </c:pt>
              </c:strCache>
            </c:strRef>
          </c:cat>
          <c:val>
            <c:numRef>
              <c:f>Sheet13!$Q$25:$Q$31</c:f>
              <c:numCache>
                <c:formatCode>0.00000000</c:formatCode>
                <c:ptCount val="7"/>
                <c:pt idx="0">
                  <c:v>2.13691595839035</c:v>
                </c:pt>
                <c:pt idx="1">
                  <c:v>4.20002585112758</c:v>
                </c:pt>
                <c:pt idx="2">
                  <c:v>4.97027308653408</c:v>
                </c:pt>
                <c:pt idx="3">
                  <c:v>4.70767841804204</c:v>
                </c:pt>
                <c:pt idx="4">
                  <c:v>5.62664737371453</c:v>
                </c:pt>
                <c:pt idx="5">
                  <c:v>3.30072391497882</c:v>
                </c:pt>
                <c:pt idx="6">
                  <c:v>5.55046992088078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Sheet13!$R$24</c:f>
              <c:strCache>
                <c:ptCount val="1"/>
                <c:pt idx="0">
                  <c:v>nlpkkt240</c:v>
                </c:pt>
              </c:strCache>
            </c:strRef>
          </c:tx>
          <c:spPr>
            <a:solidFill>
              <a:srgbClr val="7e0021"/>
            </a:solidFill>
            <a:ln w="28800">
              <a:solidFill>
                <a:srgbClr val="7e0021"/>
              </a:solidFill>
              <a:round/>
            </a:ln>
          </c:spPr>
          <c:marker>
            <c:symbol val="triangle"/>
            <c:size val="8"/>
            <c:spPr>
              <a:solidFill>
                <a:srgbClr val="7e0021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Sheet13!$N$25:$N$31</c:f>
              <c:strCache>
                <c:ptCount val="7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  <c:pt idx="6">
                  <c:v>128</c:v>
                </c:pt>
              </c:strCache>
            </c:strRef>
          </c:cat>
          <c:val>
            <c:numRef>
              <c:f>Sheet13!$R$25:$R$31</c:f>
              <c:numCache>
                <c:formatCode>0.00000000</c:formatCode>
                <c:ptCount val="7"/>
                <c:pt idx="0">
                  <c:v>1.89365027361533</c:v>
                </c:pt>
                <c:pt idx="1">
                  <c:v>3.00667071512143</c:v>
                </c:pt>
                <c:pt idx="2">
                  <c:v>3.21704223369461</c:v>
                </c:pt>
                <c:pt idx="3">
                  <c:v>2.61176591746573</c:v>
                </c:pt>
                <c:pt idx="4">
                  <c:v>3.00081607631945</c:v>
                </c:pt>
                <c:pt idx="5">
                  <c:v>3.85678624510524</c:v>
                </c:pt>
                <c:pt idx="6">
                  <c:v>3.87915034356113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Sheet13!$S$24</c:f>
              <c:strCache>
                <c:ptCount val="1"/>
                <c:pt idx="0">
                  <c:v>Pflow_742</c:v>
                </c:pt>
              </c:strCache>
            </c:strRef>
          </c:tx>
          <c:spPr>
            <a:solidFill>
              <a:srgbClr val="83caff"/>
            </a:solidFill>
            <a:ln w="28800">
              <a:solidFill>
                <a:srgbClr val="83caff"/>
              </a:solidFill>
              <a:round/>
            </a:ln>
          </c:spPr>
          <c:marker>
            <c:symbol val="triangle"/>
            <c:size val="8"/>
            <c:spPr>
              <a:solidFill>
                <a:srgbClr val="83caff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Sheet13!$N$25:$N$31</c:f>
              <c:strCache>
                <c:ptCount val="7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  <c:pt idx="6">
                  <c:v>128</c:v>
                </c:pt>
              </c:strCache>
            </c:strRef>
          </c:cat>
          <c:val>
            <c:numRef>
              <c:f>Sheet13!$S$25:$S$31</c:f>
              <c:numCache>
                <c:formatCode>General</c:formatCode>
                <c:ptCount val="7"/>
                <c:pt idx="0">
                  <c:v>2.84187954717803</c:v>
                </c:pt>
                <c:pt idx="1">
                  <c:v>5.22114601226045</c:v>
                </c:pt>
                <c:pt idx="2">
                  <c:v>7.22124403008274</c:v>
                </c:pt>
                <c:pt idx="3">
                  <c:v>7.10326801215249</c:v>
                </c:pt>
                <c:pt idx="4">
                  <c:v>7.40797001727364</c:v>
                </c:pt>
                <c:pt idx="5">
                  <c:v>12.7973765773141</c:v>
                </c:pt>
                <c:pt idx="6">
                  <c:v>8.83236687916106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Sheet13!$T$24</c:f>
              <c:strCache>
                <c:ptCount val="1"/>
                <c:pt idx="0">
                  <c:v>Theoretical </c:v>
                </c:pt>
              </c:strCache>
            </c:strRef>
          </c:tx>
          <c:spPr>
            <a:solidFill>
              <a:srgbClr val="808080">
                <a:alpha val="95000"/>
              </a:srgbClr>
            </a:solidFill>
            <a:ln w="9000">
              <a:solidFill>
                <a:srgbClr val="808080">
                  <a:alpha val="95000"/>
                </a:srgbClr>
              </a:solidFill>
              <a:prstDash val="sysDash"/>
              <a:round/>
            </a:ln>
          </c:spPr>
          <c:marker>
            <c:symbol val="square"/>
            <c:size val="8"/>
            <c:spPr>
              <a:solidFill>
                <a:srgbClr val="80808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900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Sheet13!$N$25:$N$31</c:f>
              <c:strCache>
                <c:ptCount val="7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  <c:pt idx="6">
                  <c:v>128</c:v>
                </c:pt>
              </c:strCache>
            </c:strRef>
          </c:cat>
          <c:val>
            <c:numRef>
              <c:f>Sheet13!$T$25:$T$31</c:f>
              <c:numCache>
                <c:formatCode>General</c:formatCode>
                <c:ptCount val="7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  <c:pt idx="6">
                  <c:v>128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89778286"/>
        <c:axId val="52157435"/>
      </c:lineChart>
      <c:catAx>
        <c:axId val="8977828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solidFill>
                      <a:srgbClr val="000000"/>
                    </a:solidFill>
                    <a:uFillTx/>
                    <a:latin typeface="Arial"/>
                  </a:rPr>
                  <a:t>Number of Processes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52157435"/>
        <c:crosses val="autoZero"/>
        <c:auto val="1"/>
        <c:lblAlgn val="ctr"/>
        <c:lblOffset val="100"/>
        <c:noMultiLvlLbl val="0"/>
      </c:catAx>
      <c:valAx>
        <c:axId val="52157435"/>
        <c:scaling>
          <c:orientation val="minMax"/>
          <c:max val="16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solidFill>
                      <a:srgbClr val="000000"/>
                    </a:solidFill>
                    <a:uFillTx/>
                    <a:latin typeface="Arial"/>
                  </a:rPr>
                  <a:t>Speedup (T1/TP)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_);\(#,##0\)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89778286"/>
        <c:crossesAt val="0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solidFill>
                  <a:srgbClr val="000000"/>
                </a:solidFill>
                <a:uFillTx/>
                <a:latin typeface="Arial"/>
              </a:rPr>
              <a:t>ML_Geer
</a:t>
            </a:r>
          </a:p>
          <a:p>
            <a:pPr>
              <a:defRPr sz="1300" b="0" u="none" strike="noStrike">
                <a:uFillTx/>
                <a:latin typeface="Arial"/>
              </a:defRPr>
            </a:pPr>
            <a:r>
              <a:rPr sz="1100" b="0" u="none" strike="noStrike">
                <a:solidFill>
                  <a:srgbClr val="000000"/>
                </a:solidFill>
                <a:uFillTx/>
                <a:latin typeface="Arial"/>
              </a:rPr>
              <a:t>Dense vs Distributed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Sheet13!$O$41</c:f>
              <c:strCache>
                <c:ptCount val="1"/>
                <c:pt idx="0">
                  <c:v>Distributed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Sheet13!$N$42:$N$45</c:f>
              <c:strCache>
                <c:ptCount val="4"/>
                <c:pt idx="0">
                  <c:v>16</c:v>
                </c:pt>
                <c:pt idx="1">
                  <c:v>32</c:v>
                </c:pt>
                <c:pt idx="2">
                  <c:v>64</c:v>
                </c:pt>
                <c:pt idx="3">
                  <c:v>128</c:v>
                </c:pt>
              </c:strCache>
            </c:strRef>
          </c:cat>
          <c:val>
            <c:numRef>
              <c:f>Sheet13!$O$42:$O$45</c:f>
              <c:numCache>
                <c:formatCode>0.00000000</c:formatCode>
                <c:ptCount val="4"/>
                <c:pt idx="0">
                  <c:v>6.94270225552735</c:v>
                </c:pt>
                <c:pt idx="1">
                  <c:v>7.66470923086534</c:v>
                </c:pt>
                <c:pt idx="2">
                  <c:v>4.62934677588117</c:v>
                </c:pt>
                <c:pt idx="3">
                  <c:v>12.9426551079659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Sheet13!$P$41</c:f>
              <c:strCache>
                <c:ptCount val="1"/>
                <c:pt idx="0">
                  <c:v>Dense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triangle"/>
            <c:size val="8"/>
            <c:spPr>
              <a:solidFill>
                <a:srgbClr val="ffd32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Sheet13!$N$42:$N$45</c:f>
              <c:strCache>
                <c:ptCount val="4"/>
                <c:pt idx="0">
                  <c:v>16</c:v>
                </c:pt>
                <c:pt idx="1">
                  <c:v>32</c:v>
                </c:pt>
                <c:pt idx="2">
                  <c:v>64</c:v>
                </c:pt>
                <c:pt idx="3">
                  <c:v>128</c:v>
                </c:pt>
              </c:strCache>
            </c:strRef>
          </c:cat>
          <c:val>
            <c:numRef>
              <c:f>Sheet13!$P$42:$P$45</c:f>
              <c:numCache>
                <c:formatCode>0.00000000</c:formatCode>
                <c:ptCount val="4"/>
                <c:pt idx="0">
                  <c:v>10.0532721335726</c:v>
                </c:pt>
                <c:pt idx="1">
                  <c:v>8.02461752390682</c:v>
                </c:pt>
                <c:pt idx="2">
                  <c:v>6.68589882988214</c:v>
                </c:pt>
                <c:pt idx="3">
                  <c:v>8.90590202298243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39594351"/>
        <c:axId val="81706552"/>
      </c:lineChart>
      <c:catAx>
        <c:axId val="3959435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solidFill>
                      <a:srgbClr val="000000"/>
                    </a:solidFill>
                    <a:uFillTx/>
                    <a:latin typeface="Arial"/>
                  </a:rPr>
                  <a:t>Number of Processes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81706552"/>
        <c:crosses val="autoZero"/>
        <c:auto val="1"/>
        <c:lblAlgn val="ctr"/>
        <c:lblOffset val="100"/>
        <c:noMultiLvlLbl val="0"/>
      </c:catAx>
      <c:valAx>
        <c:axId val="8170655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solidFill>
                      <a:srgbClr val="000000"/>
                    </a:solidFill>
                    <a:uFillTx/>
                    <a:latin typeface="Arial"/>
                  </a:rPr>
                  <a:t>Speedup (T1/TP)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_);\(#,##0\)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39594351"/>
        <c:crossesAt val="0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20</xdr:col>
      <xdr:colOff>785160</xdr:colOff>
      <xdr:row>0</xdr:row>
      <xdr:rowOff>0</xdr:rowOff>
    </xdr:from>
    <xdr:to>
      <xdr:col>27</xdr:col>
      <xdr:colOff>488880</xdr:colOff>
      <xdr:row>17</xdr:row>
      <xdr:rowOff>46800</xdr:rowOff>
    </xdr:to>
    <xdr:graphicFrame>
      <xdr:nvGraphicFramePr>
        <xdr:cNvPr id="1" name=""/>
        <xdr:cNvGraphicFramePr/>
      </xdr:nvGraphicFramePr>
      <xdr:xfrm>
        <a:off x="20446200" y="0"/>
        <a:ext cx="5393160" cy="3026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21</xdr:col>
      <xdr:colOff>28800</xdr:colOff>
      <xdr:row>19</xdr:row>
      <xdr:rowOff>77760</xdr:rowOff>
    </xdr:from>
    <xdr:to>
      <xdr:col>27</xdr:col>
      <xdr:colOff>506880</xdr:colOff>
      <xdr:row>36</xdr:row>
      <xdr:rowOff>96480</xdr:rowOff>
    </xdr:to>
    <xdr:graphicFrame>
      <xdr:nvGraphicFramePr>
        <xdr:cNvPr id="2" name=""/>
        <xdr:cNvGraphicFramePr/>
      </xdr:nvGraphicFramePr>
      <xdr:xfrm>
        <a:off x="20502360" y="3407760"/>
        <a:ext cx="5355000" cy="2998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17</xdr:col>
      <xdr:colOff>452520</xdr:colOff>
      <xdr:row>40</xdr:row>
      <xdr:rowOff>39240</xdr:rowOff>
    </xdr:from>
    <xdr:to>
      <xdr:col>23</xdr:col>
      <xdr:colOff>789120</xdr:colOff>
      <xdr:row>58</xdr:row>
      <xdr:rowOff>116640</xdr:rowOff>
    </xdr:to>
    <xdr:graphicFrame>
      <xdr:nvGraphicFramePr>
        <xdr:cNvPr id="3" name=""/>
        <xdr:cNvGraphicFramePr/>
      </xdr:nvGraphicFramePr>
      <xdr:xfrm>
        <a:off x="17123760" y="7049520"/>
        <a:ext cx="5764680" cy="3232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8"/>
  <sheetViews>
    <sheetView showFormulas="false" showGridLines="true" showRowColHeaders="true" showZeros="true" rightToLeft="false" tabSelected="false" showOutlineSymbols="true" defaultGridColor="true" view="normal" topLeftCell="G1" colorId="64" zoomScale="100" zoomScaleNormal="100" zoomScalePageLayoutView="100" workbookViewId="0">
      <selection pane="topLeft" activeCell="R29" activeCellId="0" sqref="R29"/>
    </sheetView>
  </sheetViews>
  <sheetFormatPr defaultColWidth="8.6171875" defaultRowHeight="15" customHeight="true" zeroHeight="false" outlineLevelRow="0" outlineLevelCol="0"/>
  <cols>
    <col collapsed="false" customWidth="true" hidden="false" outlineLevel="0" max="1" min="1" style="1" width="13.34"/>
    <col collapsed="false" customWidth="true" hidden="false" outlineLevel="0" max="3" min="3" style="1" width="6.25"/>
    <col collapsed="false" customWidth="true" hidden="false" outlineLevel="0" max="5" min="4" style="1" width="13.34"/>
    <col collapsed="false" customWidth="true" hidden="false" outlineLevel="0" max="6" min="6" style="1" width="6.25"/>
    <col collapsed="false" customWidth="true" hidden="false" outlineLevel="0" max="16" min="7" style="1" width="13.34"/>
    <col collapsed="false" customWidth="true" hidden="false" outlineLevel="0" max="17" min="17" style="1" width="6.25"/>
    <col collapsed="false" customWidth="true" hidden="false" outlineLevel="0" max="18" min="18" style="1" width="13.34"/>
    <col collapsed="false" customWidth="true" hidden="false" outlineLevel="0" max="16384" min="16384" style="1" width="10.49"/>
  </cols>
  <sheetData>
    <row r="1" customFormat="false" ht="15" hidden="false" customHeight="false" outlineLevel="0" collapsed="false">
      <c r="A1" s="2" t="s">
        <v>0</v>
      </c>
      <c r="B1" s="2" t="s">
        <v>1</v>
      </c>
      <c r="C1" s="3"/>
      <c r="D1" s="2" t="s">
        <v>2</v>
      </c>
      <c r="E1" s="2" t="s">
        <v>3</v>
      </c>
      <c r="F1" s="3"/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R1" s="4" t="s">
        <v>14</v>
      </c>
    </row>
    <row r="2" customFormat="false" ht="15" hidden="false" customHeight="false" outlineLevel="0" collapsed="false">
      <c r="A2" s="1" t="s">
        <v>15</v>
      </c>
      <c r="B2" s="1" t="n">
        <v>0</v>
      </c>
      <c r="D2" s="1" t="n">
        <v>10644002</v>
      </c>
      <c r="E2" s="1" t="n">
        <v>1.255874</v>
      </c>
      <c r="G2" s="1" t="n">
        <v>0.017351389</v>
      </c>
      <c r="H2" s="1" t="n">
        <v>0.016767263</v>
      </c>
      <c r="I2" s="1" t="n">
        <v>0.018069983</v>
      </c>
      <c r="J2" s="1" t="n">
        <v>0.017008781</v>
      </c>
      <c r="K2" s="1" t="n">
        <v>0.016972303</v>
      </c>
      <c r="L2" s="1" t="n">
        <v>0.01730299</v>
      </c>
      <c r="M2" s="1" t="n">
        <v>0.016360044</v>
      </c>
      <c r="N2" s="1" t="n">
        <v>0.015614986</v>
      </c>
      <c r="O2" s="1" t="n">
        <v>0.016727448</v>
      </c>
      <c r="P2" s="1" t="n">
        <v>0.017332315</v>
      </c>
      <c r="R2" s="1" t="n">
        <f aca="false">PERCENTILE(G2:P2,0.9)</f>
        <v>0.0174232484</v>
      </c>
    </row>
    <row r="5" customFormat="false" ht="15" hidden="false" customHeight="false" outlineLevel="0" collapsed="false">
      <c r="A5" s="2" t="s">
        <v>0</v>
      </c>
      <c r="B5" s="2" t="s">
        <v>1</v>
      </c>
      <c r="C5" s="3"/>
      <c r="D5" s="2" t="s">
        <v>2</v>
      </c>
      <c r="E5" s="2" t="s">
        <v>3</v>
      </c>
      <c r="F5" s="3"/>
      <c r="G5" s="2" t="s">
        <v>4</v>
      </c>
      <c r="H5" s="2" t="s">
        <v>5</v>
      </c>
      <c r="I5" s="2" t="s">
        <v>6</v>
      </c>
      <c r="J5" s="2" t="s">
        <v>7</v>
      </c>
      <c r="K5" s="2" t="s">
        <v>8</v>
      </c>
      <c r="L5" s="2" t="s">
        <v>9</v>
      </c>
      <c r="M5" s="2" t="s">
        <v>10</v>
      </c>
      <c r="N5" s="2" t="s">
        <v>11</v>
      </c>
      <c r="O5" s="2" t="s">
        <v>12</v>
      </c>
      <c r="P5" s="2" t="s">
        <v>13</v>
      </c>
      <c r="R5" s="4" t="s">
        <v>14</v>
      </c>
    </row>
    <row r="6" customFormat="false" ht="15" hidden="false" customHeight="false" outlineLevel="0" collapsed="false">
      <c r="A6" s="1" t="s">
        <v>16</v>
      </c>
      <c r="B6" s="1" t="n">
        <v>0</v>
      </c>
      <c r="D6" s="1" t="n">
        <v>110879972</v>
      </c>
      <c r="E6" s="1" t="n">
        <v>1.356499</v>
      </c>
      <c r="G6" s="1" t="n">
        <v>0.161262989</v>
      </c>
      <c r="H6" s="1" t="n">
        <v>0.168741226</v>
      </c>
      <c r="I6" s="1" t="n">
        <v>0.16817832</v>
      </c>
      <c r="J6" s="1" t="n">
        <v>0.159734249</v>
      </c>
      <c r="K6" s="1" t="n">
        <v>0.16493392</v>
      </c>
      <c r="L6" s="1" t="n">
        <v>0.1623981</v>
      </c>
      <c r="M6" s="1" t="n">
        <v>0.162062168</v>
      </c>
      <c r="N6" s="1" t="n">
        <v>0.160771132</v>
      </c>
      <c r="O6" s="1" t="n">
        <v>0.16149044</v>
      </c>
      <c r="P6" s="1" t="n">
        <v>0.16522336</v>
      </c>
      <c r="R6" s="1" t="n">
        <f aca="false">PERCENTILE(G6:P6,0.9)</f>
        <v>0.1682346106</v>
      </c>
    </row>
    <row r="9" customFormat="false" ht="15" hidden="false" customHeight="false" outlineLevel="0" collapsed="false">
      <c r="A9" s="2" t="s">
        <v>0</v>
      </c>
      <c r="B9" s="2" t="s">
        <v>1</v>
      </c>
      <c r="C9" s="3"/>
      <c r="D9" s="2" t="s">
        <v>2</v>
      </c>
      <c r="E9" s="2" t="s">
        <v>3</v>
      </c>
      <c r="F9" s="3"/>
      <c r="G9" s="2" t="s">
        <v>4</v>
      </c>
      <c r="H9" s="2" t="s">
        <v>5</v>
      </c>
      <c r="I9" s="2" t="s">
        <v>6</v>
      </c>
      <c r="J9" s="2" t="s">
        <v>7</v>
      </c>
      <c r="K9" s="2" t="s">
        <v>8</v>
      </c>
      <c r="L9" s="2" t="s">
        <v>9</v>
      </c>
      <c r="M9" s="2" t="s">
        <v>10</v>
      </c>
      <c r="N9" s="2" t="s">
        <v>11</v>
      </c>
      <c r="O9" s="2" t="s">
        <v>12</v>
      </c>
      <c r="P9" s="2" t="s">
        <v>13</v>
      </c>
      <c r="R9" s="4" t="s">
        <v>14</v>
      </c>
    </row>
    <row r="10" customFormat="false" ht="15" hidden="false" customHeight="false" outlineLevel="0" collapsed="false">
      <c r="A10" s="1" t="s">
        <v>17</v>
      </c>
      <c r="B10" s="1" t="n">
        <v>0</v>
      </c>
      <c r="D10" s="1" t="n">
        <v>20240935</v>
      </c>
      <c r="E10" s="1" t="n">
        <v>1.182623</v>
      </c>
      <c r="G10" s="1" t="n">
        <v>0.035825014</v>
      </c>
      <c r="H10" s="1" t="n">
        <v>0.034771681</v>
      </c>
      <c r="I10" s="1" t="n">
        <v>0.034943581</v>
      </c>
      <c r="J10" s="1" t="n">
        <v>0.034598827</v>
      </c>
      <c r="K10" s="1" t="n">
        <v>0.034837723</v>
      </c>
      <c r="L10" s="1" t="n">
        <v>0.034459352</v>
      </c>
      <c r="M10" s="1" t="n">
        <v>0.032521486</v>
      </c>
      <c r="N10" s="1" t="n">
        <v>0.033790827</v>
      </c>
      <c r="O10" s="1" t="n">
        <v>0.033330441</v>
      </c>
      <c r="P10" s="1" t="n">
        <v>0.033226967</v>
      </c>
      <c r="R10" s="1" t="n">
        <f aca="false">PERCENTILE(G10:P10,0.9)</f>
        <v>0.0350317243</v>
      </c>
    </row>
    <row r="13" customFormat="false" ht="15" hidden="false" customHeight="false" outlineLevel="0" collapsed="false">
      <c r="A13" s="2" t="s">
        <v>0</v>
      </c>
      <c r="B13" s="2" t="s">
        <v>1</v>
      </c>
      <c r="C13" s="3"/>
      <c r="D13" s="2" t="s">
        <v>2</v>
      </c>
      <c r="E13" s="2" t="s">
        <v>3</v>
      </c>
      <c r="F13" s="3"/>
      <c r="G13" s="2" t="s">
        <v>4</v>
      </c>
      <c r="H13" s="2" t="s">
        <v>5</v>
      </c>
      <c r="I13" s="2" t="s">
        <v>6</v>
      </c>
      <c r="J13" s="2" t="s">
        <v>7</v>
      </c>
      <c r="K13" s="2" t="s">
        <v>8</v>
      </c>
      <c r="L13" s="2" t="s">
        <v>9</v>
      </c>
      <c r="M13" s="2" t="s">
        <v>10</v>
      </c>
      <c r="N13" s="2" t="s">
        <v>11</v>
      </c>
      <c r="O13" s="2" t="s">
        <v>12</v>
      </c>
      <c r="P13" s="2" t="s">
        <v>13</v>
      </c>
      <c r="R13" s="4" t="s">
        <v>14</v>
      </c>
    </row>
    <row r="14" customFormat="false" ht="15" hidden="false" customHeight="false" outlineLevel="0" collapsed="false">
      <c r="A14" s="1" t="s">
        <v>18</v>
      </c>
      <c r="B14" s="1" t="n">
        <v>0</v>
      </c>
      <c r="D14" s="1" t="n">
        <v>774472352</v>
      </c>
      <c r="E14" s="1" t="n">
        <v>1.457491</v>
      </c>
      <c r="G14" s="1" t="n">
        <v>1.022289515</v>
      </c>
      <c r="H14" s="1" t="n">
        <v>1.03579545</v>
      </c>
      <c r="I14" s="1" t="n">
        <v>1.112406254</v>
      </c>
      <c r="J14" s="1" t="n">
        <v>1.031139612</v>
      </c>
      <c r="K14" s="1" t="n">
        <v>1.096112967</v>
      </c>
      <c r="L14" s="1" t="n">
        <v>1.090210676</v>
      </c>
      <c r="M14" s="1" t="n">
        <v>1.031983376</v>
      </c>
      <c r="N14" s="1" t="n">
        <v>1.103670597</v>
      </c>
      <c r="O14" s="1" t="n">
        <v>1.019196749</v>
      </c>
      <c r="P14" s="1" t="n">
        <v>1.084667206</v>
      </c>
      <c r="R14" s="1" t="n">
        <f aca="false">PERCENTILE(G14:P14,0.9)</f>
        <v>1.1045441627</v>
      </c>
    </row>
    <row r="17" customFormat="false" ht="15" hidden="false" customHeight="false" outlineLevel="0" collapsed="false">
      <c r="A17" s="2" t="s">
        <v>0</v>
      </c>
      <c r="B17" s="2" t="s">
        <v>1</v>
      </c>
      <c r="C17" s="3"/>
      <c r="D17" s="2" t="s">
        <v>2</v>
      </c>
      <c r="E17" s="2" t="s">
        <v>3</v>
      </c>
      <c r="F17" s="3"/>
      <c r="G17" s="2" t="s">
        <v>4</v>
      </c>
      <c r="H17" s="2" t="s">
        <v>5</v>
      </c>
      <c r="I17" s="2" t="s">
        <v>6</v>
      </c>
      <c r="J17" s="2" t="s">
        <v>7</v>
      </c>
      <c r="K17" s="2" t="s">
        <v>8</v>
      </c>
      <c r="L17" s="2" t="s">
        <v>9</v>
      </c>
      <c r="M17" s="2" t="s">
        <v>10</v>
      </c>
      <c r="N17" s="2" t="s">
        <v>11</v>
      </c>
      <c r="O17" s="2" t="s">
        <v>12</v>
      </c>
      <c r="P17" s="2" t="s">
        <v>13</v>
      </c>
      <c r="R17" s="4" t="s">
        <v>14</v>
      </c>
    </row>
    <row r="18" customFormat="false" ht="15" hidden="false" customHeight="false" outlineLevel="0" collapsed="false">
      <c r="A18" s="1" t="s">
        <v>19</v>
      </c>
      <c r="B18" s="1" t="n">
        <v>0</v>
      </c>
      <c r="D18" s="1" t="n">
        <v>37138461</v>
      </c>
      <c r="E18" s="1" t="n">
        <v>1.265726</v>
      </c>
      <c r="G18" s="1" t="n">
        <v>0.058051348</v>
      </c>
      <c r="H18" s="1" t="n">
        <v>0.086965084</v>
      </c>
      <c r="I18" s="1" t="n">
        <v>0.076491356</v>
      </c>
      <c r="J18" s="1" t="n">
        <v>0.061322689</v>
      </c>
      <c r="K18" s="1" t="n">
        <v>0.056359768</v>
      </c>
      <c r="L18" s="1" t="n">
        <v>0.053620815</v>
      </c>
      <c r="M18" s="1" t="n">
        <v>0.048618078</v>
      </c>
      <c r="N18" s="1" t="n">
        <v>0.048573017</v>
      </c>
      <c r="O18" s="1" t="n">
        <v>0.04839015</v>
      </c>
      <c r="P18" s="1" t="n">
        <v>0.048440456</v>
      </c>
      <c r="R18" s="1" t="n">
        <f aca="false">PERCENTILE(G18:P18,0.9)</f>
        <v>0.0775387288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3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W6" activeCellId="0" sqref="W6"/>
    </sheetView>
  </sheetViews>
  <sheetFormatPr defaultColWidth="8.6171875" defaultRowHeight="15" customHeight="true" zeroHeight="false" outlineLevelRow="0" outlineLevelCol="0"/>
  <cols>
    <col collapsed="false" customWidth="true" hidden="false" outlineLevel="0" max="1" min="1" style="1" width="13.34"/>
    <col collapsed="false" customWidth="true" hidden="false" outlineLevel="0" max="3" min="3" style="1" width="6.25"/>
    <col collapsed="false" customWidth="true" hidden="false" outlineLevel="0" max="5" min="4" style="1" width="13.34"/>
    <col collapsed="false" customWidth="true" hidden="false" outlineLevel="0" max="6" min="6" style="1" width="6.25"/>
    <col collapsed="false" customWidth="true" hidden="false" outlineLevel="0" max="16" min="7" style="1" width="13.34"/>
    <col collapsed="false" customWidth="true" hidden="false" outlineLevel="0" max="17" min="17" style="1" width="6.25"/>
    <col collapsed="false" customWidth="true" hidden="false" outlineLevel="0" max="18" min="18" style="1" width="13.34"/>
    <col collapsed="false" customWidth="true" hidden="false" outlineLevel="0" max="19" min="19" style="5" width="13.34"/>
    <col collapsed="false" customWidth="true" hidden="false" outlineLevel="0" max="20" min="20" style="6" width="13.34"/>
    <col collapsed="false" customWidth="true" hidden="false" outlineLevel="0" max="16384" min="16384" style="1" width="10.49"/>
  </cols>
  <sheetData>
    <row r="1" customFormat="false" ht="15" hidden="false" customHeight="false" outlineLevel="0" collapsed="false">
      <c r="A1" s="2" t="s">
        <v>0</v>
      </c>
      <c r="B1" s="2" t="s">
        <v>1</v>
      </c>
      <c r="C1" s="3"/>
      <c r="D1" s="2" t="s">
        <v>2</v>
      </c>
      <c r="E1" s="2" t="s">
        <v>3</v>
      </c>
      <c r="F1" s="3"/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R1" s="4" t="s">
        <v>14</v>
      </c>
      <c r="S1" s="7" t="s">
        <v>20</v>
      </c>
      <c r="T1" s="8" t="s">
        <v>21</v>
      </c>
    </row>
    <row r="2" customFormat="false" ht="15" hidden="false" customHeight="false" outlineLevel="0" collapsed="false">
      <c r="A2" s="1" t="s">
        <v>15</v>
      </c>
      <c r="B2" s="1" t="n">
        <v>0</v>
      </c>
      <c r="D2" s="1" t="n">
        <v>5317852</v>
      </c>
      <c r="E2" s="1" t="n">
        <v>1.376476</v>
      </c>
      <c r="G2" s="1" t="n">
        <v>0.007612467</v>
      </c>
      <c r="H2" s="1" t="n">
        <v>0.007595778</v>
      </c>
      <c r="I2" s="1" t="n">
        <v>0.008028984</v>
      </c>
      <c r="J2" s="1" t="n">
        <v>0.007710934</v>
      </c>
      <c r="K2" s="1" t="n">
        <v>0.007650137</v>
      </c>
      <c r="L2" s="1" t="n">
        <v>0.007810831</v>
      </c>
      <c r="M2" s="1" t="n">
        <v>0.007652283</v>
      </c>
      <c r="N2" s="1" t="n">
        <v>0.007688284</v>
      </c>
      <c r="O2" s="1" t="n">
        <v>0.007738113</v>
      </c>
      <c r="P2" s="1" t="n">
        <v>0.007779837</v>
      </c>
      <c r="R2" s="1" t="n">
        <f aca="false">PERCENTILE(G2:P2,0.9)</f>
        <v>0.0078326463</v>
      </c>
      <c r="S2" s="5" t="n">
        <f aca="false">spmv_1!R$2/R2</f>
        <v>2.22443957414495</v>
      </c>
      <c r="T2" s="6" t="n">
        <f aca="false">S2/2</f>
        <v>1.11221978707247</v>
      </c>
    </row>
    <row r="3" customFormat="false" ht="15" hidden="false" customHeight="false" outlineLevel="0" collapsed="false">
      <c r="A3" s="1" t="s">
        <v>15</v>
      </c>
      <c r="B3" s="1" t="n">
        <v>1</v>
      </c>
      <c r="D3" s="1" t="n">
        <v>5326150</v>
      </c>
      <c r="E3" s="1" t="n">
        <v>1.382668</v>
      </c>
      <c r="G3" s="1" t="n">
        <v>0.007544756</v>
      </c>
      <c r="H3" s="1" t="n">
        <v>0.00762248</v>
      </c>
      <c r="I3" s="1" t="n">
        <v>0.007998943</v>
      </c>
      <c r="J3" s="1" t="n">
        <v>0.007754564</v>
      </c>
      <c r="K3" s="1" t="n">
        <v>0.007649183</v>
      </c>
      <c r="L3" s="1" t="n">
        <v>0.007591009</v>
      </c>
      <c r="M3" s="1" t="n">
        <v>0.007543802</v>
      </c>
      <c r="N3" s="1" t="n">
        <v>0.007698298</v>
      </c>
      <c r="O3" s="1" t="n">
        <v>0.007809401</v>
      </c>
      <c r="P3" s="1" t="n">
        <v>0.007829189</v>
      </c>
      <c r="R3" s="1" t="n">
        <f aca="false">PERCENTILE(G3:P3,0.9)</f>
        <v>0.0078461644</v>
      </c>
      <c r="S3" s="5" t="n">
        <f aca="false">spmv_1!R$2/R3</f>
        <v>2.22060710326182</v>
      </c>
      <c r="T3" s="6" t="n">
        <f aca="false">S3/2</f>
        <v>1.11030355163091</v>
      </c>
    </row>
    <row r="6" customFormat="false" ht="15" hidden="false" customHeight="false" outlineLevel="0" collapsed="false">
      <c r="A6" s="2" t="s">
        <v>0</v>
      </c>
      <c r="B6" s="2" t="s">
        <v>1</v>
      </c>
      <c r="C6" s="3"/>
      <c r="D6" s="2" t="s">
        <v>2</v>
      </c>
      <c r="E6" s="2" t="s">
        <v>3</v>
      </c>
      <c r="F6" s="3"/>
      <c r="G6" s="2" t="s">
        <v>4</v>
      </c>
      <c r="H6" s="2" t="s">
        <v>5</v>
      </c>
      <c r="I6" s="2" t="s">
        <v>6</v>
      </c>
      <c r="J6" s="2" t="s">
        <v>7</v>
      </c>
      <c r="K6" s="2" t="s">
        <v>8</v>
      </c>
      <c r="L6" s="2" t="s">
        <v>9</v>
      </c>
      <c r="M6" s="2" t="s">
        <v>10</v>
      </c>
      <c r="N6" s="2" t="s">
        <v>11</v>
      </c>
      <c r="O6" s="2" t="s">
        <v>12</v>
      </c>
      <c r="P6" s="2" t="s">
        <v>13</v>
      </c>
      <c r="R6" s="4" t="s">
        <v>14</v>
      </c>
      <c r="S6" s="7" t="s">
        <v>20</v>
      </c>
      <c r="T6" s="8" t="s">
        <v>21</v>
      </c>
    </row>
    <row r="7" customFormat="false" ht="15" hidden="false" customHeight="false" outlineLevel="0" collapsed="false">
      <c r="A7" s="1" t="s">
        <v>16</v>
      </c>
      <c r="B7" s="1" t="n">
        <v>0</v>
      </c>
      <c r="D7" s="1" t="n">
        <v>55439986</v>
      </c>
      <c r="E7" s="1" t="n">
        <v>1.454966</v>
      </c>
      <c r="G7" s="1" t="n">
        <v>0.075138807</v>
      </c>
      <c r="H7" s="1" t="n">
        <v>0.07688117</v>
      </c>
      <c r="I7" s="1" t="n">
        <v>0.076182842</v>
      </c>
      <c r="J7" s="1" t="n">
        <v>0.076216221</v>
      </c>
      <c r="K7" s="1" t="n">
        <v>0.076472521</v>
      </c>
      <c r="L7" s="1" t="n">
        <v>0.077010632</v>
      </c>
      <c r="M7" s="1" t="n">
        <v>0.075824976</v>
      </c>
      <c r="N7" s="1" t="n">
        <v>0.075845957</v>
      </c>
      <c r="O7" s="1" t="n">
        <v>0.076472282</v>
      </c>
      <c r="P7" s="1" t="n">
        <v>0.076034307</v>
      </c>
      <c r="R7" s="1" t="n">
        <f aca="false">PERCENTILE(G7:P7,0.9)</f>
        <v>0.0768941162</v>
      </c>
      <c r="S7" s="5" t="n">
        <f aca="false">spmv_1!R$6/R7</f>
        <v>2.1878736490374</v>
      </c>
      <c r="T7" s="6" t="n">
        <f aca="false">S7/2</f>
        <v>1.0939368245187</v>
      </c>
    </row>
    <row r="8" customFormat="false" ht="15" hidden="false" customHeight="false" outlineLevel="0" collapsed="false">
      <c r="A8" s="1" t="s">
        <v>16</v>
      </c>
      <c r="B8" s="1" t="n">
        <v>1</v>
      </c>
      <c r="D8" s="1" t="n">
        <v>55439986</v>
      </c>
      <c r="E8" s="1" t="n">
        <v>1.444998</v>
      </c>
      <c r="G8" s="1" t="n">
        <v>0.075662613</v>
      </c>
      <c r="H8" s="1" t="n">
        <v>0.076557636</v>
      </c>
      <c r="I8" s="1" t="n">
        <v>0.077471972</v>
      </c>
      <c r="J8" s="1" t="n">
        <v>0.076376677</v>
      </c>
      <c r="K8" s="1" t="n">
        <v>0.077279329</v>
      </c>
      <c r="L8" s="1" t="n">
        <v>0.076523781</v>
      </c>
      <c r="M8" s="1" t="n">
        <v>0.077392101</v>
      </c>
      <c r="N8" s="1" t="n">
        <v>0.076412678</v>
      </c>
      <c r="O8" s="1" t="n">
        <v>0.077500105</v>
      </c>
      <c r="P8" s="1" t="n">
        <v>0.076159716</v>
      </c>
      <c r="R8" s="1" t="n">
        <f aca="false">PERCENTILE(G8:P8,0.9)</f>
        <v>0.0774747853</v>
      </c>
      <c r="S8" s="5" t="n">
        <f aca="false">spmv_1!R$6/R8</f>
        <v>2.17147566073991</v>
      </c>
      <c r="T8" s="6" t="n">
        <f aca="false">S8/2</f>
        <v>1.08573783036995</v>
      </c>
    </row>
    <row r="11" customFormat="false" ht="15" hidden="false" customHeight="false" outlineLevel="0" collapsed="false">
      <c r="A11" s="2" t="s">
        <v>0</v>
      </c>
      <c r="B11" s="2" t="s">
        <v>1</v>
      </c>
      <c r="C11" s="3"/>
      <c r="D11" s="2" t="s">
        <v>2</v>
      </c>
      <c r="E11" s="2" t="s">
        <v>3</v>
      </c>
      <c r="F11" s="3"/>
      <c r="G11" s="2" t="s">
        <v>4</v>
      </c>
      <c r="H11" s="2" t="s">
        <v>5</v>
      </c>
      <c r="I11" s="2" t="s">
        <v>6</v>
      </c>
      <c r="J11" s="2" t="s">
        <v>7</v>
      </c>
      <c r="K11" s="2" t="s">
        <v>8</v>
      </c>
      <c r="L11" s="2" t="s">
        <v>9</v>
      </c>
      <c r="M11" s="2" t="s">
        <v>10</v>
      </c>
      <c r="N11" s="2" t="s">
        <v>11</v>
      </c>
      <c r="O11" s="2" t="s">
        <v>12</v>
      </c>
      <c r="P11" s="2" t="s">
        <v>13</v>
      </c>
      <c r="R11" s="4" t="s">
        <v>14</v>
      </c>
      <c r="S11" s="7" t="s">
        <v>20</v>
      </c>
      <c r="T11" s="8" t="s">
        <v>21</v>
      </c>
    </row>
    <row r="12" customFormat="false" ht="15" hidden="false" customHeight="false" outlineLevel="0" collapsed="false">
      <c r="A12" s="1" t="s">
        <v>17</v>
      </c>
      <c r="B12" s="1" t="n">
        <v>0</v>
      </c>
      <c r="D12" s="1" t="n">
        <v>10114572</v>
      </c>
      <c r="E12" s="1" t="n">
        <v>1.257795</v>
      </c>
      <c r="G12" s="1" t="n">
        <v>0.016113758</v>
      </c>
      <c r="H12" s="1" t="n">
        <v>0.015937805</v>
      </c>
      <c r="I12" s="1" t="n">
        <v>0.016327858</v>
      </c>
      <c r="J12" s="1" t="n">
        <v>0.016388178</v>
      </c>
      <c r="K12" s="1" t="n">
        <v>0.015745878</v>
      </c>
      <c r="L12" s="1" t="n">
        <v>0.015846252</v>
      </c>
      <c r="M12" s="1" t="n">
        <v>0.016442299</v>
      </c>
      <c r="N12" s="1" t="n">
        <v>0.016054153</v>
      </c>
      <c r="O12" s="1" t="n">
        <v>0.015816927</v>
      </c>
      <c r="P12" s="1" t="n">
        <v>0.01615715</v>
      </c>
      <c r="R12" s="1" t="n">
        <f aca="false">PERCENTILE(G12:P12,0.9)</f>
        <v>0.0163935901</v>
      </c>
      <c r="S12" s="5" t="n">
        <f aca="false">spmv_1!R$10/R12</f>
        <v>2.13691595839035</v>
      </c>
      <c r="T12" s="6" t="n">
        <f aca="false">S12/2</f>
        <v>1.06845797919517</v>
      </c>
    </row>
    <row r="13" customFormat="false" ht="15" hidden="false" customHeight="false" outlineLevel="0" collapsed="false">
      <c r="A13" s="1" t="s">
        <v>17</v>
      </c>
      <c r="B13" s="1" t="n">
        <v>1</v>
      </c>
      <c r="D13" s="1" t="n">
        <v>10126363</v>
      </c>
      <c r="E13" s="1" t="n">
        <v>1.24242</v>
      </c>
      <c r="G13" s="1" t="n">
        <v>0.016155243</v>
      </c>
      <c r="H13" s="1" t="n">
        <v>0.016073942</v>
      </c>
      <c r="I13" s="1" t="n">
        <v>0.016501904</v>
      </c>
      <c r="J13" s="1" t="n">
        <v>0.01659584</v>
      </c>
      <c r="K13" s="1" t="n">
        <v>0.016120911</v>
      </c>
      <c r="L13" s="1" t="n">
        <v>0.016175032</v>
      </c>
      <c r="M13" s="1" t="n">
        <v>0.016672134</v>
      </c>
      <c r="N13" s="1" t="n">
        <v>0.016250372</v>
      </c>
      <c r="O13" s="1" t="n">
        <v>0.016085386</v>
      </c>
      <c r="P13" s="1" t="n">
        <v>0.016379595</v>
      </c>
      <c r="R13" s="1" t="n">
        <f aca="false">PERCENTILE(G13:P13,0.9)</f>
        <v>0.0166034694</v>
      </c>
      <c r="S13" s="5" t="n">
        <f aca="false">spmv_1!R$10/R13</f>
        <v>2.1099038674411</v>
      </c>
      <c r="T13" s="6" t="n">
        <f aca="false">S13/2</f>
        <v>1.05495193372055</v>
      </c>
    </row>
    <row r="16" customFormat="false" ht="15" hidden="false" customHeight="false" outlineLevel="0" collapsed="false">
      <c r="A16" s="2" t="s">
        <v>0</v>
      </c>
      <c r="B16" s="2" t="s">
        <v>1</v>
      </c>
      <c r="C16" s="3"/>
      <c r="D16" s="2" t="s">
        <v>2</v>
      </c>
      <c r="E16" s="2" t="s">
        <v>3</v>
      </c>
      <c r="F16" s="3"/>
      <c r="G16" s="2" t="s">
        <v>4</v>
      </c>
      <c r="H16" s="2" t="s">
        <v>5</v>
      </c>
      <c r="I16" s="2" t="s">
        <v>6</v>
      </c>
      <c r="J16" s="2" t="s">
        <v>7</v>
      </c>
      <c r="K16" s="2" t="s">
        <v>8</v>
      </c>
      <c r="L16" s="2" t="s">
        <v>9</v>
      </c>
      <c r="M16" s="2" t="s">
        <v>10</v>
      </c>
      <c r="N16" s="2" t="s">
        <v>11</v>
      </c>
      <c r="O16" s="2" t="s">
        <v>12</v>
      </c>
      <c r="P16" s="2" t="s">
        <v>13</v>
      </c>
      <c r="R16" s="4" t="s">
        <v>14</v>
      </c>
      <c r="S16" s="7" t="s">
        <v>20</v>
      </c>
      <c r="T16" s="8" t="s">
        <v>21</v>
      </c>
    </row>
    <row r="17" customFormat="false" ht="15" hidden="false" customHeight="false" outlineLevel="0" collapsed="false">
      <c r="A17" s="1" t="s">
        <v>18</v>
      </c>
      <c r="B17" s="1" t="n">
        <v>0</v>
      </c>
      <c r="D17" s="1" t="n">
        <v>387236176</v>
      </c>
      <c r="E17" s="1" t="n">
        <v>1.296204</v>
      </c>
      <c r="G17" s="1" t="n">
        <v>0.597951889</v>
      </c>
      <c r="H17" s="1" t="n">
        <v>0.598883629</v>
      </c>
      <c r="I17" s="1" t="n">
        <v>0.597458363</v>
      </c>
      <c r="J17" s="1" t="n">
        <v>0.595019102</v>
      </c>
      <c r="K17" s="1" t="n">
        <v>0.597257614</v>
      </c>
      <c r="L17" s="1" t="n">
        <v>0.597866058</v>
      </c>
      <c r="M17" s="1" t="n">
        <v>0.598679304</v>
      </c>
      <c r="N17" s="1" t="n">
        <v>0.596628428</v>
      </c>
      <c r="O17" s="1" t="n">
        <v>0.598257542</v>
      </c>
      <c r="P17" s="1" t="n">
        <v>0.596923828</v>
      </c>
      <c r="R17" s="1" t="n">
        <f aca="false">PERCENTILE(G17:P17,0.9)</f>
        <v>0.5986997365</v>
      </c>
      <c r="S17" s="5" t="n">
        <f aca="false">spmv_1!R$14/R17</f>
        <v>1.84490504231248</v>
      </c>
      <c r="T17" s="6" t="n">
        <f aca="false">S17/2</f>
        <v>0.922452521156238</v>
      </c>
    </row>
    <row r="18" customFormat="false" ht="15" hidden="false" customHeight="false" outlineLevel="0" collapsed="false">
      <c r="A18" s="1" t="s">
        <v>18</v>
      </c>
      <c r="B18" s="1" t="n">
        <v>1</v>
      </c>
      <c r="D18" s="1" t="n">
        <v>387236176</v>
      </c>
      <c r="E18" s="1" t="n">
        <v>1.333328</v>
      </c>
      <c r="G18" s="1" t="n">
        <v>0.582607985</v>
      </c>
      <c r="H18" s="1" t="n">
        <v>0.583164454</v>
      </c>
      <c r="I18" s="1" t="n">
        <v>0.584403515</v>
      </c>
      <c r="J18" s="1" t="n">
        <v>0.574316978</v>
      </c>
      <c r="K18" s="1" t="n">
        <v>0.578439951</v>
      </c>
      <c r="L18" s="1" t="n">
        <v>0.5831604</v>
      </c>
      <c r="M18" s="1" t="n">
        <v>0.5822649</v>
      </c>
      <c r="N18" s="1" t="n">
        <v>0.579848289</v>
      </c>
      <c r="O18" s="1" t="n">
        <v>0.580200195</v>
      </c>
      <c r="P18" s="1" t="n">
        <v>0.58015871</v>
      </c>
      <c r="R18" s="1" t="n">
        <f aca="false">PERCENTILE(G18:P18,0.9)</f>
        <v>0.5832883601</v>
      </c>
      <c r="S18" s="5" t="n">
        <f aca="false">spmv_1!R$14/R18</f>
        <v>1.89365027361533</v>
      </c>
      <c r="T18" s="6" t="n">
        <f aca="false">S18/2</f>
        <v>0.946825136807663</v>
      </c>
    </row>
    <row r="21" customFormat="false" ht="15" hidden="false" customHeight="false" outlineLevel="0" collapsed="false">
      <c r="A21" s="2" t="s">
        <v>0</v>
      </c>
      <c r="B21" s="2" t="s">
        <v>1</v>
      </c>
      <c r="C21" s="3"/>
      <c r="D21" s="2" t="s">
        <v>2</v>
      </c>
      <c r="E21" s="2" t="s">
        <v>3</v>
      </c>
      <c r="F21" s="3"/>
      <c r="G21" s="2" t="s">
        <v>4</v>
      </c>
      <c r="H21" s="2" t="s">
        <v>5</v>
      </c>
      <c r="I21" s="2" t="s">
        <v>6</v>
      </c>
      <c r="J21" s="2" t="s">
        <v>7</v>
      </c>
      <c r="K21" s="2" t="s">
        <v>8</v>
      </c>
      <c r="L21" s="2" t="s">
        <v>9</v>
      </c>
      <c r="M21" s="2" t="s">
        <v>10</v>
      </c>
      <c r="N21" s="2" t="s">
        <v>11</v>
      </c>
      <c r="O21" s="2" t="s">
        <v>12</v>
      </c>
      <c r="P21" s="2" t="s">
        <v>13</v>
      </c>
      <c r="R21" s="4" t="s">
        <v>14</v>
      </c>
      <c r="S21" s="7" t="s">
        <v>20</v>
      </c>
      <c r="T21" s="8" t="s">
        <v>21</v>
      </c>
    </row>
    <row r="22" customFormat="false" ht="15" hidden="false" customHeight="false" outlineLevel="0" collapsed="false">
      <c r="A22" s="1" t="s">
        <v>19</v>
      </c>
      <c r="B22" s="1" t="n">
        <v>0</v>
      </c>
      <c r="D22" s="1" t="n">
        <v>18440207</v>
      </c>
      <c r="E22" s="1" t="n">
        <v>1.39035</v>
      </c>
      <c r="G22" s="1" t="n">
        <v>0.025316954</v>
      </c>
      <c r="H22" s="1" t="n">
        <v>0.026937723</v>
      </c>
      <c r="I22" s="1" t="n">
        <v>0.02730298</v>
      </c>
      <c r="J22" s="1" t="n">
        <v>0.027282238</v>
      </c>
      <c r="K22" s="1" t="n">
        <v>0.027074575</v>
      </c>
      <c r="L22" s="1" t="n">
        <v>0.026521683</v>
      </c>
      <c r="M22" s="1" t="n">
        <v>0.026664019</v>
      </c>
      <c r="N22" s="1" t="n">
        <v>0.025829077</v>
      </c>
      <c r="O22" s="1" t="n">
        <v>0.026721954</v>
      </c>
      <c r="P22" s="1" t="n">
        <v>0.025608778</v>
      </c>
      <c r="R22" s="1" t="n">
        <f aca="false">PERCENTILE(G22:P22,0.9)</f>
        <v>0.0272843122</v>
      </c>
      <c r="S22" s="5" t="n">
        <f aca="false">spmv_1!R$18/R22</f>
        <v>2.84187954717803</v>
      </c>
      <c r="T22" s="6" t="n">
        <f aca="false">S22/2</f>
        <v>1.42093977358902</v>
      </c>
    </row>
    <row r="23" customFormat="false" ht="15" hidden="false" customHeight="false" outlineLevel="0" collapsed="false">
      <c r="A23" s="1" t="s">
        <v>19</v>
      </c>
      <c r="B23" s="1" t="n">
        <v>1</v>
      </c>
      <c r="D23" s="1" t="n">
        <v>18698254</v>
      </c>
      <c r="E23" s="1" t="n">
        <v>1.352792</v>
      </c>
      <c r="G23" s="1" t="n">
        <v>0.026980639</v>
      </c>
      <c r="H23" s="1" t="n">
        <v>0.028142214</v>
      </c>
      <c r="I23" s="1" t="n">
        <v>0.028184652</v>
      </c>
      <c r="J23" s="1" t="n">
        <v>0.027744532</v>
      </c>
      <c r="K23" s="1" t="n">
        <v>0.027686119</v>
      </c>
      <c r="L23" s="1" t="n">
        <v>0.0275805</v>
      </c>
      <c r="M23" s="1" t="n">
        <v>0.027682781</v>
      </c>
      <c r="N23" s="1" t="n">
        <v>0.027152777</v>
      </c>
      <c r="O23" s="1" t="n">
        <v>0.028059959</v>
      </c>
      <c r="P23" s="1" t="n">
        <v>0.027225256</v>
      </c>
      <c r="R23" s="1" t="n">
        <f aca="false">PERCENTILE(G23:P23,0.9)</f>
        <v>0.0281464578</v>
      </c>
      <c r="S23" s="5" t="n">
        <f aca="false">spmv_1!R$18/R23</f>
        <v>2.75483079792726</v>
      </c>
      <c r="T23" s="6" t="n">
        <f aca="false">S23/2</f>
        <v>1.37741539896363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9" activeCellId="0" sqref="A39"/>
    </sheetView>
  </sheetViews>
  <sheetFormatPr defaultColWidth="8.6171875" defaultRowHeight="15" customHeight="true" zeroHeight="false" outlineLevelRow="0" outlineLevelCol="0"/>
  <cols>
    <col collapsed="false" customWidth="true" hidden="false" outlineLevel="0" max="1" min="1" style="1" width="13.34"/>
    <col collapsed="false" customWidth="true" hidden="false" outlineLevel="0" max="3" min="3" style="1" width="6.25"/>
    <col collapsed="false" customWidth="true" hidden="false" outlineLevel="0" max="5" min="4" style="1" width="13.34"/>
    <col collapsed="false" customWidth="true" hidden="false" outlineLevel="0" max="6" min="6" style="1" width="6.25"/>
    <col collapsed="false" customWidth="true" hidden="false" outlineLevel="0" max="16" min="7" style="1" width="13.34"/>
    <col collapsed="false" customWidth="true" hidden="false" outlineLevel="0" max="17" min="17" style="1" width="6.25"/>
    <col collapsed="false" customWidth="true" hidden="false" outlineLevel="0" max="18" min="18" style="1" width="13.34"/>
    <col collapsed="false" customWidth="true" hidden="false" outlineLevel="0" max="19" min="19" style="5" width="13.34"/>
    <col collapsed="false" customWidth="true" hidden="false" outlineLevel="0" max="20" min="20" style="6" width="13.34"/>
    <col collapsed="false" customWidth="true" hidden="false" outlineLevel="0" max="16384" min="16384" style="1" width="10.49"/>
  </cols>
  <sheetData>
    <row r="1" customFormat="false" ht="15" hidden="false" customHeight="false" outlineLevel="0" collapsed="false">
      <c r="A1" s="2" t="s">
        <v>0</v>
      </c>
      <c r="B1" s="2" t="s">
        <v>1</v>
      </c>
      <c r="C1" s="3"/>
      <c r="D1" s="2" t="s">
        <v>2</v>
      </c>
      <c r="E1" s="2" t="s">
        <v>3</v>
      </c>
      <c r="F1" s="3"/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R1" s="4" t="s">
        <v>14</v>
      </c>
      <c r="S1" s="7" t="s">
        <v>20</v>
      </c>
      <c r="T1" s="8" t="s">
        <v>21</v>
      </c>
    </row>
    <row r="2" customFormat="false" ht="15" hidden="false" customHeight="false" outlineLevel="0" collapsed="false">
      <c r="A2" s="1" t="s">
        <v>15</v>
      </c>
      <c r="B2" s="1" t="n">
        <v>0</v>
      </c>
      <c r="D2" s="1" t="n">
        <v>2658799</v>
      </c>
      <c r="E2" s="1" t="n">
        <v>1.445602</v>
      </c>
      <c r="G2" s="1" t="n">
        <v>0.003935099</v>
      </c>
      <c r="H2" s="1" t="n">
        <v>0.003746748</v>
      </c>
      <c r="I2" s="1" t="n">
        <v>0.00366497</v>
      </c>
      <c r="J2" s="1" t="n">
        <v>0.00366044</v>
      </c>
      <c r="K2" s="1" t="n">
        <v>0.00370574</v>
      </c>
      <c r="L2" s="1" t="n">
        <v>0.003673792</v>
      </c>
      <c r="M2" s="1" t="n">
        <v>0.003610134</v>
      </c>
      <c r="N2" s="1" t="n">
        <v>0.003634453</v>
      </c>
      <c r="O2" s="1" t="n">
        <v>0.003614664</v>
      </c>
      <c r="P2" s="1" t="n">
        <v>0.003538609</v>
      </c>
      <c r="R2" s="1" t="n">
        <f aca="false">PERCENTILE(G2:P2,0.9)</f>
        <v>0.0037655831</v>
      </c>
      <c r="S2" s="5" t="n">
        <f aca="false">spmv_1!R$2/R2</f>
        <v>4.62697222111497</v>
      </c>
      <c r="T2" s="6" t="n">
        <f aca="false">S2/4</f>
        <v>1.15674305527874</v>
      </c>
    </row>
    <row r="3" customFormat="false" ht="15" hidden="false" customHeight="false" outlineLevel="0" collapsed="false">
      <c r="A3" s="1" t="s">
        <v>15</v>
      </c>
      <c r="B3" s="1" t="n">
        <v>1</v>
      </c>
      <c r="D3" s="1" t="n">
        <v>2663504</v>
      </c>
      <c r="E3" s="1" t="n">
        <v>1.391191</v>
      </c>
      <c r="G3" s="1" t="n">
        <v>0.004188538</v>
      </c>
      <c r="H3" s="1" t="n">
        <v>0.004042864</v>
      </c>
      <c r="I3" s="1" t="n">
        <v>0.003933668</v>
      </c>
      <c r="J3" s="1" t="n">
        <v>0.003793716</v>
      </c>
      <c r="K3" s="1" t="n">
        <v>0.003788471</v>
      </c>
      <c r="L3" s="1" t="n">
        <v>0.003760815</v>
      </c>
      <c r="M3" s="1" t="n">
        <v>0.003698587</v>
      </c>
      <c r="N3" s="1" t="n">
        <v>0.003730536</v>
      </c>
      <c r="O3" s="1" t="n">
        <v>0.00373292</v>
      </c>
      <c r="P3" s="1" t="n">
        <v>0.003620863</v>
      </c>
      <c r="R3" s="1" t="n">
        <f aca="false">PERCENTILE(G3:P3,0.9)</f>
        <v>0.0040574314</v>
      </c>
      <c r="S3" s="5" t="n">
        <f aca="false">spmv_1!R$2/R3</f>
        <v>4.29415723454992</v>
      </c>
      <c r="T3" s="6" t="n">
        <f aca="false">S3/4</f>
        <v>1.07353930863748</v>
      </c>
    </row>
    <row r="4" customFormat="false" ht="15" hidden="false" customHeight="false" outlineLevel="0" collapsed="false">
      <c r="A4" s="1" t="s">
        <v>15</v>
      </c>
      <c r="B4" s="1" t="n">
        <v>2</v>
      </c>
      <c r="D4" s="1" t="n">
        <v>2659053</v>
      </c>
      <c r="E4" s="1" t="n">
        <v>1.374209</v>
      </c>
      <c r="G4" s="1" t="n">
        <v>0.004246235</v>
      </c>
      <c r="H4" s="1" t="n">
        <v>0.004076719</v>
      </c>
      <c r="I4" s="1" t="n">
        <v>0.003950596</v>
      </c>
      <c r="J4" s="1" t="n">
        <v>0.003813505</v>
      </c>
      <c r="K4" s="1" t="n">
        <v>0.003824234</v>
      </c>
      <c r="L4" s="1" t="n">
        <v>0.003799677</v>
      </c>
      <c r="M4" s="1" t="n">
        <v>0.003753901</v>
      </c>
      <c r="N4" s="1" t="n">
        <v>0.003787041</v>
      </c>
      <c r="O4" s="1" t="n">
        <v>0.003770828</v>
      </c>
      <c r="P4" s="1" t="n">
        <v>0.003676653</v>
      </c>
      <c r="R4" s="1" t="n">
        <f aca="false">PERCENTILE(G4:P4,0.9)</f>
        <v>0.0040936706</v>
      </c>
      <c r="S4" s="5" t="n">
        <f aca="false">spmv_1!R$2/R4</f>
        <v>4.25614322754742</v>
      </c>
      <c r="T4" s="6" t="n">
        <f aca="false">S4/4</f>
        <v>1.06403580688686</v>
      </c>
    </row>
    <row r="5" customFormat="false" ht="15" hidden="false" customHeight="false" outlineLevel="0" collapsed="false">
      <c r="A5" s="1" t="s">
        <v>15</v>
      </c>
      <c r="B5" s="1" t="n">
        <v>3</v>
      </c>
      <c r="D5" s="1" t="n">
        <v>2662646</v>
      </c>
      <c r="E5" s="1" t="n">
        <v>1.420226</v>
      </c>
      <c r="G5" s="1" t="n">
        <v>0.004158497</v>
      </c>
      <c r="H5" s="1" t="n">
        <v>0.003963232</v>
      </c>
      <c r="I5" s="1" t="n">
        <v>0.003861189</v>
      </c>
      <c r="J5" s="1" t="n">
        <v>0.003712177</v>
      </c>
      <c r="K5" s="1" t="n">
        <v>0.003690481</v>
      </c>
      <c r="L5" s="1" t="n">
        <v>0.003674746</v>
      </c>
      <c r="M5" s="1" t="n">
        <v>0.0036273</v>
      </c>
      <c r="N5" s="1" t="n">
        <v>0.003640175</v>
      </c>
      <c r="O5" s="1" t="n">
        <v>0.003621101</v>
      </c>
      <c r="P5" s="1" t="n">
        <v>0.003547192</v>
      </c>
      <c r="R5" s="1" t="n">
        <f aca="false">PERCENTILE(G5:P5,0.9)</f>
        <v>0.0039827585</v>
      </c>
      <c r="S5" s="5" t="n">
        <f aca="false">spmv_1!R$2/R5</f>
        <v>4.37466856200294</v>
      </c>
      <c r="T5" s="6" t="n">
        <f aca="false">S5/4</f>
        <v>1.09366714050074</v>
      </c>
    </row>
    <row r="8" customFormat="false" ht="15" hidden="false" customHeight="false" outlineLevel="0" collapsed="false">
      <c r="A8" s="2" t="s">
        <v>0</v>
      </c>
      <c r="B8" s="2" t="s">
        <v>1</v>
      </c>
      <c r="C8" s="3"/>
      <c r="D8" s="2" t="s">
        <v>2</v>
      </c>
      <c r="E8" s="2" t="s">
        <v>3</v>
      </c>
      <c r="F8" s="3"/>
      <c r="G8" s="2" t="s">
        <v>4</v>
      </c>
      <c r="H8" s="2" t="s">
        <v>5</v>
      </c>
      <c r="I8" s="2" t="s">
        <v>6</v>
      </c>
      <c r="J8" s="2" t="s">
        <v>7</v>
      </c>
      <c r="K8" s="2" t="s">
        <v>8</v>
      </c>
      <c r="L8" s="2" t="s">
        <v>9</v>
      </c>
      <c r="M8" s="2" t="s">
        <v>10</v>
      </c>
      <c r="N8" s="2" t="s">
        <v>11</v>
      </c>
      <c r="O8" s="2" t="s">
        <v>12</v>
      </c>
      <c r="P8" s="2" t="s">
        <v>13</v>
      </c>
      <c r="R8" s="4" t="s">
        <v>14</v>
      </c>
      <c r="S8" s="7" t="s">
        <v>20</v>
      </c>
      <c r="T8" s="8" t="s">
        <v>21</v>
      </c>
    </row>
    <row r="9" customFormat="false" ht="15" hidden="false" customHeight="false" outlineLevel="0" collapsed="false">
      <c r="A9" s="1" t="s">
        <v>16</v>
      </c>
      <c r="B9" s="1" t="n">
        <v>0</v>
      </c>
      <c r="D9" s="1" t="n">
        <v>27720658</v>
      </c>
      <c r="E9" s="1" t="n">
        <v>1.351714</v>
      </c>
      <c r="G9" s="1" t="n">
        <v>0.039351702</v>
      </c>
      <c r="H9" s="1" t="n">
        <v>0.041552544</v>
      </c>
      <c r="I9" s="1" t="n">
        <v>0.041501522</v>
      </c>
      <c r="J9" s="1" t="n">
        <v>0.040318966</v>
      </c>
      <c r="K9" s="1" t="n">
        <v>0.041270494</v>
      </c>
      <c r="L9" s="1" t="n">
        <v>0.041276693</v>
      </c>
      <c r="M9" s="1" t="n">
        <v>0.04093504</v>
      </c>
      <c r="N9" s="1" t="n">
        <v>0.041595936</v>
      </c>
      <c r="O9" s="1" t="n">
        <v>0.040893793</v>
      </c>
      <c r="P9" s="1" t="n">
        <v>0.041459084</v>
      </c>
      <c r="R9" s="1" t="n">
        <f aca="false">PERCENTILE(G9:P9,0.9)</f>
        <v>0.0415568832</v>
      </c>
      <c r="S9" s="5" t="n">
        <f aca="false">spmv_1!R$6/R9</f>
        <v>4.04829712060793</v>
      </c>
      <c r="T9" s="6" t="n">
        <f aca="false">S9/4</f>
        <v>1.01207428015198</v>
      </c>
    </row>
    <row r="10" customFormat="false" ht="15" hidden="false" customHeight="false" outlineLevel="0" collapsed="false">
      <c r="A10" s="1" t="s">
        <v>16</v>
      </c>
      <c r="B10" s="1" t="n">
        <v>1</v>
      </c>
      <c r="D10" s="1" t="n">
        <v>27720684</v>
      </c>
      <c r="E10" s="1" t="n">
        <v>1.358776</v>
      </c>
      <c r="G10" s="1" t="n">
        <v>0.039487362</v>
      </c>
      <c r="H10" s="1" t="n">
        <v>0.041145802</v>
      </c>
      <c r="I10" s="1" t="n">
        <v>0.04029417</v>
      </c>
      <c r="J10" s="1" t="n">
        <v>0.040298939</v>
      </c>
      <c r="K10" s="1" t="n">
        <v>0.040371895</v>
      </c>
      <c r="L10" s="1" t="n">
        <v>0.04143095</v>
      </c>
      <c r="M10" s="1" t="n">
        <v>0.041602373</v>
      </c>
      <c r="N10" s="1" t="n">
        <v>0.041573763</v>
      </c>
      <c r="O10" s="1" t="n">
        <v>0.040261269</v>
      </c>
      <c r="P10" s="1" t="n">
        <v>0.041557789</v>
      </c>
      <c r="R10" s="1" t="n">
        <f aca="false">PERCENTILE(G10:P10,0.9)</f>
        <v>0.041576624</v>
      </c>
      <c r="S10" s="5" t="n">
        <f aca="false">spmv_1!R$6/R10</f>
        <v>4.04637496781846</v>
      </c>
      <c r="T10" s="6" t="n">
        <f aca="false">S10/4</f>
        <v>1.01159374195461</v>
      </c>
    </row>
    <row r="11" customFormat="false" ht="15" hidden="false" customHeight="false" outlineLevel="0" collapsed="false">
      <c r="A11" s="1" t="s">
        <v>16</v>
      </c>
      <c r="B11" s="1" t="n">
        <v>2</v>
      </c>
      <c r="D11" s="1" t="n">
        <v>27719328</v>
      </c>
      <c r="E11" s="1" t="n">
        <v>1.342717</v>
      </c>
      <c r="G11" s="1" t="n">
        <v>0.041122913</v>
      </c>
      <c r="H11" s="1" t="n">
        <v>0.041344166</v>
      </c>
      <c r="I11" s="1" t="n">
        <v>0.041503429</v>
      </c>
      <c r="J11" s="1" t="n">
        <v>0.041078568</v>
      </c>
      <c r="K11" s="1" t="n">
        <v>0.041470528</v>
      </c>
      <c r="L11" s="1" t="n">
        <v>0.0406425</v>
      </c>
      <c r="M11" s="1" t="n">
        <v>0.041496515</v>
      </c>
      <c r="N11" s="1" t="n">
        <v>0.0416224</v>
      </c>
      <c r="O11" s="1" t="n">
        <v>0.041588545</v>
      </c>
      <c r="P11" s="1" t="n">
        <v>0.041014671</v>
      </c>
      <c r="R11" s="1" t="n">
        <f aca="false">PERCENTILE(G11:P11,0.9)</f>
        <v>0.0415919305</v>
      </c>
      <c r="S11" s="5" t="n">
        <f aca="false">spmv_1!R$6/R11</f>
        <v>4.04488583668892</v>
      </c>
      <c r="T11" s="6" t="n">
        <f aca="false">S11/4</f>
        <v>1.01122145917223</v>
      </c>
    </row>
    <row r="12" customFormat="false" ht="15" hidden="false" customHeight="false" outlineLevel="0" collapsed="false">
      <c r="A12" s="1" t="s">
        <v>16</v>
      </c>
      <c r="B12" s="1" t="n">
        <v>3</v>
      </c>
      <c r="D12" s="1" t="n">
        <v>27719302</v>
      </c>
      <c r="E12" s="1" t="n">
        <v>1.375277</v>
      </c>
      <c r="G12" s="1" t="n">
        <v>0.039041042</v>
      </c>
      <c r="H12" s="1" t="n">
        <v>0.039819241</v>
      </c>
      <c r="I12" s="1" t="n">
        <v>0.040188551</v>
      </c>
      <c r="J12" s="1" t="n">
        <v>0.04093504</v>
      </c>
      <c r="K12" s="1" t="n">
        <v>0.040450096</v>
      </c>
      <c r="L12" s="1" t="n">
        <v>0.040946722</v>
      </c>
      <c r="M12" s="1" t="n">
        <v>0.040290594</v>
      </c>
      <c r="N12" s="1" t="n">
        <v>0.040420532</v>
      </c>
      <c r="O12" s="1" t="n">
        <v>0.040861368</v>
      </c>
      <c r="P12" s="1" t="n">
        <v>0.040155411</v>
      </c>
      <c r="R12" s="1" t="n">
        <f aca="false">PERCENTILE(G12:P12,0.9)</f>
        <v>0.0409362082</v>
      </c>
      <c r="S12" s="5" t="n">
        <f aca="false">spmv_1!R$6/R12</f>
        <v>4.10967742244383</v>
      </c>
      <c r="T12" s="6" t="n">
        <f aca="false">S12/4</f>
        <v>1.02741935561096</v>
      </c>
    </row>
    <row r="15" customFormat="false" ht="15" hidden="false" customHeight="false" outlineLevel="0" collapsed="false">
      <c r="A15" s="2" t="s">
        <v>0</v>
      </c>
      <c r="B15" s="2" t="s">
        <v>1</v>
      </c>
      <c r="C15" s="3"/>
      <c r="D15" s="2" t="s">
        <v>2</v>
      </c>
      <c r="E15" s="2" t="s">
        <v>3</v>
      </c>
      <c r="F15" s="3"/>
      <c r="G15" s="2" t="s">
        <v>4</v>
      </c>
      <c r="H15" s="2" t="s">
        <v>5</v>
      </c>
      <c r="I15" s="2" t="s">
        <v>6</v>
      </c>
      <c r="J15" s="2" t="s">
        <v>7</v>
      </c>
      <c r="K15" s="2" t="s">
        <v>8</v>
      </c>
      <c r="L15" s="2" t="s">
        <v>9</v>
      </c>
      <c r="M15" s="2" t="s">
        <v>10</v>
      </c>
      <c r="N15" s="2" t="s">
        <v>11</v>
      </c>
      <c r="O15" s="2" t="s">
        <v>12</v>
      </c>
      <c r="P15" s="2" t="s">
        <v>13</v>
      </c>
      <c r="R15" s="4" t="s">
        <v>14</v>
      </c>
      <c r="S15" s="7" t="s">
        <v>20</v>
      </c>
      <c r="T15" s="8" t="s">
        <v>21</v>
      </c>
    </row>
    <row r="16" customFormat="false" ht="15" hidden="false" customHeight="false" outlineLevel="0" collapsed="false">
      <c r="A16" s="1" t="s">
        <v>17</v>
      </c>
      <c r="B16" s="1" t="n">
        <v>0</v>
      </c>
      <c r="D16" s="1" t="n">
        <v>5058715</v>
      </c>
      <c r="E16" s="1" t="n">
        <v>1.218674</v>
      </c>
      <c r="G16" s="1" t="n">
        <v>0.008655548</v>
      </c>
      <c r="H16" s="1" t="n">
        <v>0.008394241</v>
      </c>
      <c r="I16" s="1" t="n">
        <v>0.008255959</v>
      </c>
      <c r="J16" s="1" t="n">
        <v>0.008260012</v>
      </c>
      <c r="K16" s="1" t="n">
        <v>0.008267164</v>
      </c>
      <c r="L16" s="1" t="n">
        <v>0.008269072</v>
      </c>
      <c r="M16" s="1" t="n">
        <v>0.00818038</v>
      </c>
      <c r="N16" s="1" t="n">
        <v>0.008245945</v>
      </c>
      <c r="O16" s="1" t="n">
        <v>0.008247852</v>
      </c>
      <c r="P16" s="1" t="n">
        <v>0.008243799</v>
      </c>
      <c r="R16" s="1" t="n">
        <f aca="false">PERCENTILE(G16:P16,0.9)</f>
        <v>0.0084203717</v>
      </c>
      <c r="S16" s="5" t="n">
        <f aca="false">spmv_1!R$10/R16</f>
        <v>4.16035366942293</v>
      </c>
      <c r="T16" s="6" t="n">
        <f aca="false">S16/4</f>
        <v>1.04008841735573</v>
      </c>
    </row>
    <row r="17" customFormat="false" ht="15" hidden="false" customHeight="false" outlineLevel="0" collapsed="false">
      <c r="A17" s="1" t="s">
        <v>17</v>
      </c>
      <c r="B17" s="1" t="n">
        <v>1</v>
      </c>
      <c r="D17" s="1" t="n">
        <v>5063792</v>
      </c>
      <c r="E17" s="1" t="n">
        <v>1.233866</v>
      </c>
      <c r="G17" s="1" t="n">
        <v>0.008527517</v>
      </c>
      <c r="H17" s="1" t="n">
        <v>0.008019209</v>
      </c>
      <c r="I17" s="1" t="n">
        <v>0.008064032</v>
      </c>
      <c r="J17" s="1" t="n">
        <v>0.008225679</v>
      </c>
      <c r="K17" s="1" t="n">
        <v>0.008230448</v>
      </c>
      <c r="L17" s="1" t="n">
        <v>0.008278131</v>
      </c>
      <c r="M17" s="1" t="n">
        <v>0.00825882</v>
      </c>
      <c r="N17" s="1" t="n">
        <v>0.007972002</v>
      </c>
      <c r="O17" s="1" t="n">
        <v>0.008184195</v>
      </c>
      <c r="P17" s="1" t="n">
        <v>0.008320093</v>
      </c>
      <c r="R17" s="1" t="n">
        <f aca="false">PERCENTILE(G17:P17,0.9)</f>
        <v>0.0083408354</v>
      </c>
      <c r="S17" s="5" t="n">
        <f aca="false">spmv_1!R$10/R17</f>
        <v>4.20002585112758</v>
      </c>
      <c r="T17" s="6" t="n">
        <f aca="false">S17/4</f>
        <v>1.05000646278189</v>
      </c>
    </row>
    <row r="18" customFormat="false" ht="15" hidden="false" customHeight="false" outlineLevel="0" collapsed="false">
      <c r="A18" s="1" t="s">
        <v>17</v>
      </c>
      <c r="B18" s="1" t="n">
        <v>2</v>
      </c>
      <c r="D18" s="1" t="n">
        <v>5055857</v>
      </c>
      <c r="E18" s="1" t="n">
        <v>1.191625</v>
      </c>
      <c r="G18" s="1" t="n">
        <v>0.008817196</v>
      </c>
      <c r="H18" s="1" t="n">
        <v>0.008522272</v>
      </c>
      <c r="I18" s="1" t="n">
        <v>0.008379459</v>
      </c>
      <c r="J18" s="1" t="n">
        <v>0.008380413</v>
      </c>
      <c r="K18" s="1" t="n">
        <v>0.008482218</v>
      </c>
      <c r="L18" s="1" t="n">
        <v>0.008481503</v>
      </c>
      <c r="M18" s="1" t="n">
        <v>0.008460283</v>
      </c>
      <c r="N18" s="1" t="n">
        <v>0.008362055</v>
      </c>
      <c r="O18" s="1" t="n">
        <v>0.00843215</v>
      </c>
      <c r="P18" s="1" t="n">
        <v>0.008538961</v>
      </c>
      <c r="R18" s="1" t="n">
        <f aca="false">PERCENTILE(G18:P18,0.9)</f>
        <v>0.0085667845</v>
      </c>
      <c r="S18" s="5" t="n">
        <f aca="false">spmv_1!R$10/R18</f>
        <v>4.0892500914433</v>
      </c>
      <c r="T18" s="6" t="n">
        <f aca="false">S18/4</f>
        <v>1.02231252286082</v>
      </c>
    </row>
    <row r="19" customFormat="false" ht="15" hidden="false" customHeight="false" outlineLevel="0" collapsed="false">
      <c r="A19" s="1" t="s">
        <v>17</v>
      </c>
      <c r="B19" s="1" t="n">
        <v>3</v>
      </c>
      <c r="D19" s="1" t="n">
        <v>5062571</v>
      </c>
      <c r="E19" s="1" t="n">
        <v>1.182219</v>
      </c>
      <c r="G19" s="1" t="n">
        <v>0.009032011</v>
      </c>
      <c r="H19" s="1" t="n">
        <v>0.008604527</v>
      </c>
      <c r="I19" s="1" t="n">
        <v>0.008483887</v>
      </c>
      <c r="J19" s="1" t="n">
        <v>0.008514404</v>
      </c>
      <c r="K19" s="1" t="n">
        <v>0.00847888</v>
      </c>
      <c r="L19" s="1" t="n">
        <v>0.008449078</v>
      </c>
      <c r="M19" s="1" t="n">
        <v>0.008575916</v>
      </c>
      <c r="N19" s="1" t="n">
        <v>0.008400202</v>
      </c>
      <c r="O19" s="1" t="n">
        <v>0.008520842</v>
      </c>
      <c r="P19" s="1" t="n">
        <v>0.008585453</v>
      </c>
      <c r="R19" s="1" t="n">
        <f aca="false">PERCENTILE(G19:P19,0.9)</f>
        <v>0.0086472754</v>
      </c>
      <c r="S19" s="5" t="n">
        <f aca="false">spmv_1!R$10/R19</f>
        <v>4.05118637715644</v>
      </c>
      <c r="T19" s="6" t="n">
        <f aca="false">S19/4</f>
        <v>1.01279659428911</v>
      </c>
    </row>
    <row r="22" customFormat="false" ht="15" hidden="false" customHeight="false" outlineLevel="0" collapsed="false">
      <c r="A22" s="2" t="s">
        <v>0</v>
      </c>
      <c r="B22" s="2" t="s">
        <v>1</v>
      </c>
      <c r="C22" s="3"/>
      <c r="D22" s="2" t="s">
        <v>2</v>
      </c>
      <c r="E22" s="2" t="s">
        <v>3</v>
      </c>
      <c r="F22" s="3"/>
      <c r="G22" s="2" t="s">
        <v>4</v>
      </c>
      <c r="H22" s="2" t="s">
        <v>5</v>
      </c>
      <c r="I22" s="2" t="s">
        <v>6</v>
      </c>
      <c r="J22" s="2" t="s">
        <v>7</v>
      </c>
      <c r="K22" s="2" t="s">
        <v>8</v>
      </c>
      <c r="L22" s="2" t="s">
        <v>9</v>
      </c>
      <c r="M22" s="2" t="s">
        <v>10</v>
      </c>
      <c r="N22" s="2" t="s">
        <v>11</v>
      </c>
      <c r="O22" s="2" t="s">
        <v>12</v>
      </c>
      <c r="P22" s="2" t="s">
        <v>13</v>
      </c>
      <c r="R22" s="4" t="s">
        <v>14</v>
      </c>
      <c r="S22" s="7" t="s">
        <v>20</v>
      </c>
      <c r="T22" s="8" t="s">
        <v>21</v>
      </c>
    </row>
    <row r="23" customFormat="false" ht="15" hidden="false" customHeight="false" outlineLevel="0" collapsed="false">
      <c r="A23" s="1" t="s">
        <v>18</v>
      </c>
      <c r="B23" s="1" t="n">
        <v>0</v>
      </c>
      <c r="D23" s="1" t="n">
        <v>193615216</v>
      </c>
      <c r="E23" s="1" t="n">
        <v>1.055012</v>
      </c>
      <c r="G23" s="1" t="n">
        <v>0.366887093</v>
      </c>
      <c r="H23" s="1" t="n">
        <v>0.366873264</v>
      </c>
      <c r="I23" s="1" t="n">
        <v>0.36665082</v>
      </c>
      <c r="J23" s="1" t="n">
        <v>0.36680603</v>
      </c>
      <c r="K23" s="1" t="n">
        <v>0.367050648</v>
      </c>
      <c r="L23" s="1" t="n">
        <v>0.367341042</v>
      </c>
      <c r="M23" s="1" t="n">
        <v>0.367165089</v>
      </c>
      <c r="N23" s="1" t="n">
        <v>0.367575884</v>
      </c>
      <c r="O23" s="1" t="n">
        <v>0.36707592</v>
      </c>
      <c r="P23" s="1" t="n">
        <v>0.366963387</v>
      </c>
      <c r="R23" s="1" t="n">
        <f aca="false">PERCENTILE(G23:P23,0.9)</f>
        <v>0.3673645262</v>
      </c>
      <c r="S23" s="5" t="n">
        <f aca="false">spmv_1!R$14/R23</f>
        <v>3.00667071512143</v>
      </c>
      <c r="T23" s="6" t="n">
        <f aca="false">S23/4</f>
        <v>0.751667678780358</v>
      </c>
    </row>
    <row r="24" customFormat="false" ht="15" hidden="false" customHeight="false" outlineLevel="0" collapsed="false">
      <c r="A24" s="1" t="s">
        <v>18</v>
      </c>
      <c r="B24" s="1" t="n">
        <v>1</v>
      </c>
      <c r="D24" s="1" t="n">
        <v>193620960</v>
      </c>
      <c r="E24" s="1" t="n">
        <v>1.056275</v>
      </c>
      <c r="G24" s="1" t="n">
        <v>0.373458385</v>
      </c>
      <c r="H24" s="1" t="n">
        <v>0.364861488</v>
      </c>
      <c r="I24" s="1" t="n">
        <v>0.364626169</v>
      </c>
      <c r="J24" s="1" t="n">
        <v>0.364123821</v>
      </c>
      <c r="K24" s="1" t="n">
        <v>0.365327835</v>
      </c>
      <c r="L24" s="1" t="n">
        <v>0.364880323</v>
      </c>
      <c r="M24" s="1" t="n">
        <v>0.364657402</v>
      </c>
      <c r="N24" s="1" t="n">
        <v>0.365009785</v>
      </c>
      <c r="O24" s="1" t="n">
        <v>0.374081373</v>
      </c>
      <c r="P24" s="1" t="n">
        <v>0.365083694</v>
      </c>
      <c r="R24" s="1" t="n">
        <f aca="false">PERCENTILE(G24:P24,0.9)</f>
        <v>0.3735206838</v>
      </c>
      <c r="S24" s="5" t="n">
        <f aca="false">spmv_1!R$14/R24</f>
        <v>2.95711646129729</v>
      </c>
      <c r="T24" s="6" t="n">
        <f aca="false">S24/4</f>
        <v>0.739279115324323</v>
      </c>
    </row>
    <row r="25" customFormat="false" ht="15" hidden="false" customHeight="false" outlineLevel="0" collapsed="false">
      <c r="A25" s="1" t="s">
        <v>18</v>
      </c>
      <c r="B25" s="1" t="n">
        <v>2</v>
      </c>
      <c r="D25" s="1" t="n">
        <v>193620960</v>
      </c>
      <c r="E25" s="1" t="n">
        <v>1.053977</v>
      </c>
      <c r="G25" s="1" t="n">
        <v>0.374546528</v>
      </c>
      <c r="H25" s="1" t="n">
        <v>0.365199566</v>
      </c>
      <c r="I25" s="1" t="n">
        <v>0.365476608</v>
      </c>
      <c r="J25" s="1" t="n">
        <v>0.365112305</v>
      </c>
      <c r="K25" s="1" t="n">
        <v>0.365772247</v>
      </c>
      <c r="L25" s="1" t="n">
        <v>0.365736961</v>
      </c>
      <c r="M25" s="1" t="n">
        <v>0.366178989</v>
      </c>
      <c r="N25" s="1" t="n">
        <v>0.365900755</v>
      </c>
      <c r="O25" s="1" t="n">
        <v>0.374839306</v>
      </c>
      <c r="P25" s="1" t="n">
        <v>0.365337372</v>
      </c>
      <c r="R25" s="1" t="n">
        <f aca="false">PERCENTILE(G25:P25,0.9)</f>
        <v>0.3745758058</v>
      </c>
      <c r="S25" s="5" t="n">
        <f aca="false">spmv_1!R$14/R25</f>
        <v>2.94878672246589</v>
      </c>
      <c r="T25" s="6" t="n">
        <f aca="false">S25/4</f>
        <v>0.737196680616472</v>
      </c>
    </row>
    <row r="26" customFormat="false" ht="15" hidden="false" customHeight="false" outlineLevel="0" collapsed="false">
      <c r="A26" s="1" t="s">
        <v>18</v>
      </c>
      <c r="B26" s="1" t="n">
        <v>3</v>
      </c>
      <c r="D26" s="1" t="n">
        <v>193615216</v>
      </c>
      <c r="E26" s="1" t="n">
        <v>1.034265</v>
      </c>
      <c r="G26" s="1" t="n">
        <v>0.374334812</v>
      </c>
      <c r="H26" s="1" t="n">
        <v>0.374164581</v>
      </c>
      <c r="I26" s="1" t="n">
        <v>0.37380743</v>
      </c>
      <c r="J26" s="1" t="n">
        <v>0.374238729</v>
      </c>
      <c r="K26" s="1" t="n">
        <v>0.374797106</v>
      </c>
      <c r="L26" s="1" t="n">
        <v>0.374397516</v>
      </c>
      <c r="M26" s="1" t="n">
        <v>0.374457598</v>
      </c>
      <c r="N26" s="1" t="n">
        <v>0.374520302</v>
      </c>
      <c r="O26" s="1" t="n">
        <v>0.374685049</v>
      </c>
      <c r="P26" s="1" t="n">
        <v>0.374612093</v>
      </c>
      <c r="R26" s="1" t="n">
        <f aca="false">PERCENTILE(G26:P26,0.9)</f>
        <v>0.3746962547</v>
      </c>
      <c r="S26" s="5" t="n">
        <f aca="false">spmv_1!R$14/R26</f>
        <v>2.94783881302564</v>
      </c>
      <c r="T26" s="6" t="n">
        <f aca="false">S26/4</f>
        <v>0.73695970325641</v>
      </c>
    </row>
    <row r="29" customFormat="false" ht="15" hidden="false" customHeight="false" outlineLevel="0" collapsed="false">
      <c r="A29" s="2" t="s">
        <v>0</v>
      </c>
      <c r="B29" s="2" t="s">
        <v>1</v>
      </c>
      <c r="C29" s="3"/>
      <c r="D29" s="2" t="s">
        <v>2</v>
      </c>
      <c r="E29" s="2" t="s">
        <v>3</v>
      </c>
      <c r="F29" s="3"/>
      <c r="G29" s="2" t="s">
        <v>4</v>
      </c>
      <c r="H29" s="2" t="s">
        <v>5</v>
      </c>
      <c r="I29" s="2" t="s">
        <v>6</v>
      </c>
      <c r="J29" s="2" t="s">
        <v>7</v>
      </c>
      <c r="K29" s="2" t="s">
        <v>8</v>
      </c>
      <c r="L29" s="2" t="s">
        <v>9</v>
      </c>
      <c r="M29" s="2" t="s">
        <v>10</v>
      </c>
      <c r="N29" s="2" t="s">
        <v>11</v>
      </c>
      <c r="O29" s="2" t="s">
        <v>12</v>
      </c>
      <c r="P29" s="2" t="s">
        <v>13</v>
      </c>
      <c r="R29" s="4" t="s">
        <v>14</v>
      </c>
      <c r="S29" s="7" t="s">
        <v>20</v>
      </c>
      <c r="T29" s="8" t="s">
        <v>21</v>
      </c>
    </row>
    <row r="30" customFormat="false" ht="15" hidden="false" customHeight="false" outlineLevel="0" collapsed="false">
      <c r="A30" s="1" t="s">
        <v>19</v>
      </c>
      <c r="B30" s="1" t="n">
        <v>0</v>
      </c>
      <c r="D30" s="1" t="n">
        <v>9302103</v>
      </c>
      <c r="E30" s="1" t="n">
        <v>0.764497</v>
      </c>
      <c r="G30" s="1" t="n">
        <v>0.023035526</v>
      </c>
      <c r="H30" s="1" t="n">
        <v>0.024475813</v>
      </c>
      <c r="I30" s="1" t="n">
        <v>0.024579048</v>
      </c>
      <c r="J30" s="1" t="n">
        <v>0.0244627</v>
      </c>
      <c r="K30" s="1" t="n">
        <v>0.024162292</v>
      </c>
      <c r="L30" s="1" t="n">
        <v>0.024510622</v>
      </c>
      <c r="M30" s="1" t="n">
        <v>0.024620056</v>
      </c>
      <c r="N30" s="1" t="n">
        <v>0.024677992</v>
      </c>
      <c r="O30" s="1" t="n">
        <v>0.024659395</v>
      </c>
      <c r="P30" s="1" t="n">
        <v>0.02416873</v>
      </c>
      <c r="R30" s="1" t="n">
        <f aca="false">PERCENTILE(G30:P30,0.9)</f>
        <v>0.0246612547</v>
      </c>
      <c r="S30" s="5" t="n">
        <f aca="false">spmv_1!R$18/R30</f>
        <v>3.14415181803382</v>
      </c>
      <c r="T30" s="6" t="n">
        <f aca="false">S30/4</f>
        <v>0.786037954508454</v>
      </c>
    </row>
    <row r="31" customFormat="false" ht="15" hidden="false" customHeight="false" outlineLevel="0" collapsed="false">
      <c r="A31" s="1" t="s">
        <v>19</v>
      </c>
      <c r="B31" s="1" t="n">
        <v>1</v>
      </c>
      <c r="D31" s="1" t="n">
        <v>9184782</v>
      </c>
      <c r="E31" s="1" t="n">
        <v>1.262433</v>
      </c>
      <c r="G31" s="1" t="n">
        <v>0.018001318</v>
      </c>
      <c r="H31" s="1" t="n">
        <v>0.014500856</v>
      </c>
      <c r="I31" s="1" t="n">
        <v>0.014052153</v>
      </c>
      <c r="J31" s="1" t="n">
        <v>0.013979673</v>
      </c>
      <c r="K31" s="1" t="n">
        <v>0.014300108</v>
      </c>
      <c r="L31" s="1" t="n">
        <v>0.013938189</v>
      </c>
      <c r="M31" s="1" t="n">
        <v>0.014250994</v>
      </c>
      <c r="N31" s="1" t="n">
        <v>0.014009476</v>
      </c>
      <c r="O31" s="1" t="n">
        <v>0.01414752</v>
      </c>
      <c r="P31" s="1" t="n">
        <v>0.014328957</v>
      </c>
      <c r="R31" s="1" t="n">
        <f aca="false">PERCENTILE(G31:P31,0.9)</f>
        <v>0.0148509022</v>
      </c>
      <c r="S31" s="5" t="n">
        <f aca="false">spmv_1!R$18/R31</f>
        <v>5.22114601226045</v>
      </c>
      <c r="T31" s="6" t="n">
        <f aca="false">S31/4</f>
        <v>1.30528650306511</v>
      </c>
    </row>
    <row r="32" customFormat="false" ht="15" hidden="false" customHeight="false" outlineLevel="0" collapsed="false">
      <c r="A32" s="1" t="s">
        <v>19</v>
      </c>
      <c r="B32" s="1" t="n">
        <v>2</v>
      </c>
      <c r="D32" s="1" t="n">
        <v>9138104</v>
      </c>
      <c r="E32" s="1" t="n">
        <v>0.778831</v>
      </c>
      <c r="G32" s="1" t="n">
        <v>0.019892454</v>
      </c>
      <c r="H32" s="1" t="n">
        <v>0.024363995</v>
      </c>
      <c r="I32" s="1" t="n">
        <v>0.02401042</v>
      </c>
      <c r="J32" s="1" t="n">
        <v>0.023626566</v>
      </c>
      <c r="K32" s="1" t="n">
        <v>0.023717165</v>
      </c>
      <c r="L32" s="1" t="n">
        <v>0.023770332</v>
      </c>
      <c r="M32" s="1" t="n">
        <v>0.023964167</v>
      </c>
      <c r="N32" s="1" t="n">
        <v>0.023531199</v>
      </c>
      <c r="O32" s="1" t="n">
        <v>0.023878336</v>
      </c>
      <c r="P32" s="1" t="n">
        <v>0.023907423</v>
      </c>
      <c r="R32" s="1" t="n">
        <f aca="false">PERCENTILE(G32:P32,0.9)</f>
        <v>0.0240457775</v>
      </c>
      <c r="S32" s="5" t="n">
        <f aca="false">spmv_1!R$18/R32</f>
        <v>3.22462972137208</v>
      </c>
      <c r="T32" s="6" t="n">
        <f aca="false">S32/4</f>
        <v>0.80615743034302</v>
      </c>
    </row>
    <row r="33" customFormat="false" ht="15" hidden="false" customHeight="false" outlineLevel="0" collapsed="false">
      <c r="A33" s="1" t="s">
        <v>19</v>
      </c>
      <c r="B33" s="1" t="n">
        <v>3</v>
      </c>
      <c r="D33" s="1" t="n">
        <v>9513472</v>
      </c>
      <c r="E33" s="1" t="n">
        <v>1.289487</v>
      </c>
      <c r="G33" s="1" t="n">
        <v>0.017922401</v>
      </c>
      <c r="H33" s="1" t="n">
        <v>0.014955282</v>
      </c>
      <c r="I33" s="1" t="n">
        <v>0.01444602</v>
      </c>
      <c r="J33" s="1" t="n">
        <v>0.014402151</v>
      </c>
      <c r="K33" s="1" t="n">
        <v>0.01418829</v>
      </c>
      <c r="L33" s="1" t="n">
        <v>0.014298677</v>
      </c>
      <c r="M33" s="1" t="n">
        <v>0.014585257</v>
      </c>
      <c r="N33" s="1" t="n">
        <v>0.014248848</v>
      </c>
      <c r="O33" s="1" t="n">
        <v>0.014042377</v>
      </c>
      <c r="P33" s="1" t="n">
        <v>0.014465094</v>
      </c>
      <c r="R33" s="1" t="n">
        <f aca="false">PERCENTILE(G33:P33,0.9)</f>
        <v>0.0152519939</v>
      </c>
      <c r="S33" s="5" t="n">
        <f aca="false">spmv_1!R$18/R33</f>
        <v>5.08384210670318</v>
      </c>
      <c r="T33" s="6" t="n">
        <f aca="false">S33/4</f>
        <v>1.27096052667579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53"/>
  <sheetViews>
    <sheetView showFormulas="false" showGridLines="true" showRowColHeaders="true" showZeros="true" rightToLeft="false" tabSelected="false" showOutlineSymbols="true" defaultGridColor="true" view="normal" topLeftCell="A23" colorId="64" zoomScale="100" zoomScaleNormal="100" zoomScalePageLayoutView="100" workbookViewId="0">
      <selection pane="topLeft" activeCell="X44" activeCellId="0" sqref="X44"/>
    </sheetView>
  </sheetViews>
  <sheetFormatPr defaultColWidth="8.6171875" defaultRowHeight="15" customHeight="true" zeroHeight="false" outlineLevelRow="0" outlineLevelCol="0"/>
  <cols>
    <col collapsed="false" customWidth="true" hidden="false" outlineLevel="0" max="1" min="1" style="1" width="13.34"/>
    <col collapsed="false" customWidth="true" hidden="false" outlineLevel="0" max="3" min="3" style="1" width="6.25"/>
    <col collapsed="false" customWidth="true" hidden="false" outlineLevel="0" max="5" min="4" style="1" width="13.34"/>
    <col collapsed="false" customWidth="true" hidden="false" outlineLevel="0" max="6" min="6" style="1" width="6.25"/>
    <col collapsed="false" customWidth="true" hidden="false" outlineLevel="0" max="16" min="7" style="1" width="13.34"/>
    <col collapsed="false" customWidth="true" hidden="false" outlineLevel="0" max="17" min="17" style="1" width="6.25"/>
    <col collapsed="false" customWidth="true" hidden="false" outlineLevel="0" max="18" min="18" style="1" width="13.34"/>
    <col collapsed="false" customWidth="true" hidden="false" outlineLevel="0" max="19" min="19" style="5" width="13.34"/>
    <col collapsed="false" customWidth="true" hidden="false" outlineLevel="0" max="20" min="20" style="6" width="13.34"/>
    <col collapsed="false" customWidth="true" hidden="false" outlineLevel="0" max="16384" min="16384" style="1" width="10.49"/>
  </cols>
  <sheetData>
    <row r="1" customFormat="false" ht="15" hidden="false" customHeight="false" outlineLevel="0" collapsed="false">
      <c r="A1" s="2" t="s">
        <v>0</v>
      </c>
      <c r="B1" s="2" t="s">
        <v>1</v>
      </c>
      <c r="C1" s="3"/>
      <c r="D1" s="2" t="s">
        <v>2</v>
      </c>
      <c r="E1" s="2" t="s">
        <v>3</v>
      </c>
      <c r="F1" s="3"/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R1" s="4" t="s">
        <v>14</v>
      </c>
      <c r="S1" s="7" t="s">
        <v>20</v>
      </c>
      <c r="T1" s="8" t="s">
        <v>21</v>
      </c>
    </row>
    <row r="2" customFormat="false" ht="15" hidden="false" customHeight="false" outlineLevel="0" collapsed="false">
      <c r="A2" s="1" t="s">
        <v>15</v>
      </c>
      <c r="B2" s="1" t="n">
        <v>0</v>
      </c>
      <c r="D2" s="1" t="n">
        <v>1329644</v>
      </c>
      <c r="E2" s="1" t="n">
        <v>1.005305</v>
      </c>
      <c r="G2" s="1" t="n">
        <v>0.002890587</v>
      </c>
      <c r="H2" s="1" t="n">
        <v>0.002570629</v>
      </c>
      <c r="I2" s="1" t="n">
        <v>0.002589464</v>
      </c>
      <c r="J2" s="1" t="n">
        <v>0.002710342</v>
      </c>
      <c r="K2" s="1" t="n">
        <v>0.002684593</v>
      </c>
      <c r="L2" s="1" t="n">
        <v>0.002572536</v>
      </c>
      <c r="M2" s="1" t="n">
        <v>0.002524376</v>
      </c>
      <c r="N2" s="1" t="n">
        <v>0.002598286</v>
      </c>
      <c r="O2" s="1" t="n">
        <v>0.002640963</v>
      </c>
      <c r="P2" s="1" t="n">
        <v>0.002670765</v>
      </c>
      <c r="R2" s="1" t="n">
        <f aca="false">PERCENTILE(G2:P2,0.9)</f>
        <v>0.0027283665</v>
      </c>
      <c r="S2" s="9" t="n">
        <f aca="false">spmv_1!R$2/R2</f>
        <v>6.38596332274275</v>
      </c>
      <c r="T2" s="6" t="n">
        <f aca="false">S2/8</f>
        <v>0.798245415342843</v>
      </c>
    </row>
    <row r="3" customFormat="false" ht="15" hidden="false" customHeight="false" outlineLevel="0" collapsed="false">
      <c r="A3" s="1" t="s">
        <v>15</v>
      </c>
      <c r="B3" s="1" t="n">
        <v>1</v>
      </c>
      <c r="D3" s="1" t="n">
        <v>1332084</v>
      </c>
      <c r="E3" s="1" t="n">
        <v>0.966445</v>
      </c>
      <c r="G3" s="1" t="n">
        <v>0.002987623</v>
      </c>
      <c r="H3" s="1" t="n">
        <v>0.002701521</v>
      </c>
      <c r="I3" s="1" t="n">
        <v>0.002714396</v>
      </c>
      <c r="J3" s="1" t="n">
        <v>0.002835274</v>
      </c>
      <c r="K3" s="1" t="n">
        <v>0.002756119</v>
      </c>
      <c r="L3" s="1" t="n">
        <v>0.002753973</v>
      </c>
      <c r="M3" s="1" t="n">
        <v>0.002630472</v>
      </c>
      <c r="N3" s="1" t="n">
        <v>0.002732515</v>
      </c>
      <c r="O3" s="1" t="n">
        <v>0.002698898</v>
      </c>
      <c r="P3" s="1" t="n">
        <v>0.00275588</v>
      </c>
      <c r="R3" s="1" t="n">
        <f aca="false">PERCENTILE(G3:P3,0.9)</f>
        <v>0.0028505089</v>
      </c>
      <c r="S3" s="9" t="n">
        <f aca="false">spmv_1!R$2/R3</f>
        <v>6.11232906517148</v>
      </c>
      <c r="T3" s="6" t="n">
        <f aca="false">S3/8</f>
        <v>0.764041133146436</v>
      </c>
    </row>
    <row r="4" customFormat="false" ht="15" hidden="false" customHeight="false" outlineLevel="0" collapsed="false">
      <c r="A4" s="1" t="s">
        <v>15</v>
      </c>
      <c r="B4" s="1" t="n">
        <v>2</v>
      </c>
      <c r="D4" s="1" t="n">
        <v>1329679</v>
      </c>
      <c r="E4" s="1" t="n">
        <v>0.915288</v>
      </c>
      <c r="G4" s="1" t="n">
        <v>0.003011703</v>
      </c>
      <c r="H4" s="1" t="n">
        <v>0.00285697</v>
      </c>
      <c r="I4" s="1" t="n">
        <v>0.002855539</v>
      </c>
      <c r="J4" s="1" t="n">
        <v>0.002933741</v>
      </c>
      <c r="K4" s="1" t="n">
        <v>0.002861023</v>
      </c>
      <c r="L4" s="1" t="n">
        <v>0.002892971</v>
      </c>
      <c r="M4" s="1" t="n">
        <v>0.002884388</v>
      </c>
      <c r="N4" s="1" t="n">
        <v>0.00296855</v>
      </c>
      <c r="O4" s="1" t="n">
        <v>0.002873182</v>
      </c>
      <c r="P4" s="1" t="n">
        <v>0.002916813</v>
      </c>
      <c r="R4" s="1" t="n">
        <f aca="false">PERCENTILE(G4:P4,0.9)</f>
        <v>0.0029728653</v>
      </c>
      <c r="S4" s="9" t="n">
        <f aca="false">spmv_1!R$2/R4</f>
        <v>5.86075944981429</v>
      </c>
      <c r="T4" s="6" t="n">
        <f aca="false">S4/8</f>
        <v>0.732594931226786</v>
      </c>
    </row>
    <row r="5" customFormat="false" ht="15" hidden="false" customHeight="false" outlineLevel="0" collapsed="false">
      <c r="A5" s="1" t="s">
        <v>15</v>
      </c>
      <c r="B5" s="1" t="n">
        <v>3</v>
      </c>
      <c r="D5" s="1" t="n">
        <v>1331060</v>
      </c>
      <c r="E5" s="1" t="n">
        <v>0.670849</v>
      </c>
      <c r="G5" s="1" t="n">
        <v>0.003385067</v>
      </c>
      <c r="H5" s="1" t="n">
        <v>0.004009962</v>
      </c>
      <c r="I5" s="1" t="n">
        <v>0.004036903</v>
      </c>
      <c r="J5" s="1" t="n">
        <v>0.00406146</v>
      </c>
      <c r="K5" s="1" t="n">
        <v>0.004045486</v>
      </c>
      <c r="L5" s="1" t="n">
        <v>0.004056454</v>
      </c>
      <c r="M5" s="1" t="n">
        <v>0.00409174</v>
      </c>
      <c r="N5" s="1" t="n">
        <v>0.004016161</v>
      </c>
      <c r="O5" s="1" t="n">
        <v>0.003964424</v>
      </c>
      <c r="P5" s="1" t="n">
        <v>0.004015207</v>
      </c>
      <c r="R5" s="1" t="n">
        <f aca="false">PERCENTILE(G5:P5,0.9)</f>
        <v>0.004064488</v>
      </c>
      <c r="S5" s="9" t="n">
        <f aca="false">spmv_1!R$2/R5</f>
        <v>4.28670189209563</v>
      </c>
      <c r="T5" s="6" t="n">
        <f aca="false">S5/8</f>
        <v>0.535837736511954</v>
      </c>
    </row>
    <row r="6" customFormat="false" ht="15" hidden="false" customHeight="false" outlineLevel="0" collapsed="false">
      <c r="A6" s="1" t="s">
        <v>15</v>
      </c>
      <c r="B6" s="1" t="n">
        <v>4</v>
      </c>
      <c r="D6" s="1" t="n">
        <v>1329155</v>
      </c>
      <c r="E6" s="1" t="n">
        <v>0.909309</v>
      </c>
      <c r="G6" s="1" t="n">
        <v>0.00307107</v>
      </c>
      <c r="H6" s="1" t="n">
        <v>0.002937317</v>
      </c>
      <c r="I6" s="1" t="n">
        <v>0.002910376</v>
      </c>
      <c r="J6" s="1" t="n">
        <v>0.002880812</v>
      </c>
      <c r="K6" s="1" t="n">
        <v>0.00290966</v>
      </c>
      <c r="L6" s="1" t="n">
        <v>0.002882481</v>
      </c>
      <c r="M6" s="1" t="n">
        <v>0.002913475</v>
      </c>
      <c r="N6" s="1" t="n">
        <v>0.002882719</v>
      </c>
      <c r="O6" s="1" t="n">
        <v>0.002901077</v>
      </c>
      <c r="P6" s="1" t="n">
        <v>0.002945423</v>
      </c>
      <c r="R6" s="1" t="n">
        <f aca="false">PERCENTILE(G6:P6,0.9)</f>
        <v>0.0029579877</v>
      </c>
      <c r="S6" s="9" t="n">
        <f aca="false">spmv_1!R$2/R6</f>
        <v>5.89023693371003</v>
      </c>
      <c r="T6" s="6" t="n">
        <f aca="false">S6/8</f>
        <v>0.736279616713754</v>
      </c>
    </row>
    <row r="7" customFormat="false" ht="15" hidden="false" customHeight="false" outlineLevel="0" collapsed="false">
      <c r="A7" s="1" t="s">
        <v>15</v>
      </c>
      <c r="B7" s="1" t="n">
        <v>5</v>
      </c>
      <c r="D7" s="1" t="n">
        <v>1331420</v>
      </c>
      <c r="E7" s="1" t="n">
        <v>0.922542</v>
      </c>
      <c r="G7" s="1" t="n">
        <v>0.003094673</v>
      </c>
      <c r="H7" s="1" t="n">
        <v>0.002895832</v>
      </c>
      <c r="I7" s="1" t="n">
        <v>0.002940655</v>
      </c>
      <c r="J7" s="1" t="n">
        <v>0.002841473</v>
      </c>
      <c r="K7" s="1" t="n">
        <v>0.002847672</v>
      </c>
      <c r="L7" s="1" t="n">
        <v>0.002854824</v>
      </c>
      <c r="M7" s="1" t="n">
        <v>0.002920389</v>
      </c>
      <c r="N7" s="1" t="n">
        <v>0.002799273</v>
      </c>
      <c r="O7" s="1" t="n">
        <v>0.002782583</v>
      </c>
      <c r="P7" s="1" t="n">
        <v>0.002886772</v>
      </c>
      <c r="R7" s="1" t="n">
        <f aca="false">PERCENTILE(G7:P7,0.9)</f>
        <v>0.0029560568</v>
      </c>
      <c r="S7" s="9" t="n">
        <f aca="false">spmv_1!R$2/R7</f>
        <v>5.89408444384425</v>
      </c>
      <c r="T7" s="6" t="n">
        <f aca="false">S7/8</f>
        <v>0.736760555480531</v>
      </c>
    </row>
    <row r="8" customFormat="false" ht="15" hidden="false" customHeight="false" outlineLevel="0" collapsed="false">
      <c r="A8" s="1" t="s">
        <v>15</v>
      </c>
      <c r="B8" s="1" t="n">
        <v>6</v>
      </c>
      <c r="D8" s="1" t="n">
        <v>1329374</v>
      </c>
      <c r="E8" s="1" t="n">
        <v>0.923482</v>
      </c>
      <c r="G8" s="1" t="n">
        <v>0.003043175</v>
      </c>
      <c r="H8" s="1" t="n">
        <v>0.002840757</v>
      </c>
      <c r="I8" s="1" t="n">
        <v>0.002899885</v>
      </c>
      <c r="J8" s="1" t="n">
        <v>0.002848387</v>
      </c>
      <c r="K8" s="1" t="n">
        <v>0.002798319</v>
      </c>
      <c r="L8" s="1" t="n">
        <v>0.002793789</v>
      </c>
      <c r="M8" s="1" t="n">
        <v>0.00289607</v>
      </c>
      <c r="N8" s="1" t="n">
        <v>0.002936602</v>
      </c>
      <c r="O8" s="1" t="n">
        <v>0.002873421</v>
      </c>
      <c r="P8" s="1" t="n">
        <v>0.002860069</v>
      </c>
      <c r="R8" s="1" t="n">
        <f aca="false">PERCENTILE(G8:P8,0.9)</f>
        <v>0.0029472593</v>
      </c>
      <c r="S8" s="9" t="n">
        <f aca="false">spmv_1!R$2/R8</f>
        <v>5.91167814789829</v>
      </c>
      <c r="T8" s="6" t="n">
        <f aca="false">S8/8</f>
        <v>0.738959768487286</v>
      </c>
    </row>
    <row r="9" customFormat="false" ht="15" hidden="false" customHeight="false" outlineLevel="0" collapsed="false">
      <c r="A9" s="1" t="s">
        <v>15</v>
      </c>
      <c r="B9" s="1" t="n">
        <v>7</v>
      </c>
      <c r="D9" s="1" t="n">
        <v>1331586</v>
      </c>
      <c r="E9" s="1" t="n">
        <v>0.960873</v>
      </c>
      <c r="G9" s="1" t="n">
        <v>0.003015518</v>
      </c>
      <c r="H9" s="1" t="n">
        <v>0.002788544</v>
      </c>
      <c r="I9" s="1" t="n">
        <v>0.002831936</v>
      </c>
      <c r="J9" s="1" t="n">
        <v>0.002766371</v>
      </c>
      <c r="K9" s="1" t="n">
        <v>0.002727032</v>
      </c>
      <c r="L9" s="1" t="n">
        <v>0.002726078</v>
      </c>
      <c r="M9" s="1" t="n">
        <v>0.002800703</v>
      </c>
      <c r="N9" s="1" t="n">
        <v>0.002728224</v>
      </c>
      <c r="O9" s="1" t="n">
        <v>0.002656221</v>
      </c>
      <c r="P9" s="1" t="n">
        <v>0.002675533</v>
      </c>
      <c r="R9" s="1" t="n">
        <f aca="false">PERCENTILE(G9:P9,0.9)</f>
        <v>0.0028502942</v>
      </c>
      <c r="S9" s="9" t="n">
        <f aca="false">spmv_1!R$2/R9</f>
        <v>6.11278947976668</v>
      </c>
      <c r="T9" s="6" t="n">
        <f aca="false">S9/8</f>
        <v>0.764098684970835</v>
      </c>
    </row>
    <row r="12" customFormat="false" ht="15" hidden="false" customHeight="false" outlineLevel="0" collapsed="false">
      <c r="A12" s="2" t="s">
        <v>0</v>
      </c>
      <c r="B12" s="2" t="s">
        <v>1</v>
      </c>
      <c r="C12" s="3"/>
      <c r="D12" s="2" t="s">
        <v>2</v>
      </c>
      <c r="E12" s="2" t="s">
        <v>3</v>
      </c>
      <c r="F12" s="3"/>
      <c r="G12" s="2" t="s">
        <v>4</v>
      </c>
      <c r="H12" s="2" t="s">
        <v>5</v>
      </c>
      <c r="I12" s="2" t="s">
        <v>6</v>
      </c>
      <c r="J12" s="2" t="s">
        <v>7</v>
      </c>
      <c r="K12" s="2" t="s">
        <v>8</v>
      </c>
      <c r="L12" s="2" t="s">
        <v>9</v>
      </c>
      <c r="M12" s="2" t="s">
        <v>10</v>
      </c>
      <c r="N12" s="2" t="s">
        <v>11</v>
      </c>
      <c r="O12" s="2" t="s">
        <v>12</v>
      </c>
      <c r="P12" s="2" t="s">
        <v>13</v>
      </c>
      <c r="R12" s="4" t="s">
        <v>14</v>
      </c>
      <c r="S12" s="7" t="s">
        <v>20</v>
      </c>
      <c r="T12" s="8" t="s">
        <v>21</v>
      </c>
    </row>
    <row r="13" customFormat="false" ht="15" hidden="false" customHeight="false" outlineLevel="0" collapsed="false">
      <c r="A13" s="1" t="s">
        <v>16</v>
      </c>
      <c r="B13" s="1" t="n">
        <v>0</v>
      </c>
      <c r="D13" s="1" t="n">
        <v>13861994</v>
      </c>
      <c r="E13" s="1" t="n">
        <v>0.954163</v>
      </c>
      <c r="G13" s="1" t="n">
        <v>0.028968573</v>
      </c>
      <c r="H13" s="1" t="n">
        <v>0.028804541</v>
      </c>
      <c r="I13" s="1" t="n">
        <v>0.02906394</v>
      </c>
      <c r="J13" s="1" t="n">
        <v>0.02913785</v>
      </c>
      <c r="K13" s="1" t="n">
        <v>0.029173613</v>
      </c>
      <c r="L13" s="1" t="n">
        <v>0.029560328</v>
      </c>
      <c r="M13" s="1" t="n">
        <v>0.028664351</v>
      </c>
      <c r="N13" s="1" t="n">
        <v>0.029616833</v>
      </c>
      <c r="O13" s="1" t="n">
        <v>0.028991222</v>
      </c>
      <c r="P13" s="1" t="n">
        <v>0.028577089</v>
      </c>
      <c r="R13" s="1" t="n">
        <f aca="false">PERCENTILE(G13:P13,0.9)</f>
        <v>0.0295659785</v>
      </c>
      <c r="S13" s="5" t="n">
        <f aca="false">spmv_1!R$6/R13</f>
        <v>5.69014181620947</v>
      </c>
      <c r="T13" s="6" t="n">
        <f aca="false">S13/8</f>
        <v>0.711267727026183</v>
      </c>
    </row>
    <row r="14" customFormat="false" ht="15" hidden="false" customHeight="false" outlineLevel="0" collapsed="false">
      <c r="A14" s="1" t="s">
        <v>16</v>
      </c>
      <c r="B14" s="1" t="n">
        <v>1</v>
      </c>
      <c r="D14" s="1" t="n">
        <v>13862028</v>
      </c>
      <c r="E14" s="1" t="n">
        <v>0.926703</v>
      </c>
      <c r="G14" s="1" t="n">
        <v>0.029749393</v>
      </c>
      <c r="H14" s="1" t="n">
        <v>0.030009747</v>
      </c>
      <c r="I14" s="1" t="n">
        <v>0.03088522</v>
      </c>
      <c r="J14" s="1" t="n">
        <v>0.029790163</v>
      </c>
      <c r="K14" s="1" t="n">
        <v>0.030053377</v>
      </c>
      <c r="L14" s="1" t="n">
        <v>0.029530764</v>
      </c>
      <c r="M14" s="1" t="n">
        <v>0.029666662</v>
      </c>
      <c r="N14" s="1" t="n">
        <v>0.029775381</v>
      </c>
      <c r="O14" s="1" t="n">
        <v>0.029995203</v>
      </c>
      <c r="P14" s="1" t="n">
        <v>0.029712677</v>
      </c>
      <c r="R14" s="1" t="n">
        <f aca="false">PERCENTILE(G14:P14,0.9)</f>
        <v>0.0301365613</v>
      </c>
      <c r="S14" s="5" t="n">
        <f aca="false">spmv_1!R$6/R14</f>
        <v>5.58240898572592</v>
      </c>
      <c r="T14" s="6" t="n">
        <f aca="false">S14/8</f>
        <v>0.69780112321574</v>
      </c>
    </row>
    <row r="15" customFormat="false" ht="15" hidden="false" customHeight="false" outlineLevel="0" collapsed="false">
      <c r="A15" s="1" t="s">
        <v>16</v>
      </c>
      <c r="B15" s="1" t="n">
        <v>2</v>
      </c>
      <c r="D15" s="1" t="n">
        <v>13860012</v>
      </c>
      <c r="E15" s="1" t="n">
        <v>0.917654</v>
      </c>
      <c r="G15" s="1" t="n">
        <v>0.029976845</v>
      </c>
      <c r="H15" s="1" t="n">
        <v>0.029892445</v>
      </c>
      <c r="I15" s="1" t="n">
        <v>0.030890465</v>
      </c>
      <c r="J15" s="1" t="n">
        <v>0.029735804</v>
      </c>
      <c r="K15" s="1" t="n">
        <v>0.030831099</v>
      </c>
      <c r="L15" s="1" t="n">
        <v>0.030782461</v>
      </c>
      <c r="M15" s="1" t="n">
        <v>0.030320883</v>
      </c>
      <c r="N15" s="1" t="n">
        <v>0.029611588</v>
      </c>
      <c r="O15" s="1" t="n">
        <v>0.030029058</v>
      </c>
      <c r="P15" s="1" t="n">
        <v>0.030004263</v>
      </c>
      <c r="R15" s="1" t="n">
        <f aca="false">PERCENTILE(G15:P15,0.9)</f>
        <v>0.0308370356</v>
      </c>
      <c r="S15" s="5" t="n">
        <f aca="false">spmv_1!R$6/R15</f>
        <v>5.45560256771244</v>
      </c>
      <c r="T15" s="6" t="n">
        <f aca="false">S15/8</f>
        <v>0.681950320964055</v>
      </c>
    </row>
    <row r="16" customFormat="false" ht="15" hidden="false" customHeight="false" outlineLevel="0" collapsed="false">
      <c r="A16" s="1" t="s">
        <v>16</v>
      </c>
      <c r="B16" s="1" t="n">
        <v>3</v>
      </c>
      <c r="D16" s="1" t="n">
        <v>13859966</v>
      </c>
      <c r="E16" s="1" t="n">
        <v>0.948994</v>
      </c>
      <c r="G16" s="1" t="n">
        <v>0.028946161</v>
      </c>
      <c r="H16" s="1" t="n">
        <v>0.028712988</v>
      </c>
      <c r="I16" s="1" t="n">
        <v>0.03059411</v>
      </c>
      <c r="J16" s="1" t="n">
        <v>0.028787136</v>
      </c>
      <c r="K16" s="1" t="n">
        <v>0.029452324</v>
      </c>
      <c r="L16" s="1" t="n">
        <v>0.029074907</v>
      </c>
      <c r="M16" s="1" t="n">
        <v>0.028989553</v>
      </c>
      <c r="N16" s="1" t="n">
        <v>0.029169559</v>
      </c>
      <c r="O16" s="1" t="n">
        <v>0.029422522</v>
      </c>
      <c r="P16" s="1" t="n">
        <v>0.028948784</v>
      </c>
      <c r="R16" s="1" t="n">
        <f aca="false">PERCENTILE(G16:P16,0.9)</f>
        <v>0.0295665026</v>
      </c>
      <c r="S16" s="5" t="n">
        <f aca="false">spmv_1!R$6/R16</f>
        <v>5.69004095195216</v>
      </c>
      <c r="T16" s="6" t="n">
        <f aca="false">S16/8</f>
        <v>0.71125511899402</v>
      </c>
    </row>
    <row r="17" customFormat="false" ht="15" hidden="false" customHeight="false" outlineLevel="0" collapsed="false">
      <c r="A17" s="1" t="s">
        <v>16</v>
      </c>
      <c r="B17" s="1" t="n">
        <v>4</v>
      </c>
      <c r="D17" s="1" t="n">
        <v>13858664</v>
      </c>
      <c r="E17" s="1" t="n">
        <v>0.987626</v>
      </c>
      <c r="G17" s="1" t="n">
        <v>0.028185129</v>
      </c>
      <c r="H17" s="1" t="n">
        <v>0.028303385</v>
      </c>
      <c r="I17" s="1" t="n">
        <v>0.029328108</v>
      </c>
      <c r="J17" s="1" t="n">
        <v>0.028196573</v>
      </c>
      <c r="K17" s="1" t="n">
        <v>0.027871132</v>
      </c>
      <c r="L17" s="1" t="n">
        <v>0.027477264</v>
      </c>
      <c r="M17" s="1" t="n">
        <v>0.027676344</v>
      </c>
      <c r="N17" s="1" t="n">
        <v>0.027784824</v>
      </c>
      <c r="O17" s="1" t="n">
        <v>0.027963877</v>
      </c>
      <c r="P17" s="1" t="n">
        <v>0.027859449</v>
      </c>
      <c r="R17" s="1" t="n">
        <f aca="false">PERCENTILE(G17:P17,0.9)</f>
        <v>0.0284058573</v>
      </c>
      <c r="S17" s="5" t="n">
        <f aca="false">spmv_1!R$6/R17</f>
        <v>5.92253241376383</v>
      </c>
      <c r="T17" s="6" t="n">
        <f aca="false">S17/8</f>
        <v>0.740316551720479</v>
      </c>
    </row>
    <row r="18" customFormat="false" ht="15" hidden="false" customHeight="false" outlineLevel="0" collapsed="false">
      <c r="A18" s="1" t="s">
        <v>16</v>
      </c>
      <c r="B18" s="1" t="n">
        <v>5</v>
      </c>
      <c r="D18" s="1" t="n">
        <v>13858656</v>
      </c>
      <c r="E18" s="1" t="n">
        <v>0.939066</v>
      </c>
      <c r="G18" s="1" t="n">
        <v>0.030014992</v>
      </c>
      <c r="H18" s="1" t="n">
        <v>0.028877258</v>
      </c>
      <c r="I18" s="1" t="n">
        <v>0.029251575</v>
      </c>
      <c r="J18" s="1" t="n">
        <v>0.029257536</v>
      </c>
      <c r="K18" s="1" t="n">
        <v>0.030059338</v>
      </c>
      <c r="L18" s="1" t="n">
        <v>0.029464483</v>
      </c>
      <c r="M18" s="1" t="n">
        <v>0.029713631</v>
      </c>
      <c r="N18" s="1" t="n">
        <v>0.029369831</v>
      </c>
      <c r="O18" s="1" t="n">
        <v>0.029931068</v>
      </c>
      <c r="P18" s="1" t="n">
        <v>0.029218435</v>
      </c>
      <c r="R18" s="1" t="n">
        <f aca="false">PERCENTILE(G18:P18,0.9)</f>
        <v>0.0300194266</v>
      </c>
      <c r="S18" s="5" t="n">
        <f aca="false">spmv_1!R$6/R18</f>
        <v>5.60419134055012</v>
      </c>
      <c r="T18" s="6" t="n">
        <f aca="false">S18/8</f>
        <v>0.700523917568765</v>
      </c>
    </row>
    <row r="19" customFormat="false" ht="15" hidden="false" customHeight="false" outlineLevel="0" collapsed="false">
      <c r="A19" s="1" t="s">
        <v>16</v>
      </c>
      <c r="B19" s="1" t="n">
        <v>6</v>
      </c>
      <c r="D19" s="1" t="n">
        <v>13859316</v>
      </c>
      <c r="E19" s="1" t="n">
        <v>0.951221</v>
      </c>
      <c r="G19" s="1" t="n">
        <v>0.029158115</v>
      </c>
      <c r="H19" s="1" t="n">
        <v>0.028816223</v>
      </c>
      <c r="I19" s="1" t="n">
        <v>0.028887987</v>
      </c>
      <c r="J19" s="1" t="n">
        <v>0.028783321</v>
      </c>
      <c r="K19" s="1" t="n">
        <v>0.029579639</v>
      </c>
      <c r="L19" s="1" t="n">
        <v>0.029793501</v>
      </c>
      <c r="M19" s="1" t="n">
        <v>0.029111385</v>
      </c>
      <c r="N19" s="1" t="n">
        <v>0.029226303</v>
      </c>
      <c r="O19" s="1" t="n">
        <v>0.029145241</v>
      </c>
      <c r="P19" s="1" t="n">
        <v>0.028898716</v>
      </c>
      <c r="R19" s="1" t="n">
        <f aca="false">PERCENTILE(G19:P19,0.9)</f>
        <v>0.0296010252</v>
      </c>
      <c r="S19" s="5" t="n">
        <f aca="false">spmv_1!R$6/R19</f>
        <v>5.68340486396397</v>
      </c>
      <c r="T19" s="6" t="n">
        <f aca="false">S19/8</f>
        <v>0.710425607995496</v>
      </c>
    </row>
    <row r="20" customFormat="false" ht="15" hidden="false" customHeight="false" outlineLevel="0" collapsed="false">
      <c r="A20" s="1" t="s">
        <v>16</v>
      </c>
      <c r="B20" s="1" t="n">
        <v>7</v>
      </c>
      <c r="D20" s="1" t="n">
        <v>13859336</v>
      </c>
      <c r="E20" s="1" t="n">
        <v>0.962114</v>
      </c>
      <c r="G20" s="1" t="n">
        <v>0.028923512</v>
      </c>
      <c r="H20" s="1" t="n">
        <v>0.028858423</v>
      </c>
      <c r="I20" s="1" t="n">
        <v>0.02867198</v>
      </c>
      <c r="J20" s="1" t="n">
        <v>0.028305292</v>
      </c>
      <c r="K20" s="1" t="n">
        <v>0.029077768</v>
      </c>
      <c r="L20" s="1" t="n">
        <v>0.028938293</v>
      </c>
      <c r="M20" s="1" t="n">
        <v>0.028995275</v>
      </c>
      <c r="N20" s="1" t="n">
        <v>0.028527021</v>
      </c>
      <c r="O20" s="1" t="n">
        <v>0.028982639</v>
      </c>
      <c r="P20" s="1" t="n">
        <v>0.028821468</v>
      </c>
      <c r="R20" s="1" t="n">
        <f aca="false">PERCENTILE(G20:P20,0.9)</f>
        <v>0.0290035243</v>
      </c>
      <c r="S20" s="5" t="n">
        <f aca="false">spmv_1!R$6/R20</f>
        <v>5.80048854959327</v>
      </c>
      <c r="T20" s="6" t="n">
        <f aca="false">S20/8</f>
        <v>0.725061068699158</v>
      </c>
    </row>
    <row r="23" customFormat="false" ht="15" hidden="false" customHeight="false" outlineLevel="0" collapsed="false">
      <c r="A23" s="2" t="s">
        <v>0</v>
      </c>
      <c r="B23" s="2" t="s">
        <v>1</v>
      </c>
      <c r="C23" s="3"/>
      <c r="D23" s="2" t="s">
        <v>2</v>
      </c>
      <c r="E23" s="2" t="s">
        <v>3</v>
      </c>
      <c r="F23" s="3"/>
      <c r="G23" s="2" t="s">
        <v>4</v>
      </c>
      <c r="H23" s="2" t="s">
        <v>5</v>
      </c>
      <c r="I23" s="2" t="s">
        <v>6</v>
      </c>
      <c r="J23" s="2" t="s">
        <v>7</v>
      </c>
      <c r="K23" s="2" t="s">
        <v>8</v>
      </c>
      <c r="L23" s="2" t="s">
        <v>9</v>
      </c>
      <c r="M23" s="2" t="s">
        <v>10</v>
      </c>
      <c r="N23" s="2" t="s">
        <v>11</v>
      </c>
      <c r="O23" s="2" t="s">
        <v>12</v>
      </c>
      <c r="P23" s="2" t="s">
        <v>13</v>
      </c>
      <c r="R23" s="4" t="s">
        <v>14</v>
      </c>
      <c r="S23" s="7" t="s">
        <v>20</v>
      </c>
      <c r="T23" s="8" t="s">
        <v>21</v>
      </c>
    </row>
    <row r="24" customFormat="false" ht="15" hidden="false" customHeight="false" outlineLevel="0" collapsed="false">
      <c r="A24" s="1" t="s">
        <v>17</v>
      </c>
      <c r="B24" s="1" t="n">
        <v>0</v>
      </c>
      <c r="D24" s="1" t="n">
        <v>2537442</v>
      </c>
      <c r="E24" s="1" t="n">
        <v>0.719383</v>
      </c>
      <c r="G24" s="1" t="n">
        <v>0.00718236</v>
      </c>
      <c r="H24" s="1" t="n">
        <v>0.006985664</v>
      </c>
      <c r="I24" s="1" t="n">
        <v>0.007139206</v>
      </c>
      <c r="J24" s="1" t="n">
        <v>0.007087469</v>
      </c>
      <c r="K24" s="1" t="n">
        <v>0.007041454</v>
      </c>
      <c r="L24" s="1" t="n">
        <v>0.006997585</v>
      </c>
      <c r="M24" s="1" t="n">
        <v>0.006931305</v>
      </c>
      <c r="N24" s="1" t="n">
        <v>0.006893396</v>
      </c>
      <c r="O24" s="1" t="n">
        <v>0.007231712</v>
      </c>
      <c r="P24" s="1" t="n">
        <v>0.007054806</v>
      </c>
      <c r="R24" s="1" t="n">
        <f aca="false">PERCENTILE(G24:P24,0.9)</f>
        <v>0.0071872952</v>
      </c>
      <c r="S24" s="5" t="n">
        <f aca="false">spmv_1!R$10/R24</f>
        <v>4.87411791573553</v>
      </c>
      <c r="T24" s="6" t="n">
        <f aca="false">S24/8</f>
        <v>0.609264739466942</v>
      </c>
    </row>
    <row r="25" customFormat="false" ht="15" hidden="false" customHeight="false" outlineLevel="0" collapsed="false">
      <c r="A25" s="1" t="s">
        <v>17</v>
      </c>
      <c r="B25" s="1" t="n">
        <v>1</v>
      </c>
      <c r="D25" s="1" t="n">
        <v>2540545</v>
      </c>
      <c r="E25" s="1" t="n">
        <v>0.676775</v>
      </c>
      <c r="G25" s="1" t="n">
        <v>0.007555008</v>
      </c>
      <c r="H25" s="1" t="n">
        <v>0.007407188</v>
      </c>
      <c r="I25" s="1" t="n">
        <v>0.00757432</v>
      </c>
      <c r="J25" s="1" t="n">
        <v>0.007582903</v>
      </c>
      <c r="K25" s="1" t="n">
        <v>0.007510662</v>
      </c>
      <c r="L25" s="1" t="n">
        <v>0.007458925</v>
      </c>
      <c r="M25" s="1" t="n">
        <v>0.007474184</v>
      </c>
      <c r="N25" s="1" t="n">
        <v>0.007558346</v>
      </c>
      <c r="O25" s="1" t="n">
        <v>0.00754118</v>
      </c>
      <c r="P25" s="1" t="n">
        <v>0.007415295</v>
      </c>
      <c r="R25" s="1" t="n">
        <f aca="false">PERCENTILE(G25:P25,0.9)</f>
        <v>0.0075751783</v>
      </c>
      <c r="S25" s="5" t="n">
        <f aca="false">spmv_1!R$10/R25</f>
        <v>4.62454122036969</v>
      </c>
      <c r="T25" s="6" t="n">
        <f aca="false">S25/8</f>
        <v>0.578067652546211</v>
      </c>
    </row>
    <row r="26" customFormat="false" ht="15" hidden="false" customHeight="false" outlineLevel="0" collapsed="false">
      <c r="A26" s="1" t="s">
        <v>17</v>
      </c>
      <c r="B26" s="1" t="n">
        <v>2</v>
      </c>
      <c r="D26" s="1" t="n">
        <v>2535823</v>
      </c>
      <c r="E26" s="1" t="n">
        <v>0.733584</v>
      </c>
      <c r="G26" s="1" t="n">
        <v>0.007042885</v>
      </c>
      <c r="H26" s="1" t="n">
        <v>0.006829262</v>
      </c>
      <c r="I26" s="1" t="n">
        <v>0.00698328</v>
      </c>
      <c r="J26" s="1" t="n">
        <v>0.006916046</v>
      </c>
      <c r="K26" s="1" t="n">
        <v>0.006920576</v>
      </c>
      <c r="L26" s="1" t="n">
        <v>0.006844521</v>
      </c>
      <c r="M26" s="1" t="n">
        <v>0.006819725</v>
      </c>
      <c r="N26" s="1" t="n">
        <v>0.006781816</v>
      </c>
      <c r="O26" s="1" t="n">
        <v>0.007096529</v>
      </c>
      <c r="P26" s="1" t="n">
        <v>0.006900549</v>
      </c>
      <c r="R26" s="1" t="n">
        <f aca="false">PERCENTILE(G26:P26,0.9)</f>
        <v>0.0070482494</v>
      </c>
      <c r="S26" s="5" t="n">
        <f aca="false">spmv_1!R$10/R26</f>
        <v>4.97027308653408</v>
      </c>
      <c r="T26" s="6" t="n">
        <f aca="false">S26/8</f>
        <v>0.621284135816761</v>
      </c>
    </row>
    <row r="27" customFormat="false" ht="15" hidden="false" customHeight="false" outlineLevel="0" collapsed="false">
      <c r="A27" s="1" t="s">
        <v>17</v>
      </c>
      <c r="B27" s="1" t="n">
        <v>3</v>
      </c>
      <c r="D27" s="1" t="n">
        <v>2539771</v>
      </c>
      <c r="E27" s="1" t="n">
        <v>0.676809</v>
      </c>
      <c r="G27" s="1" t="n">
        <v>0.007547855</v>
      </c>
      <c r="H27" s="1" t="n">
        <v>0.007393837</v>
      </c>
      <c r="I27" s="1" t="n">
        <v>0.007569551</v>
      </c>
      <c r="J27" s="1" t="n">
        <v>0.007547617</v>
      </c>
      <c r="K27" s="1" t="n">
        <v>0.007504225</v>
      </c>
      <c r="L27" s="1" t="n">
        <v>0.007478476</v>
      </c>
      <c r="M27" s="1" t="n">
        <v>0.007471323</v>
      </c>
      <c r="N27" s="1" t="n">
        <v>0.007567406</v>
      </c>
      <c r="O27" s="1" t="n">
        <v>0.007529736</v>
      </c>
      <c r="P27" s="1" t="n">
        <v>0.007441282</v>
      </c>
      <c r="R27" s="1" t="n">
        <f aca="false">PERCENTILE(G27:P27,0.9)</f>
        <v>0.0075676205</v>
      </c>
      <c r="S27" s="5" t="n">
        <f aca="false">spmv_1!R$10/R27</f>
        <v>4.62915976032361</v>
      </c>
      <c r="T27" s="6" t="n">
        <f aca="false">S27/8</f>
        <v>0.578644970040451</v>
      </c>
    </row>
    <row r="28" customFormat="false" ht="15" hidden="false" customHeight="false" outlineLevel="0" collapsed="false">
      <c r="A28" s="1" t="s">
        <v>17</v>
      </c>
      <c r="B28" s="1" t="n">
        <v>4</v>
      </c>
      <c r="D28" s="1" t="n">
        <v>2521273</v>
      </c>
      <c r="E28" s="1" t="n">
        <v>0.678743</v>
      </c>
      <c r="G28" s="1" t="n">
        <v>0.007388115</v>
      </c>
      <c r="H28" s="1" t="n">
        <v>0.007325172</v>
      </c>
      <c r="I28" s="1" t="n">
        <v>0.007496357</v>
      </c>
      <c r="J28" s="1" t="n">
        <v>0.007507801</v>
      </c>
      <c r="K28" s="1" t="n">
        <v>0.007436275</v>
      </c>
      <c r="L28" s="1" t="n">
        <v>0.007375717</v>
      </c>
      <c r="M28" s="1" t="n">
        <v>0.007418871</v>
      </c>
      <c r="N28" s="1" t="n">
        <v>0.007483959</v>
      </c>
      <c r="O28" s="1" t="n">
        <v>0.007464409</v>
      </c>
      <c r="P28" s="1" t="n">
        <v>0.007395744</v>
      </c>
      <c r="R28" s="1" t="n">
        <f aca="false">PERCENTILE(G28:P28,0.9)</f>
        <v>0.0074975014</v>
      </c>
      <c r="S28" s="5" t="n">
        <f aca="false">spmv_1!R$10/R28</f>
        <v>4.67245318553725</v>
      </c>
      <c r="T28" s="6" t="n">
        <f aca="false">S28/8</f>
        <v>0.584056648192156</v>
      </c>
    </row>
    <row r="29" customFormat="false" ht="15" hidden="false" customHeight="false" outlineLevel="0" collapsed="false">
      <c r="A29" s="1" t="s">
        <v>17</v>
      </c>
      <c r="B29" s="1" t="n">
        <v>5</v>
      </c>
      <c r="D29" s="1" t="n">
        <v>2523247</v>
      </c>
      <c r="E29" s="1" t="n">
        <v>0.69478</v>
      </c>
      <c r="G29" s="1" t="n">
        <v>0.007354736</v>
      </c>
      <c r="H29" s="1" t="n">
        <v>0.007111073</v>
      </c>
      <c r="I29" s="1" t="n">
        <v>0.007335424</v>
      </c>
      <c r="J29" s="1" t="n">
        <v>0.007295609</v>
      </c>
      <c r="K29" s="1" t="n">
        <v>0.007286549</v>
      </c>
      <c r="L29" s="1" t="n">
        <v>0.007172823</v>
      </c>
      <c r="M29" s="1" t="n">
        <v>0.007302999</v>
      </c>
      <c r="N29" s="1" t="n">
        <v>0.007360935</v>
      </c>
      <c r="O29" s="1" t="n">
        <v>0.007215738</v>
      </c>
      <c r="P29" s="1" t="n">
        <v>0.007198572</v>
      </c>
      <c r="R29" s="1" t="n">
        <f aca="false">PERCENTILE(G29:P29,0.9)</f>
        <v>0.0073553559</v>
      </c>
      <c r="S29" s="5" t="n">
        <f aca="false">spmv_1!R$10/R29</f>
        <v>4.76275040613603</v>
      </c>
      <c r="T29" s="6" t="n">
        <f aca="false">S29/8</f>
        <v>0.595343800767003</v>
      </c>
    </row>
    <row r="30" customFormat="false" ht="15" hidden="false" customHeight="false" outlineLevel="0" collapsed="false">
      <c r="A30" s="1" t="s">
        <v>17</v>
      </c>
      <c r="B30" s="1" t="n">
        <v>6</v>
      </c>
      <c r="D30" s="1" t="n">
        <v>2520034</v>
      </c>
      <c r="E30" s="1" t="n">
        <v>0.684758</v>
      </c>
      <c r="G30" s="1" t="n">
        <v>0.0075109</v>
      </c>
      <c r="H30" s="1" t="n">
        <v>0.007202864</v>
      </c>
      <c r="I30" s="1" t="n">
        <v>0.007403612</v>
      </c>
      <c r="J30" s="1" t="n">
        <v>0.007415295</v>
      </c>
      <c r="K30" s="1" t="n">
        <v>0.007380247</v>
      </c>
      <c r="L30" s="1" t="n">
        <v>0.007270098</v>
      </c>
      <c r="M30" s="1" t="n">
        <v>0.007382631</v>
      </c>
      <c r="N30" s="1" t="n">
        <v>0.007407427</v>
      </c>
      <c r="O30" s="1" t="n">
        <v>0.007366419</v>
      </c>
      <c r="P30" s="1" t="n">
        <v>0.007264137</v>
      </c>
      <c r="R30" s="1" t="n">
        <f aca="false">PERCENTILE(G30:P30,0.9)</f>
        <v>0.0074248555</v>
      </c>
      <c r="S30" s="5" t="n">
        <f aca="false">spmv_1!R$10/R30</f>
        <v>4.71816916841008</v>
      </c>
      <c r="T30" s="6" t="n">
        <f aca="false">S30/8</f>
        <v>0.58977114605126</v>
      </c>
    </row>
    <row r="31" customFormat="false" ht="15" hidden="false" customHeight="false" outlineLevel="0" collapsed="false">
      <c r="A31" s="1" t="s">
        <v>17</v>
      </c>
      <c r="B31" s="1" t="n">
        <v>7</v>
      </c>
      <c r="D31" s="1" t="n">
        <v>2522800</v>
      </c>
      <c r="E31" s="1" t="n">
        <v>0.681384</v>
      </c>
      <c r="G31" s="1" t="n">
        <v>0.007567883</v>
      </c>
      <c r="H31" s="1" t="n">
        <v>0.007241726</v>
      </c>
      <c r="I31" s="1" t="n">
        <v>0.007460594</v>
      </c>
      <c r="J31" s="1" t="n">
        <v>0.007422447</v>
      </c>
      <c r="K31" s="1" t="n">
        <v>0.007376671</v>
      </c>
      <c r="L31" s="1" t="n">
        <v>0.007327557</v>
      </c>
      <c r="M31" s="1" t="n">
        <v>0.007377863</v>
      </c>
      <c r="N31" s="1" t="n">
        <v>0.007489443</v>
      </c>
      <c r="O31" s="1" t="n">
        <v>0.007452488</v>
      </c>
      <c r="P31" s="1" t="n">
        <v>0.007332563</v>
      </c>
      <c r="R31" s="1" t="n">
        <f aca="false">PERCENTILE(G31:P31,0.9)</f>
        <v>0.007497287</v>
      </c>
      <c r="S31" s="5" t="n">
        <f aca="false">spmv_1!R$10/R31</f>
        <v>4.67258680373314</v>
      </c>
      <c r="T31" s="6" t="n">
        <f aca="false">S31/8</f>
        <v>0.584073350466642</v>
      </c>
    </row>
    <row r="34" customFormat="false" ht="15" hidden="false" customHeight="false" outlineLevel="0" collapsed="false">
      <c r="A34" s="2" t="s">
        <v>0</v>
      </c>
      <c r="B34" s="2" t="s">
        <v>1</v>
      </c>
      <c r="C34" s="3"/>
      <c r="D34" s="2" t="s">
        <v>2</v>
      </c>
      <c r="E34" s="2" t="s">
        <v>3</v>
      </c>
      <c r="F34" s="3"/>
      <c r="G34" s="2" t="s">
        <v>4</v>
      </c>
      <c r="H34" s="2" t="s">
        <v>5</v>
      </c>
      <c r="I34" s="2" t="s">
        <v>6</v>
      </c>
      <c r="J34" s="2" t="s">
        <v>7</v>
      </c>
      <c r="K34" s="2" t="s">
        <v>8</v>
      </c>
      <c r="L34" s="2" t="s">
        <v>9</v>
      </c>
      <c r="M34" s="2" t="s">
        <v>10</v>
      </c>
      <c r="N34" s="2" t="s">
        <v>11</v>
      </c>
      <c r="O34" s="2" t="s">
        <v>12</v>
      </c>
      <c r="P34" s="2" t="s">
        <v>13</v>
      </c>
      <c r="R34" s="4" t="s">
        <v>14</v>
      </c>
      <c r="S34" s="7" t="s">
        <v>20</v>
      </c>
      <c r="T34" s="8" t="s">
        <v>21</v>
      </c>
    </row>
    <row r="35" customFormat="false" ht="15" hidden="false" customHeight="false" outlineLevel="0" collapsed="false">
      <c r="A35" s="1" t="s">
        <v>18</v>
      </c>
      <c r="B35" s="1" t="n">
        <v>0</v>
      </c>
      <c r="D35" s="1" t="n">
        <v>96804736</v>
      </c>
      <c r="E35" s="1" t="n">
        <v>0.540833</v>
      </c>
      <c r="G35" s="1" t="n">
        <v>0.35087204</v>
      </c>
      <c r="H35" s="1" t="n">
        <v>0.359753847</v>
      </c>
      <c r="I35" s="1" t="n">
        <v>0.355562687</v>
      </c>
      <c r="J35" s="1" t="n">
        <v>0.359048128</v>
      </c>
      <c r="K35" s="1" t="n">
        <v>0.357516766</v>
      </c>
      <c r="L35" s="1" t="n">
        <v>0.360803127</v>
      </c>
      <c r="M35" s="1" t="n">
        <v>0.355782032</v>
      </c>
      <c r="N35" s="1" t="n">
        <v>0.363321066</v>
      </c>
      <c r="O35" s="1" t="n">
        <v>0.36066246</v>
      </c>
      <c r="P35" s="1" t="n">
        <v>0.3565166</v>
      </c>
      <c r="R35" s="1" t="n">
        <f aca="false">PERCENTILE(G35:P35,0.9)</f>
        <v>0.3610549209</v>
      </c>
      <c r="S35" s="5" t="n">
        <f aca="false">spmv_1!R$14/R35</f>
        <v>3.05921370617719</v>
      </c>
      <c r="T35" s="6" t="n">
        <f aca="false">S35/8</f>
        <v>0.382401713272148</v>
      </c>
    </row>
    <row r="36" customFormat="false" ht="15" hidden="false" customHeight="false" outlineLevel="0" collapsed="false">
      <c r="A36" s="1" t="s">
        <v>18</v>
      </c>
      <c r="B36" s="1" t="n">
        <v>1</v>
      </c>
      <c r="D36" s="1" t="n">
        <v>96810480</v>
      </c>
      <c r="E36" s="1" t="n">
        <v>0.569083</v>
      </c>
      <c r="G36" s="1" t="n">
        <v>0.33304286</v>
      </c>
      <c r="H36" s="1" t="n">
        <v>0.342175961</v>
      </c>
      <c r="I36" s="1" t="n">
        <v>0.337844133</v>
      </c>
      <c r="J36" s="1" t="n">
        <v>0.341111422</v>
      </c>
      <c r="K36" s="1" t="n">
        <v>0.339711428</v>
      </c>
      <c r="L36" s="1" t="n">
        <v>0.342987061</v>
      </c>
      <c r="M36" s="1" t="n">
        <v>0.337920189</v>
      </c>
      <c r="N36" s="1" t="n">
        <v>0.345761299</v>
      </c>
      <c r="O36" s="1" t="n">
        <v>0.343072653</v>
      </c>
      <c r="P36" s="1" t="n">
        <v>0.338702917</v>
      </c>
      <c r="R36" s="1" t="n">
        <f aca="false">PERCENTILE(G36:P36,0.9)</f>
        <v>0.3433415176</v>
      </c>
      <c r="S36" s="5" t="n">
        <f aca="false">spmv_1!R$14/R36</f>
        <v>3.21704223369461</v>
      </c>
      <c r="T36" s="6" t="n">
        <f aca="false">S36/8</f>
        <v>0.402130279211826</v>
      </c>
    </row>
    <row r="37" customFormat="false" ht="15" hidden="false" customHeight="false" outlineLevel="0" collapsed="false">
      <c r="A37" s="1" t="s">
        <v>18</v>
      </c>
      <c r="B37" s="1" t="n">
        <v>2</v>
      </c>
      <c r="D37" s="1" t="n">
        <v>96810480</v>
      </c>
      <c r="E37" s="1" t="n">
        <v>0.521776</v>
      </c>
      <c r="G37" s="1" t="n">
        <v>0.330204964</v>
      </c>
      <c r="H37" s="1" t="n">
        <v>0.338611603</v>
      </c>
      <c r="I37" s="1" t="n">
        <v>0.334769011</v>
      </c>
      <c r="J37" s="1" t="n">
        <v>0.337589979</v>
      </c>
      <c r="K37" s="1" t="n">
        <v>0.336734056</v>
      </c>
      <c r="L37" s="1" t="n">
        <v>0.33995676</v>
      </c>
      <c r="M37" s="1" t="n">
        <v>0.41065383</v>
      </c>
      <c r="N37" s="1" t="n">
        <v>0.431665659</v>
      </c>
      <c r="O37" s="1" t="n">
        <v>0.396216869</v>
      </c>
      <c r="P37" s="1" t="n">
        <v>0.454406738</v>
      </c>
      <c r="R37" s="1" t="n">
        <f aca="false">PERCENTILE(G37:P37,0.9)</f>
        <v>0.4339397669</v>
      </c>
      <c r="S37" s="5" t="n">
        <f aca="false">spmv_1!R$14/R37</f>
        <v>2.54538589673561</v>
      </c>
      <c r="T37" s="6" t="n">
        <f aca="false">S37/8</f>
        <v>0.318173237091952</v>
      </c>
    </row>
    <row r="38" customFormat="false" ht="15" hidden="false" customHeight="false" outlineLevel="0" collapsed="false">
      <c r="A38" s="1" t="s">
        <v>18</v>
      </c>
      <c r="B38" s="1" t="n">
        <v>3</v>
      </c>
      <c r="D38" s="1" t="n">
        <v>96810480</v>
      </c>
      <c r="E38" s="1" t="n">
        <v>0.544176</v>
      </c>
      <c r="G38" s="1" t="n">
        <v>0.3478899</v>
      </c>
      <c r="H38" s="1" t="n">
        <v>0.356706858</v>
      </c>
      <c r="I38" s="1" t="n">
        <v>0.35223484</v>
      </c>
      <c r="J38" s="1" t="n">
        <v>0.355522156</v>
      </c>
      <c r="K38" s="1" t="n">
        <v>0.354224443</v>
      </c>
      <c r="L38" s="1" t="n">
        <v>0.357339859</v>
      </c>
      <c r="M38" s="1" t="n">
        <v>0.36276865</v>
      </c>
      <c r="N38" s="1" t="n">
        <v>0.359807014</v>
      </c>
      <c r="O38" s="1" t="n">
        <v>0.357800484</v>
      </c>
      <c r="P38" s="1" t="n">
        <v>0.353761435</v>
      </c>
      <c r="R38" s="1" t="n">
        <f aca="false">PERCENTILE(G38:P38,0.9)</f>
        <v>0.3601031776</v>
      </c>
      <c r="S38" s="5" t="n">
        <f aca="false">spmv_1!R$14/R38</f>
        <v>3.06729912815965</v>
      </c>
      <c r="T38" s="6" t="n">
        <f aca="false">S38/8</f>
        <v>0.383412391019956</v>
      </c>
    </row>
    <row r="39" customFormat="false" ht="15" hidden="false" customHeight="false" outlineLevel="0" collapsed="false">
      <c r="A39" s="1" t="s">
        <v>18</v>
      </c>
      <c r="B39" s="1" t="n">
        <v>4</v>
      </c>
      <c r="D39" s="1" t="n">
        <v>96810480</v>
      </c>
      <c r="E39" s="1" t="n">
        <v>0.55186</v>
      </c>
      <c r="G39" s="1" t="n">
        <v>0.34732914</v>
      </c>
      <c r="H39" s="1" t="n">
        <v>0.355149031</v>
      </c>
      <c r="I39" s="1" t="n">
        <v>0.35094595</v>
      </c>
      <c r="J39" s="1" t="n">
        <v>0.359044313</v>
      </c>
      <c r="K39" s="1" t="n">
        <v>0.352576494</v>
      </c>
      <c r="L39" s="1" t="n">
        <v>0.351834059</v>
      </c>
      <c r="M39" s="1" t="n">
        <v>0.34662962</v>
      </c>
      <c r="N39" s="1" t="n">
        <v>0.338363171</v>
      </c>
      <c r="O39" s="1" t="n">
        <v>0.352636814</v>
      </c>
      <c r="P39" s="1" t="n">
        <v>0.354008675</v>
      </c>
      <c r="R39" s="1" t="n">
        <f aca="false">PERCENTILE(G39:P39,0.9)</f>
        <v>0.3555385592</v>
      </c>
      <c r="S39" s="5" t="n">
        <f aca="false">spmv_1!R$14/R39</f>
        <v>3.10667896383825</v>
      </c>
      <c r="T39" s="6" t="n">
        <f aca="false">S39/8</f>
        <v>0.388334870479781</v>
      </c>
    </row>
    <row r="40" customFormat="false" ht="15" hidden="false" customHeight="false" outlineLevel="0" collapsed="false">
      <c r="A40" s="1" t="s">
        <v>18</v>
      </c>
      <c r="B40" s="1" t="n">
        <v>5</v>
      </c>
      <c r="D40" s="1" t="n">
        <v>96810480</v>
      </c>
      <c r="E40" s="1" t="n">
        <v>0.528276</v>
      </c>
      <c r="G40" s="1" t="n">
        <v>0.3601861</v>
      </c>
      <c r="H40" s="1" t="n">
        <v>0.369477987</v>
      </c>
      <c r="I40" s="1" t="n">
        <v>0.365250826</v>
      </c>
      <c r="J40" s="1" t="n">
        <v>0.368558884</v>
      </c>
      <c r="K40" s="1" t="n">
        <v>0.367444754</v>
      </c>
      <c r="L40" s="1" t="n">
        <v>0.370512486</v>
      </c>
      <c r="M40" s="1" t="n">
        <v>0.363360167</v>
      </c>
      <c r="N40" s="1" t="n">
        <v>0.363155127</v>
      </c>
      <c r="O40" s="1" t="n">
        <v>0.370606184</v>
      </c>
      <c r="P40" s="1" t="n">
        <v>0.366598129</v>
      </c>
      <c r="R40" s="1" t="n">
        <f aca="false">PERCENTILE(G40:P40,0.9)</f>
        <v>0.3705218558</v>
      </c>
      <c r="S40" s="5" t="n">
        <f aca="false">spmv_1!R$14/R40</f>
        <v>2.98104995807915</v>
      </c>
      <c r="T40" s="6" t="n">
        <f aca="false">S40/8</f>
        <v>0.372631244759894</v>
      </c>
    </row>
    <row r="41" customFormat="false" ht="15" hidden="false" customHeight="false" outlineLevel="0" collapsed="false">
      <c r="A41" s="1" t="s">
        <v>18</v>
      </c>
      <c r="B41" s="1" t="n">
        <v>6</v>
      </c>
      <c r="D41" s="1" t="n">
        <v>96810480</v>
      </c>
      <c r="E41" s="1" t="n">
        <v>0.560858</v>
      </c>
      <c r="G41" s="1" t="n">
        <v>0.351869106</v>
      </c>
      <c r="H41" s="1" t="n">
        <v>0.343249083</v>
      </c>
      <c r="I41" s="1" t="n">
        <v>0.355460644</v>
      </c>
      <c r="J41" s="1" t="n">
        <v>0.346133947</v>
      </c>
      <c r="K41" s="1" t="n">
        <v>0.342534781</v>
      </c>
      <c r="L41" s="1" t="n">
        <v>0.340235949</v>
      </c>
      <c r="M41" s="1" t="n">
        <v>0.34614563</v>
      </c>
      <c r="N41" s="1" t="n">
        <v>0.344073057</v>
      </c>
      <c r="O41" s="1" t="n">
        <v>0.340895653</v>
      </c>
      <c r="P41" s="1" t="n">
        <v>0.341627121</v>
      </c>
      <c r="R41" s="1" t="n">
        <f aca="false">PERCENTILE(G41:P41,0.9)</f>
        <v>0.3522282598</v>
      </c>
      <c r="S41" s="5" t="n">
        <f aca="false">spmv_1!R$14/R41</f>
        <v>3.13587604619566</v>
      </c>
      <c r="T41" s="6" t="n">
        <f aca="false">S41/8</f>
        <v>0.391984505774457</v>
      </c>
    </row>
    <row r="42" customFormat="false" ht="15" hidden="false" customHeight="false" outlineLevel="0" collapsed="false">
      <c r="A42" s="1" t="s">
        <v>18</v>
      </c>
      <c r="B42" s="1" t="n">
        <v>7</v>
      </c>
      <c r="D42" s="1" t="n">
        <v>96804736</v>
      </c>
      <c r="E42" s="1" t="n">
        <v>0.568868</v>
      </c>
      <c r="G42" s="1" t="n">
        <v>0.34137845</v>
      </c>
      <c r="H42" s="1" t="n">
        <v>0.342006445</v>
      </c>
      <c r="I42" s="1" t="n">
        <v>0.344957829</v>
      </c>
      <c r="J42" s="1" t="n">
        <v>0.340351582</v>
      </c>
      <c r="K42" s="1" t="n">
        <v>0.33650279</v>
      </c>
      <c r="L42" s="1" t="n">
        <v>0.338255167</v>
      </c>
      <c r="M42" s="1" t="n">
        <v>0.336752892</v>
      </c>
      <c r="N42" s="1" t="n">
        <v>0.344202042</v>
      </c>
      <c r="O42" s="1" t="n">
        <v>0.339678049</v>
      </c>
      <c r="P42" s="1" t="n">
        <v>0.339334011</v>
      </c>
      <c r="R42" s="1" t="n">
        <f aca="false">PERCENTILE(G42:P42,0.9)</f>
        <v>0.3442776207</v>
      </c>
      <c r="S42" s="5" t="n">
        <f aca="false">spmv_1!R$14/R42</f>
        <v>3.20829498139959</v>
      </c>
      <c r="T42" s="6" t="n">
        <f aca="false">S42/8</f>
        <v>0.401036872674948</v>
      </c>
    </row>
    <row r="45" customFormat="false" ht="15" hidden="false" customHeight="false" outlineLevel="0" collapsed="false">
      <c r="A45" s="2" t="s">
        <v>0</v>
      </c>
      <c r="B45" s="2" t="s">
        <v>1</v>
      </c>
      <c r="C45" s="3"/>
      <c r="D45" s="2" t="s">
        <v>2</v>
      </c>
      <c r="E45" s="2" t="s">
        <v>3</v>
      </c>
      <c r="F45" s="3"/>
      <c r="G45" s="2" t="s">
        <v>4</v>
      </c>
      <c r="H45" s="2" t="s">
        <v>5</v>
      </c>
      <c r="I45" s="2" t="s">
        <v>6</v>
      </c>
      <c r="J45" s="2" t="s">
        <v>7</v>
      </c>
      <c r="K45" s="2" t="s">
        <v>8</v>
      </c>
      <c r="L45" s="2" t="s">
        <v>9</v>
      </c>
      <c r="M45" s="2" t="s">
        <v>10</v>
      </c>
      <c r="N45" s="2" t="s">
        <v>11</v>
      </c>
      <c r="O45" s="2" t="s">
        <v>12</v>
      </c>
      <c r="P45" s="2" t="s">
        <v>13</v>
      </c>
      <c r="R45" s="4" t="s">
        <v>14</v>
      </c>
      <c r="S45" s="7" t="s">
        <v>20</v>
      </c>
      <c r="T45" s="8" t="s">
        <v>21</v>
      </c>
    </row>
    <row r="46" customFormat="false" ht="15" hidden="false" customHeight="false" outlineLevel="0" collapsed="false">
      <c r="A46" s="1" t="s">
        <v>19</v>
      </c>
      <c r="B46" s="1" t="n">
        <v>0</v>
      </c>
      <c r="D46" s="1" t="n">
        <v>4650821</v>
      </c>
      <c r="E46" s="1" t="n">
        <v>0.864352</v>
      </c>
      <c r="G46" s="1" t="n">
        <v>0.010956049</v>
      </c>
      <c r="H46" s="1" t="n">
        <v>0.01047349</v>
      </c>
      <c r="I46" s="1" t="n">
        <v>0.010639906</v>
      </c>
      <c r="J46" s="1" t="n">
        <v>0.010870934</v>
      </c>
      <c r="K46" s="1" t="n">
        <v>0.010637283</v>
      </c>
      <c r="L46" s="1" t="n">
        <v>0.010643482</v>
      </c>
      <c r="M46" s="1" t="n">
        <v>0.010798693</v>
      </c>
      <c r="N46" s="1" t="n">
        <v>0.010700226</v>
      </c>
      <c r="O46" s="1" t="n">
        <v>0.010910988</v>
      </c>
      <c r="P46" s="1" t="n">
        <v>0.01098299</v>
      </c>
      <c r="R46" s="1" t="n">
        <f aca="false">PERCENTILE(G46:P46,0.9)</f>
        <v>0.0109587431</v>
      </c>
      <c r="S46" s="5" t="n">
        <f aca="false">spmv_1!R$18/R46</f>
        <v>7.07551295732081</v>
      </c>
      <c r="T46" s="6" t="n">
        <f aca="false">S46/8</f>
        <v>0.884439119665101</v>
      </c>
    </row>
    <row r="47" customFormat="false" ht="15" hidden="false" customHeight="false" outlineLevel="0" collapsed="false">
      <c r="A47" s="1" t="s">
        <v>19</v>
      </c>
      <c r="B47" s="1" t="n">
        <v>1</v>
      </c>
      <c r="D47" s="1" t="n">
        <v>4591501</v>
      </c>
      <c r="E47" s="1" t="n">
        <v>0.849752</v>
      </c>
      <c r="G47" s="1" t="n">
        <v>0.010844469</v>
      </c>
      <c r="H47" s="1" t="n">
        <v>0.010603189</v>
      </c>
      <c r="I47" s="1" t="n">
        <v>0.010851145</v>
      </c>
      <c r="J47" s="1" t="n">
        <v>0.010784864</v>
      </c>
      <c r="K47" s="1" t="n">
        <v>0.010893106</v>
      </c>
      <c r="L47" s="1" t="n">
        <v>0.010707378</v>
      </c>
      <c r="M47" s="1" t="n">
        <v>0.010877609</v>
      </c>
      <c r="N47" s="1" t="n">
        <v>0.010699034</v>
      </c>
      <c r="O47" s="1" t="n">
        <v>0.010868549</v>
      </c>
      <c r="P47" s="1" t="n">
        <v>0.010937452</v>
      </c>
      <c r="R47" s="1" t="n">
        <f aca="false">PERCENTILE(G47:P47,0.9)</f>
        <v>0.0108975406</v>
      </c>
      <c r="S47" s="5" t="n">
        <f aca="false">spmv_1!R$18/R47</f>
        <v>7.11525027949884</v>
      </c>
      <c r="T47" s="6" t="n">
        <f aca="false">S47/8</f>
        <v>0.889406284937356</v>
      </c>
    </row>
    <row r="48" customFormat="false" ht="15" hidden="false" customHeight="false" outlineLevel="0" collapsed="false">
      <c r="A48" s="1" t="s">
        <v>19</v>
      </c>
      <c r="B48" s="1" t="n">
        <v>2</v>
      </c>
      <c r="D48" s="1" t="n">
        <v>4568376</v>
      </c>
      <c r="E48" s="1" t="n">
        <v>0.864408</v>
      </c>
      <c r="G48" s="1" t="n">
        <v>0.010553122</v>
      </c>
      <c r="H48" s="1" t="n">
        <v>0.010435104</v>
      </c>
      <c r="I48" s="1" t="n">
        <v>0.010332823</v>
      </c>
      <c r="J48" s="1" t="n">
        <v>0.010704041</v>
      </c>
      <c r="K48" s="1" t="n">
        <v>0.010693073</v>
      </c>
      <c r="L48" s="1" t="n">
        <v>0.010511637</v>
      </c>
      <c r="M48" s="1" t="n">
        <v>0.010508537</v>
      </c>
      <c r="N48" s="1" t="n">
        <v>0.010475159</v>
      </c>
      <c r="O48" s="1" t="n">
        <v>0.010749817</v>
      </c>
      <c r="P48" s="1" t="n">
        <v>0.010736227</v>
      </c>
      <c r="R48" s="1" t="n">
        <f aca="false">PERCENTILE(G48:P48,0.9)</f>
        <v>0.010737586</v>
      </c>
      <c r="S48" s="5" t="n">
        <f aca="false">spmv_1!R$18/R48</f>
        <v>7.22124403008274</v>
      </c>
      <c r="T48" s="6" t="n">
        <f aca="false">S48/8</f>
        <v>0.902655503760343</v>
      </c>
    </row>
    <row r="49" customFormat="false" ht="15" hidden="false" customHeight="false" outlineLevel="0" collapsed="false">
      <c r="A49" s="1" t="s">
        <v>19</v>
      </c>
      <c r="B49" s="1" t="n">
        <v>3</v>
      </c>
      <c r="D49" s="1" t="n">
        <v>4757611</v>
      </c>
      <c r="E49" s="1" t="n">
        <v>0.809287</v>
      </c>
      <c r="G49" s="1" t="n">
        <v>0.021659136</v>
      </c>
      <c r="H49" s="1" t="n">
        <v>0.010403395</v>
      </c>
      <c r="I49" s="1" t="n">
        <v>0.01038003</v>
      </c>
      <c r="J49" s="1" t="n">
        <v>0.010645866</v>
      </c>
      <c r="K49" s="1" t="n">
        <v>0.010904312</v>
      </c>
      <c r="L49" s="1" t="n">
        <v>0.010633945</v>
      </c>
      <c r="M49" s="1" t="n">
        <v>0.010715485</v>
      </c>
      <c r="N49" s="1" t="n">
        <v>0.010622263</v>
      </c>
      <c r="O49" s="1" t="n">
        <v>0.010672331</v>
      </c>
      <c r="P49" s="1" t="n">
        <v>0.010938644</v>
      </c>
      <c r="R49" s="1" t="n">
        <f aca="false">PERCENTILE(G49:P49,0.9)</f>
        <v>0.0120106932</v>
      </c>
      <c r="S49" s="5" t="n">
        <f aca="false">spmv_1!R$18/R49</f>
        <v>6.45580796285763</v>
      </c>
      <c r="T49" s="6" t="n">
        <f aca="false">S49/8</f>
        <v>0.806975995357204</v>
      </c>
    </row>
    <row r="50" customFormat="false" ht="15" hidden="false" customHeight="false" outlineLevel="0" collapsed="false">
      <c r="A50" s="1" t="s">
        <v>19</v>
      </c>
      <c r="B50" s="1" t="n">
        <v>4</v>
      </c>
      <c r="D50" s="1" t="n">
        <v>4651282</v>
      </c>
      <c r="E50" s="1" t="n">
        <v>0.87168</v>
      </c>
      <c r="G50" s="1" t="n">
        <v>0.011050463</v>
      </c>
      <c r="H50" s="1" t="n">
        <v>0.010618925</v>
      </c>
      <c r="I50" s="1" t="n">
        <v>0.010449409</v>
      </c>
      <c r="J50" s="1" t="n">
        <v>0.010399818</v>
      </c>
      <c r="K50" s="1" t="n">
        <v>0.010698557</v>
      </c>
      <c r="L50" s="1" t="n">
        <v>0.010521173</v>
      </c>
      <c r="M50" s="1" t="n">
        <v>0.010749102</v>
      </c>
      <c r="N50" s="1" t="n">
        <v>0.010566473</v>
      </c>
      <c r="O50" s="1" t="n">
        <v>0.010798693</v>
      </c>
      <c r="P50" s="1" t="n">
        <v>0.010867357</v>
      </c>
      <c r="R50" s="1" t="n">
        <f aca="false">PERCENTILE(G50:P50,0.9)</f>
        <v>0.0108856676</v>
      </c>
      <c r="S50" s="5" t="n">
        <f aca="false">spmv_1!R$18/R50</f>
        <v>7.12301088451387</v>
      </c>
      <c r="T50" s="6" t="n">
        <f aca="false">S50/8</f>
        <v>0.890376360564234</v>
      </c>
    </row>
    <row r="51" customFormat="false" ht="15" hidden="false" customHeight="false" outlineLevel="0" collapsed="false">
      <c r="A51" s="1" t="s">
        <v>19</v>
      </c>
      <c r="B51" s="1" t="n">
        <v>5</v>
      </c>
      <c r="D51" s="1" t="n">
        <v>4593281</v>
      </c>
      <c r="E51" s="1" t="n">
        <v>0.86194</v>
      </c>
      <c r="G51" s="1" t="n">
        <v>0.010810137</v>
      </c>
      <c r="H51" s="1" t="n">
        <v>0.010505199</v>
      </c>
      <c r="I51" s="1" t="n">
        <v>0.010357141</v>
      </c>
      <c r="J51" s="1" t="n">
        <v>0.010723591</v>
      </c>
      <c r="K51" s="1" t="n">
        <v>0.010922909</v>
      </c>
      <c r="L51" s="1" t="n">
        <v>0.010504246</v>
      </c>
      <c r="M51" s="1" t="n">
        <v>0.010829449</v>
      </c>
      <c r="N51" s="1" t="n">
        <v>0.010701895</v>
      </c>
      <c r="O51" s="1" t="n">
        <v>0.010631084</v>
      </c>
      <c r="P51" s="1" t="n">
        <v>0.010594368</v>
      </c>
      <c r="R51" s="1" t="n">
        <f aca="false">PERCENTILE(G51:P51,0.9)</f>
        <v>0.010838795</v>
      </c>
      <c r="S51" s="5" t="n">
        <f aca="false">spmv_1!R$18/R51</f>
        <v>7.15381449690671</v>
      </c>
      <c r="T51" s="6" t="n">
        <f aca="false">S51/8</f>
        <v>0.894226812113339</v>
      </c>
    </row>
    <row r="52" customFormat="false" ht="15" hidden="false" customHeight="false" outlineLevel="0" collapsed="false">
      <c r="A52" s="1" t="s">
        <v>19</v>
      </c>
      <c r="B52" s="1" t="n">
        <v>6</v>
      </c>
      <c r="D52" s="1" t="n">
        <v>4569728</v>
      </c>
      <c r="E52" s="1" t="n">
        <v>0.862223</v>
      </c>
      <c r="G52" s="1" t="n">
        <v>0.010821342</v>
      </c>
      <c r="H52" s="1" t="n">
        <v>0.010433197</v>
      </c>
      <c r="I52" s="1" t="n">
        <v>0.010375261</v>
      </c>
      <c r="J52" s="1" t="n">
        <v>0.010668755</v>
      </c>
      <c r="K52" s="1" t="n">
        <v>0.010780811</v>
      </c>
      <c r="L52" s="1" t="n">
        <v>0.010505199</v>
      </c>
      <c r="M52" s="1" t="n">
        <v>0.010542631</v>
      </c>
      <c r="N52" s="1" t="n">
        <v>0.010710955</v>
      </c>
      <c r="O52" s="1" t="n">
        <v>0.010639906</v>
      </c>
      <c r="P52" s="1" t="n">
        <v>0.010520697</v>
      </c>
      <c r="R52" s="1" t="n">
        <f aca="false">PERCENTILE(G52:P52,0.9)</f>
        <v>0.0107848641</v>
      </c>
      <c r="S52" s="5" t="n">
        <f aca="false">spmv_1!R$18/R52</f>
        <v>7.18958793370424</v>
      </c>
      <c r="T52" s="6" t="n">
        <f aca="false">S52/8</f>
        <v>0.89869849171303</v>
      </c>
    </row>
    <row r="53" customFormat="false" ht="15" hidden="false" customHeight="false" outlineLevel="0" collapsed="false">
      <c r="A53" s="1" t="s">
        <v>19</v>
      </c>
      <c r="B53" s="1" t="n">
        <v>7</v>
      </c>
      <c r="D53" s="1" t="n">
        <v>4755861</v>
      </c>
      <c r="E53" s="1" t="n">
        <v>0.88847</v>
      </c>
      <c r="G53" s="1" t="n">
        <v>0.010941744</v>
      </c>
      <c r="H53" s="1" t="n">
        <v>0.010550976</v>
      </c>
      <c r="I53" s="1" t="n">
        <v>0.010480881</v>
      </c>
      <c r="J53" s="1" t="n">
        <v>0.010609627</v>
      </c>
      <c r="K53" s="1" t="n">
        <v>0.010605812</v>
      </c>
      <c r="L53" s="1" t="n">
        <v>0.010840654</v>
      </c>
      <c r="M53" s="1" t="n">
        <v>0.010562658</v>
      </c>
      <c r="N53" s="1" t="n">
        <v>0.010773659</v>
      </c>
      <c r="O53" s="1" t="n">
        <v>0.01083684</v>
      </c>
      <c r="P53" s="1" t="n">
        <v>0.010854483</v>
      </c>
      <c r="R53" s="1" t="n">
        <f aca="false">PERCENTILE(G53:P53,0.9)</f>
        <v>0.0108632091</v>
      </c>
      <c r="S53" s="5" t="n">
        <f aca="false">spmv_1!R$18/R53</f>
        <v>7.13773693263439</v>
      </c>
      <c r="T53" s="6" t="n">
        <f aca="false">S53/8</f>
        <v>0.892217116579299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93"/>
  <sheetViews>
    <sheetView showFormulas="false" showGridLines="true" showRowColHeaders="true" showZeros="true" rightToLeft="false" tabSelected="false" showOutlineSymbols="true" defaultGridColor="true" view="normal" topLeftCell="A46" colorId="64" zoomScale="100" zoomScaleNormal="100" zoomScalePageLayoutView="100" workbookViewId="0">
      <selection pane="topLeft" activeCell="U77" activeCellId="0" sqref="U77"/>
    </sheetView>
  </sheetViews>
  <sheetFormatPr defaultColWidth="8.6171875" defaultRowHeight="15" customHeight="true" zeroHeight="false" outlineLevelRow="0" outlineLevelCol="0"/>
  <cols>
    <col collapsed="false" customWidth="true" hidden="false" outlineLevel="0" max="1" min="1" style="1" width="13.34"/>
    <col collapsed="false" customWidth="true" hidden="false" outlineLevel="0" max="3" min="3" style="1" width="6.25"/>
    <col collapsed="false" customWidth="true" hidden="false" outlineLevel="0" max="5" min="4" style="1" width="13.34"/>
    <col collapsed="false" customWidth="true" hidden="false" outlineLevel="0" max="6" min="6" style="1" width="6.25"/>
    <col collapsed="false" customWidth="true" hidden="false" outlineLevel="0" max="16" min="7" style="1" width="13.34"/>
    <col collapsed="false" customWidth="true" hidden="false" outlineLevel="0" max="17" min="17" style="1" width="6.25"/>
    <col collapsed="false" customWidth="true" hidden="false" outlineLevel="0" max="18" min="18" style="1" width="13.34"/>
    <col collapsed="false" customWidth="true" hidden="false" outlineLevel="0" max="19" min="19" style="5" width="13.34"/>
    <col collapsed="false" customWidth="true" hidden="false" outlineLevel="0" max="20" min="20" style="6" width="13.34"/>
    <col collapsed="false" customWidth="true" hidden="false" outlineLevel="0" max="16384" min="16384" style="1" width="10.49"/>
  </cols>
  <sheetData>
    <row r="1" customFormat="false" ht="15" hidden="false" customHeight="false" outlineLevel="0" collapsed="false">
      <c r="A1" s="2" t="s">
        <v>0</v>
      </c>
      <c r="B1" s="2" t="s">
        <v>1</v>
      </c>
      <c r="C1" s="3"/>
      <c r="D1" s="2" t="s">
        <v>2</v>
      </c>
      <c r="E1" s="2" t="s">
        <v>3</v>
      </c>
      <c r="F1" s="3"/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R1" s="4" t="s">
        <v>14</v>
      </c>
      <c r="S1" s="7" t="s">
        <v>20</v>
      </c>
      <c r="T1" s="8" t="s">
        <v>21</v>
      </c>
    </row>
    <row r="2" customFormat="false" ht="15" hidden="false" customHeight="false" outlineLevel="0" collapsed="false">
      <c r="A2" s="1" t="s">
        <v>15</v>
      </c>
      <c r="B2" s="1" t="n">
        <v>0</v>
      </c>
      <c r="D2" s="1" t="n">
        <v>666452</v>
      </c>
      <c r="E2" s="1" t="n">
        <v>0.902905</v>
      </c>
      <c r="G2" s="1" t="n">
        <v>0.001858473</v>
      </c>
      <c r="H2" s="1" t="n">
        <v>0.001502752</v>
      </c>
      <c r="I2" s="1" t="n">
        <v>0.001444578</v>
      </c>
      <c r="J2" s="1" t="n">
        <v>0.001453638</v>
      </c>
      <c r="K2" s="1" t="n">
        <v>0.00143981</v>
      </c>
      <c r="L2" s="1" t="n">
        <v>0.001410961</v>
      </c>
      <c r="M2" s="1" t="n">
        <v>0.001428843</v>
      </c>
      <c r="N2" s="1" t="n">
        <v>0.001447916</v>
      </c>
      <c r="O2" s="1" t="n">
        <v>0.00141716</v>
      </c>
      <c r="P2" s="1" t="n">
        <v>0.001358271</v>
      </c>
      <c r="R2" s="1" t="n">
        <f aca="false">PERCENTILE(G2:P2,0.9)</f>
        <v>0.0015383241</v>
      </c>
      <c r="S2" s="5" t="n">
        <f aca="false">spmv_1!R$2/R2</f>
        <v>11.3261232792231</v>
      </c>
      <c r="T2" s="6" t="n">
        <f aca="false">S2/16</f>
        <v>0.707882704951447</v>
      </c>
    </row>
    <row r="3" customFormat="false" ht="15" hidden="false" customHeight="false" outlineLevel="0" collapsed="false">
      <c r="A3" s="1" t="s">
        <v>15</v>
      </c>
      <c r="B3" s="1" t="n">
        <v>1</v>
      </c>
      <c r="D3" s="1" t="n">
        <v>667346</v>
      </c>
      <c r="E3" s="1" t="n">
        <v>0.856621</v>
      </c>
      <c r="G3" s="1" t="n">
        <v>0.001888037</v>
      </c>
      <c r="H3" s="1" t="n">
        <v>0.001577377</v>
      </c>
      <c r="I3" s="1" t="n">
        <v>0.00152564</v>
      </c>
      <c r="J3" s="1" t="n">
        <v>0.001552582</v>
      </c>
      <c r="K3" s="1" t="n">
        <v>0.001521826</v>
      </c>
      <c r="L3" s="1" t="n">
        <v>0.001490831</v>
      </c>
      <c r="M3" s="1" t="n">
        <v>0.001512766</v>
      </c>
      <c r="N3" s="1" t="n">
        <v>0.001534462</v>
      </c>
      <c r="O3" s="1" t="n">
        <v>0.00150156</v>
      </c>
      <c r="P3" s="1" t="n">
        <v>0.001475811</v>
      </c>
      <c r="R3" s="1" t="n">
        <f aca="false">PERCENTILE(G3:P3,0.9)</f>
        <v>0.001608443</v>
      </c>
      <c r="S3" s="5" t="n">
        <f aca="false">spmv_1!R$2/R3</f>
        <v>10.8323691918209</v>
      </c>
      <c r="T3" s="6" t="n">
        <f aca="false">S3/16</f>
        <v>0.677023074488807</v>
      </c>
    </row>
    <row r="4" customFormat="false" ht="15" hidden="false" customHeight="false" outlineLevel="0" collapsed="false">
      <c r="A4" s="1" t="s">
        <v>15</v>
      </c>
      <c r="B4" s="1" t="n">
        <v>2</v>
      </c>
      <c r="D4" s="1" t="n">
        <v>665088</v>
      </c>
      <c r="E4" s="1" t="n">
        <v>0.862633</v>
      </c>
      <c r="G4" s="1" t="n">
        <v>0.00182271</v>
      </c>
      <c r="H4" s="1" t="n">
        <v>0.001541615</v>
      </c>
      <c r="I4" s="1" t="n">
        <v>0.001508474</v>
      </c>
      <c r="J4" s="1" t="n">
        <v>0.001609325</v>
      </c>
      <c r="K4" s="1" t="n">
        <v>0.00153017</v>
      </c>
      <c r="L4" s="1" t="n">
        <v>0.001502275</v>
      </c>
      <c r="M4" s="1" t="n">
        <v>0.001424074</v>
      </c>
      <c r="N4" s="1" t="n">
        <v>0.001498222</v>
      </c>
      <c r="O4" s="1" t="n">
        <v>0.00150013</v>
      </c>
      <c r="P4" s="1" t="n">
        <v>0.001482964</v>
      </c>
      <c r="R4" s="1" t="n">
        <f aca="false">PERCENTILE(G4:P4,0.9)</f>
        <v>0.0016306635</v>
      </c>
      <c r="S4" s="5" t="n">
        <f aca="false">spmv_1!R$2/R4</f>
        <v>10.6847601605113</v>
      </c>
      <c r="T4" s="6" t="n">
        <f aca="false">S4/16</f>
        <v>0.667797510031959</v>
      </c>
    </row>
    <row r="5" customFormat="false" ht="15" hidden="false" customHeight="false" outlineLevel="0" collapsed="false">
      <c r="A5" s="1" t="s">
        <v>15</v>
      </c>
      <c r="B5" s="1" t="n">
        <v>3</v>
      </c>
      <c r="D5" s="1" t="n">
        <v>663375</v>
      </c>
      <c r="E5" s="1" t="n">
        <v>0.88403</v>
      </c>
      <c r="G5" s="1" t="n">
        <v>0.001833677</v>
      </c>
      <c r="H5" s="1" t="n">
        <v>0.001581907</v>
      </c>
      <c r="I5" s="1" t="n">
        <v>0.001498222</v>
      </c>
      <c r="J5" s="1" t="n">
        <v>0.001498699</v>
      </c>
      <c r="K5" s="1" t="n">
        <v>0.001442432</v>
      </c>
      <c r="L5" s="1" t="n">
        <v>0.001420259</v>
      </c>
      <c r="M5" s="1" t="n">
        <v>0.001441002</v>
      </c>
      <c r="N5" s="1" t="n">
        <v>0.001424789</v>
      </c>
      <c r="O5" s="1" t="n">
        <v>0.001442194</v>
      </c>
      <c r="P5" s="1" t="n">
        <v>0.001424789</v>
      </c>
      <c r="R5" s="1" t="n">
        <f aca="false">PERCENTILE(G5:P5,0.9)</f>
        <v>0.001607084</v>
      </c>
      <c r="S5" s="5" t="n">
        <f aca="false">spmv_1!R$2/R5</f>
        <v>10.8415293786759</v>
      </c>
      <c r="T5" s="6" t="n">
        <f aca="false">S5/16</f>
        <v>0.677595586167245</v>
      </c>
    </row>
    <row r="6" customFormat="false" ht="15" hidden="false" customHeight="false" outlineLevel="0" collapsed="false">
      <c r="A6" s="1" t="s">
        <v>15</v>
      </c>
      <c r="B6" s="1" t="n">
        <v>4</v>
      </c>
      <c r="D6" s="1" t="n">
        <v>662698</v>
      </c>
      <c r="E6" s="1" t="n">
        <v>0.843082</v>
      </c>
      <c r="G6" s="1" t="n">
        <v>0.001921177</v>
      </c>
      <c r="H6" s="1" t="n">
        <v>0.001598358</v>
      </c>
      <c r="I6" s="1" t="n">
        <v>0.001549482</v>
      </c>
      <c r="J6" s="1" t="n">
        <v>0.001547098</v>
      </c>
      <c r="K6" s="1" t="n">
        <v>0.001518965</v>
      </c>
      <c r="L6" s="1" t="n">
        <v>0.001498461</v>
      </c>
      <c r="M6" s="1" t="n">
        <v>0.001532078</v>
      </c>
      <c r="N6" s="1" t="n">
        <v>0.001554966</v>
      </c>
      <c r="O6" s="1" t="n">
        <v>0.001524687</v>
      </c>
      <c r="P6" s="1" t="n">
        <v>0.001475573</v>
      </c>
      <c r="R6" s="1" t="n">
        <f aca="false">PERCENTILE(G6:P6,0.9)</f>
        <v>0.0016306399</v>
      </c>
      <c r="S6" s="5" t="n">
        <f aca="false">spmv_1!R$2/R6</f>
        <v>10.6849147993987</v>
      </c>
      <c r="T6" s="6" t="n">
        <f aca="false">S6/16</f>
        <v>0.667807174962418</v>
      </c>
    </row>
    <row r="7" customFormat="false" ht="15" hidden="false" customHeight="false" outlineLevel="0" collapsed="false">
      <c r="A7" s="1" t="s">
        <v>15</v>
      </c>
      <c r="B7" s="1" t="n">
        <v>5</v>
      </c>
      <c r="D7" s="1" t="n">
        <v>665594</v>
      </c>
      <c r="E7" s="1" t="n">
        <v>0.854111</v>
      </c>
      <c r="G7" s="1" t="n">
        <v>0.001941681</v>
      </c>
      <c r="H7" s="1" t="n">
        <v>0.00158906</v>
      </c>
      <c r="I7" s="1" t="n">
        <v>0.001542807</v>
      </c>
      <c r="J7" s="1" t="n">
        <v>0.001522779</v>
      </c>
      <c r="K7" s="1" t="n">
        <v>0.00151968</v>
      </c>
      <c r="L7" s="1" t="n">
        <v>0.001501322</v>
      </c>
      <c r="M7" s="1" t="n">
        <v>0.001489401</v>
      </c>
      <c r="N7" s="1" t="n">
        <v>0.00152421</v>
      </c>
      <c r="O7" s="1" t="n">
        <v>0.001499891</v>
      </c>
      <c r="P7" s="1" t="n">
        <v>0.00145483</v>
      </c>
      <c r="R7" s="1" t="n">
        <f aca="false">PERCENTILE(G7:P7,0.9)</f>
        <v>0.0016243221</v>
      </c>
      <c r="S7" s="5" t="n">
        <f aca="false">spmv_1!R$2/R7</f>
        <v>10.7264737701962</v>
      </c>
      <c r="T7" s="6" t="n">
        <f aca="false">S7/16</f>
        <v>0.670404610637262</v>
      </c>
    </row>
    <row r="8" customFormat="false" ht="15" hidden="false" customHeight="false" outlineLevel="0" collapsed="false">
      <c r="A8" s="1" t="s">
        <v>15</v>
      </c>
      <c r="B8" s="1" t="n">
        <v>6</v>
      </c>
      <c r="D8" s="1" t="n">
        <v>665712</v>
      </c>
      <c r="E8" s="1" t="n">
        <v>0.794084</v>
      </c>
      <c r="G8" s="1" t="n">
        <v>0.002165794</v>
      </c>
      <c r="H8" s="1" t="n">
        <v>0.001710653</v>
      </c>
      <c r="I8" s="1" t="n">
        <v>0.001644373</v>
      </c>
      <c r="J8" s="1" t="n">
        <v>0.001621008</v>
      </c>
      <c r="K8" s="1" t="n">
        <v>0.001639366</v>
      </c>
      <c r="L8" s="1" t="n">
        <v>0.001589298</v>
      </c>
      <c r="M8" s="1" t="n">
        <v>0.001587629</v>
      </c>
      <c r="N8" s="1" t="n">
        <v>0.001589537</v>
      </c>
      <c r="O8" s="1" t="n">
        <v>0.001618624</v>
      </c>
      <c r="P8" s="1" t="n">
        <v>0.001600504</v>
      </c>
      <c r="R8" s="1" t="n">
        <f aca="false">PERCENTILE(G8:P8,0.9)</f>
        <v>0.0017561671</v>
      </c>
      <c r="S8" s="5" t="n">
        <f aca="false">spmv_1!R$2/R8</f>
        <v>9.921179140641</v>
      </c>
      <c r="T8" s="6" t="n">
        <f aca="false">S8/16</f>
        <v>0.620073696290063</v>
      </c>
    </row>
    <row r="9" customFormat="false" ht="15" hidden="false" customHeight="false" outlineLevel="0" collapsed="false">
      <c r="A9" s="1" t="s">
        <v>15</v>
      </c>
      <c r="B9" s="1" t="n">
        <v>7</v>
      </c>
      <c r="D9" s="1" t="n">
        <v>666565</v>
      </c>
      <c r="E9" s="1" t="n">
        <v>0.795452</v>
      </c>
      <c r="G9" s="1" t="n">
        <v>0.00215435</v>
      </c>
      <c r="H9" s="1" t="n">
        <v>0.001705408</v>
      </c>
      <c r="I9" s="1" t="n">
        <v>0.001640081</v>
      </c>
      <c r="J9" s="1" t="n">
        <v>0.001612663</v>
      </c>
      <c r="K9" s="1" t="n">
        <v>0.001604795</v>
      </c>
      <c r="L9" s="1" t="n">
        <v>0.001595974</v>
      </c>
      <c r="M9" s="1" t="n">
        <v>0.001605988</v>
      </c>
      <c r="N9" s="1" t="n">
        <v>0.001617432</v>
      </c>
      <c r="O9" s="1" t="n">
        <v>0.001618862</v>
      </c>
      <c r="P9" s="1" t="n">
        <v>0.001603842</v>
      </c>
      <c r="R9" s="1" t="n">
        <f aca="false">PERCENTILE(G9:P9,0.9)</f>
        <v>0.0017503022</v>
      </c>
      <c r="S9" s="5" t="n">
        <f aca="false">spmv_1!R$2/R9</f>
        <v>9.95442295621865</v>
      </c>
      <c r="T9" s="6" t="n">
        <f aca="false">S9/16</f>
        <v>0.622151434763665</v>
      </c>
    </row>
    <row r="10" customFormat="false" ht="15" hidden="false" customHeight="false" outlineLevel="0" collapsed="false">
      <c r="A10" s="1" t="s">
        <v>15</v>
      </c>
      <c r="B10" s="1" t="n">
        <v>8</v>
      </c>
      <c r="D10" s="1" t="n">
        <v>663192</v>
      </c>
      <c r="E10" s="1" t="n">
        <v>0.847773</v>
      </c>
      <c r="G10" s="1" t="n">
        <v>0.001969576</v>
      </c>
      <c r="H10" s="1" t="n">
        <v>0.001593351</v>
      </c>
      <c r="I10" s="1" t="n">
        <v>0.001531124</v>
      </c>
      <c r="J10" s="1" t="n">
        <v>0.001517296</v>
      </c>
      <c r="K10" s="1" t="n">
        <v>0.001521111</v>
      </c>
      <c r="L10" s="1" t="n">
        <v>0.001496077</v>
      </c>
      <c r="M10" s="1" t="n">
        <v>0.001477957</v>
      </c>
      <c r="N10" s="1" t="n">
        <v>0.001543045</v>
      </c>
      <c r="O10" s="1" t="n">
        <v>0.001518965</v>
      </c>
      <c r="P10" s="1" t="n">
        <v>0.001477003</v>
      </c>
      <c r="R10" s="1" t="n">
        <f aca="false">PERCENTILE(G10:P10,0.9)</f>
        <v>0.0016309735</v>
      </c>
      <c r="S10" s="5" t="n">
        <f aca="false">spmv_1!R$2/R10</f>
        <v>10.6827293024687</v>
      </c>
      <c r="T10" s="6" t="n">
        <f aca="false">S10/16</f>
        <v>0.667670581404296</v>
      </c>
    </row>
    <row r="11" customFormat="false" ht="15" hidden="false" customHeight="false" outlineLevel="0" collapsed="false">
      <c r="A11" s="1" t="s">
        <v>15</v>
      </c>
      <c r="B11" s="1" t="n">
        <v>9</v>
      </c>
      <c r="D11" s="1" t="n">
        <v>664738</v>
      </c>
      <c r="E11" s="1" t="n">
        <v>0.792866</v>
      </c>
      <c r="G11" s="1" t="n">
        <v>0.00220108</v>
      </c>
      <c r="H11" s="1" t="n">
        <v>0.001708269</v>
      </c>
      <c r="I11" s="1" t="n">
        <v>0.001636505</v>
      </c>
      <c r="J11" s="1" t="n">
        <v>0.001603365</v>
      </c>
      <c r="K11" s="1" t="n">
        <v>0.001607656</v>
      </c>
      <c r="L11" s="1" t="n">
        <v>0.001589775</v>
      </c>
      <c r="M11" s="1" t="n">
        <v>0.001567602</v>
      </c>
      <c r="N11" s="1" t="n">
        <v>0.001629353</v>
      </c>
      <c r="O11" s="1" t="n">
        <v>0.001617193</v>
      </c>
      <c r="P11" s="1" t="n">
        <v>0.00160718</v>
      </c>
      <c r="R11" s="1" t="n">
        <f aca="false">PERCENTILE(G11:P11,0.9)</f>
        <v>0.0017575501</v>
      </c>
      <c r="S11" s="5" t="n">
        <f aca="false">spmv_1!R$2/R11</f>
        <v>9.91337225607395</v>
      </c>
      <c r="T11" s="6" t="n">
        <f aca="false">S11/16</f>
        <v>0.619585766004622</v>
      </c>
    </row>
    <row r="12" customFormat="false" ht="15" hidden="false" customHeight="false" outlineLevel="0" collapsed="false">
      <c r="A12" s="1" t="s">
        <v>15</v>
      </c>
      <c r="B12" s="1" t="n">
        <v>10</v>
      </c>
      <c r="D12" s="1" t="n">
        <v>664591</v>
      </c>
      <c r="E12" s="1" t="n">
        <v>0.804983</v>
      </c>
      <c r="G12" s="1" t="n">
        <v>0.002147436</v>
      </c>
      <c r="H12" s="1" t="n">
        <v>0.001692295</v>
      </c>
      <c r="I12" s="1" t="n">
        <v>0.001617193</v>
      </c>
      <c r="J12" s="1" t="n">
        <v>0.001583815</v>
      </c>
      <c r="K12" s="1" t="n">
        <v>0.001590967</v>
      </c>
      <c r="L12" s="1" t="n">
        <v>0.001574755</v>
      </c>
      <c r="M12" s="1" t="n">
        <v>0.001539707</v>
      </c>
      <c r="N12" s="1" t="n">
        <v>0.001582384</v>
      </c>
      <c r="O12" s="1" t="n">
        <v>0.001588106</v>
      </c>
      <c r="P12" s="1" t="n">
        <v>0.001595259</v>
      </c>
      <c r="R12" s="1" t="n">
        <f aca="false">PERCENTILE(G12:P12,0.9)</f>
        <v>0.0017378091</v>
      </c>
      <c r="S12" s="5" t="n">
        <f aca="false">spmv_1!R$2/R12</f>
        <v>10.0259852477467</v>
      </c>
      <c r="T12" s="6" t="n">
        <f aca="false">S12/16</f>
        <v>0.62662407798417</v>
      </c>
    </row>
    <row r="13" customFormat="false" ht="15" hidden="false" customHeight="false" outlineLevel="0" collapsed="false">
      <c r="A13" s="1" t="s">
        <v>15</v>
      </c>
      <c r="B13" s="1" t="n">
        <v>11</v>
      </c>
      <c r="D13" s="1" t="n">
        <v>667685</v>
      </c>
      <c r="E13" s="1" t="n">
        <v>0.815015</v>
      </c>
      <c r="G13" s="1" t="n">
        <v>0.002134085</v>
      </c>
      <c r="H13" s="1" t="n">
        <v>0.001677036</v>
      </c>
      <c r="I13" s="1" t="n">
        <v>0.001599789</v>
      </c>
      <c r="J13" s="1" t="n">
        <v>0.001579523</v>
      </c>
      <c r="K13" s="1" t="n">
        <v>0.001587152</v>
      </c>
      <c r="L13" s="1" t="n">
        <v>0.001555443</v>
      </c>
      <c r="M13" s="1" t="n">
        <v>0.001526594</v>
      </c>
      <c r="N13" s="1" t="n">
        <v>0.001577377</v>
      </c>
      <c r="O13" s="1" t="n">
        <v>0.001583815</v>
      </c>
      <c r="P13" s="1" t="n">
        <v>0.001563787</v>
      </c>
      <c r="R13" s="1" t="n">
        <f aca="false">PERCENTILE(G13:P13,0.9)</f>
        <v>0.0017227409</v>
      </c>
      <c r="S13" s="5" t="n">
        <f aca="false">spmv_1!R$2/R13</f>
        <v>10.1136789635632</v>
      </c>
      <c r="T13" s="6" t="n">
        <f aca="false">S13/16</f>
        <v>0.632104935222702</v>
      </c>
    </row>
    <row r="14" customFormat="false" ht="15" hidden="false" customHeight="false" outlineLevel="0" collapsed="false">
      <c r="A14" s="1" t="s">
        <v>15</v>
      </c>
      <c r="B14" s="1" t="n">
        <v>12</v>
      </c>
      <c r="D14" s="1" t="n">
        <v>666457</v>
      </c>
      <c r="E14" s="1" t="n">
        <v>0.828821</v>
      </c>
      <c r="G14" s="1" t="n">
        <v>0.002152681</v>
      </c>
      <c r="H14" s="1" t="n">
        <v>0.001590014</v>
      </c>
      <c r="I14" s="1" t="n">
        <v>0.001580954</v>
      </c>
      <c r="J14" s="1" t="n">
        <v>0.001536369</v>
      </c>
      <c r="K14" s="1" t="n">
        <v>0.00154829</v>
      </c>
      <c r="L14" s="1" t="n">
        <v>0.001526117</v>
      </c>
      <c r="M14" s="1" t="n">
        <v>0.001488209</v>
      </c>
      <c r="N14" s="1" t="n">
        <v>0.001572132</v>
      </c>
      <c r="O14" s="1" t="n">
        <v>0.001542807</v>
      </c>
      <c r="P14" s="1" t="n">
        <v>0.001544476</v>
      </c>
      <c r="R14" s="1" t="n">
        <f aca="false">PERCENTILE(G14:P14,0.9)</f>
        <v>0.0016462807</v>
      </c>
      <c r="S14" s="5" t="n">
        <f aca="false">spmv_1!R$2/R14</f>
        <v>10.5834007529822</v>
      </c>
      <c r="T14" s="6" t="n">
        <f aca="false">S14/16</f>
        <v>0.661462547061385</v>
      </c>
    </row>
    <row r="15" customFormat="false" ht="15" hidden="false" customHeight="false" outlineLevel="0" collapsed="false">
      <c r="A15" s="1" t="s">
        <v>15</v>
      </c>
      <c r="B15" s="1" t="n">
        <v>13</v>
      </c>
      <c r="D15" s="1" t="n">
        <v>665826</v>
      </c>
      <c r="E15" s="1" t="n">
        <v>0.839953</v>
      </c>
      <c r="G15" s="1" t="n">
        <v>0.002102613</v>
      </c>
      <c r="H15" s="1" t="n">
        <v>0.001594543</v>
      </c>
      <c r="I15" s="1" t="n">
        <v>0.001542568</v>
      </c>
      <c r="J15" s="1" t="n">
        <v>0.001544237</v>
      </c>
      <c r="K15" s="1" t="n">
        <v>0.001507044</v>
      </c>
      <c r="L15" s="1" t="n">
        <v>0.001503706</v>
      </c>
      <c r="M15" s="1" t="n">
        <v>0.001495361</v>
      </c>
      <c r="N15" s="1" t="n">
        <v>0.001518965</v>
      </c>
      <c r="O15" s="1" t="n">
        <v>0.001524687</v>
      </c>
      <c r="P15" s="1" t="n">
        <v>0.001520157</v>
      </c>
      <c r="R15" s="1" t="n">
        <f aca="false">PERCENTILE(G15:P15,0.9)</f>
        <v>0.00164535</v>
      </c>
      <c r="S15" s="5" t="n">
        <f aca="false">spmv_1!R$2/R15</f>
        <v>10.5893873036132</v>
      </c>
      <c r="T15" s="6" t="n">
        <f aca="false">S15/16</f>
        <v>0.661836706475826</v>
      </c>
    </row>
    <row r="16" customFormat="false" ht="15" hidden="false" customHeight="false" outlineLevel="0" collapsed="false">
      <c r="A16" s="1" t="s">
        <v>15</v>
      </c>
      <c r="B16" s="1" t="n">
        <v>14</v>
      </c>
      <c r="D16" s="1" t="n">
        <v>663662</v>
      </c>
      <c r="E16" s="1" t="n">
        <v>0.835201</v>
      </c>
      <c r="G16" s="1" t="n">
        <v>0.002143383</v>
      </c>
      <c r="H16" s="1" t="n">
        <v>0.001605034</v>
      </c>
      <c r="I16" s="1" t="n">
        <v>0.001546144</v>
      </c>
      <c r="J16" s="1" t="n">
        <v>0.001571178</v>
      </c>
      <c r="K16" s="1" t="n">
        <v>0.001516342</v>
      </c>
      <c r="L16" s="1" t="n">
        <v>0.001515627</v>
      </c>
      <c r="M16" s="1" t="n">
        <v>0.001510859</v>
      </c>
      <c r="N16" s="1" t="n">
        <v>0.001482487</v>
      </c>
      <c r="O16" s="1" t="n">
        <v>0.001483917</v>
      </c>
      <c r="P16" s="1" t="n">
        <v>0.001517296</v>
      </c>
      <c r="R16" s="1" t="n">
        <f aca="false">PERCENTILE(G16:P16,0.9)</f>
        <v>0.0016588689</v>
      </c>
      <c r="S16" s="5" t="n">
        <f aca="false">spmv_1!R$2/R16</f>
        <v>10.5030894243662</v>
      </c>
      <c r="T16" s="6" t="n">
        <f aca="false">S16/16</f>
        <v>0.656443089022888</v>
      </c>
    </row>
    <row r="17" customFormat="false" ht="15" hidden="false" customHeight="false" outlineLevel="0" collapsed="false">
      <c r="A17" s="1" t="s">
        <v>15</v>
      </c>
      <c r="B17" s="1" t="n">
        <v>15</v>
      </c>
      <c r="D17" s="1" t="n">
        <v>665021</v>
      </c>
      <c r="E17" s="1" t="n">
        <v>0.91388</v>
      </c>
      <c r="G17" s="1" t="n">
        <v>0.001886606</v>
      </c>
      <c r="H17" s="1" t="n">
        <v>0.001487017</v>
      </c>
      <c r="I17" s="1" t="n">
        <v>0.001413822</v>
      </c>
      <c r="J17" s="1" t="n">
        <v>0.001422882</v>
      </c>
      <c r="K17" s="1" t="n">
        <v>0.001400471</v>
      </c>
      <c r="L17" s="1" t="n">
        <v>0.001398802</v>
      </c>
      <c r="M17" s="1" t="n">
        <v>0.001393318</v>
      </c>
      <c r="N17" s="1" t="n">
        <v>0.001398087</v>
      </c>
      <c r="O17" s="1" t="n">
        <v>0.00139308</v>
      </c>
      <c r="P17" s="1" t="n">
        <v>0.001359701</v>
      </c>
      <c r="R17" s="1" t="n">
        <f aca="false">PERCENTILE(G17:P17,0.9)</f>
        <v>0.0015269759</v>
      </c>
      <c r="S17" s="5" t="n">
        <f aca="false">spmv_1!R$2/R17</f>
        <v>11.4102969143128</v>
      </c>
      <c r="T17" s="6" t="n">
        <f aca="false">S17/16</f>
        <v>0.71314355714455</v>
      </c>
    </row>
    <row r="20" customFormat="false" ht="15" hidden="false" customHeight="false" outlineLevel="0" collapsed="false">
      <c r="A20" s="2" t="s">
        <v>0</v>
      </c>
      <c r="B20" s="2" t="s">
        <v>1</v>
      </c>
      <c r="C20" s="3"/>
      <c r="D20" s="2" t="s">
        <v>2</v>
      </c>
      <c r="E20" s="2" t="s">
        <v>3</v>
      </c>
      <c r="F20" s="3"/>
      <c r="G20" s="2" t="s">
        <v>4</v>
      </c>
      <c r="H20" s="2" t="s">
        <v>5</v>
      </c>
      <c r="I20" s="2" t="s">
        <v>6</v>
      </c>
      <c r="J20" s="2" t="s">
        <v>7</v>
      </c>
      <c r="K20" s="2" t="s">
        <v>8</v>
      </c>
      <c r="L20" s="2" t="s">
        <v>9</v>
      </c>
      <c r="M20" s="2" t="s">
        <v>10</v>
      </c>
      <c r="N20" s="2" t="s">
        <v>11</v>
      </c>
      <c r="O20" s="2" t="s">
        <v>12</v>
      </c>
      <c r="P20" s="2" t="s">
        <v>13</v>
      </c>
      <c r="R20" s="4" t="s">
        <v>14</v>
      </c>
      <c r="S20" s="7" t="s">
        <v>20</v>
      </c>
      <c r="T20" s="8" t="s">
        <v>21</v>
      </c>
    </row>
    <row r="21" customFormat="false" ht="15" hidden="false" customHeight="false" outlineLevel="0" collapsed="false">
      <c r="A21" s="1" t="s">
        <v>16</v>
      </c>
      <c r="B21" s="1" t="n">
        <v>0</v>
      </c>
      <c r="D21" s="1" t="n">
        <v>6930698</v>
      </c>
      <c r="E21" s="1" t="n">
        <v>0.848363</v>
      </c>
      <c r="G21" s="1" t="n">
        <v>0.017124891</v>
      </c>
      <c r="H21" s="1" t="n">
        <v>0.016302109</v>
      </c>
      <c r="I21" s="1" t="n">
        <v>0.016746998</v>
      </c>
      <c r="J21" s="1" t="n">
        <v>0.016113281</v>
      </c>
      <c r="K21" s="1" t="n">
        <v>0.016448498</v>
      </c>
      <c r="L21" s="1" t="n">
        <v>0.016185999</v>
      </c>
      <c r="M21" s="1" t="n">
        <v>0.016110182</v>
      </c>
      <c r="N21" s="1" t="n">
        <v>0.016327143</v>
      </c>
      <c r="O21" s="1" t="n">
        <v>0.015980005</v>
      </c>
      <c r="P21" s="1" t="n">
        <v>0.016050816</v>
      </c>
      <c r="R21" s="1" t="n">
        <f aca="false">PERCENTILE(G21:P21,0.9)</f>
        <v>0.0167847873</v>
      </c>
      <c r="S21" s="5" t="n">
        <f aca="false">spmv_1!R$6/R21</f>
        <v>10.0230409592381</v>
      </c>
      <c r="T21" s="6" t="n">
        <f aca="false">S21/16</f>
        <v>0.626440059952383</v>
      </c>
    </row>
    <row r="22" customFormat="false" ht="15" hidden="false" customHeight="false" outlineLevel="0" collapsed="false">
      <c r="A22" s="1" t="s">
        <v>16</v>
      </c>
      <c r="B22" s="1" t="n">
        <v>1</v>
      </c>
      <c r="D22" s="1" t="n">
        <v>6930722</v>
      </c>
      <c r="E22" s="1" t="n">
        <v>0.839847</v>
      </c>
      <c r="G22" s="1" t="n">
        <v>0.017216206</v>
      </c>
      <c r="H22" s="1" t="n">
        <v>0.016564608</v>
      </c>
      <c r="I22" s="1" t="n">
        <v>0.016758204</v>
      </c>
      <c r="J22" s="1" t="n">
        <v>0.016250372</v>
      </c>
      <c r="K22" s="1" t="n">
        <v>0.01646018</v>
      </c>
      <c r="L22" s="1" t="n">
        <v>0.016593695</v>
      </c>
      <c r="M22" s="1" t="n">
        <v>0.016321182</v>
      </c>
      <c r="N22" s="1" t="n">
        <v>0.016588926</v>
      </c>
      <c r="O22" s="1" t="n">
        <v>0.01614356</v>
      </c>
      <c r="P22" s="1" t="n">
        <v>0.016150236</v>
      </c>
      <c r="R22" s="1" t="n">
        <f aca="false">PERCENTILE(G22:P22,0.9)</f>
        <v>0.0168040042</v>
      </c>
      <c r="S22" s="5" t="n">
        <f aca="false">spmv_1!R$6/R22</f>
        <v>10.0115787045566</v>
      </c>
      <c r="T22" s="6" t="n">
        <f aca="false">S22/16</f>
        <v>0.625723669034789</v>
      </c>
    </row>
    <row r="23" customFormat="false" ht="15" hidden="false" customHeight="false" outlineLevel="0" collapsed="false">
      <c r="A23" s="1" t="s">
        <v>16</v>
      </c>
      <c r="B23" s="1" t="n">
        <v>2</v>
      </c>
      <c r="D23" s="1" t="n">
        <v>6929254</v>
      </c>
      <c r="E23" s="1" t="n">
        <v>0.840313</v>
      </c>
      <c r="G23" s="1" t="n">
        <v>0.017202377</v>
      </c>
      <c r="H23" s="1" t="n">
        <v>0.016592741</v>
      </c>
      <c r="I23" s="1" t="n">
        <v>0.016732216</v>
      </c>
      <c r="J23" s="1" t="n">
        <v>0.016308308</v>
      </c>
      <c r="K23" s="1" t="n">
        <v>0.016323566</v>
      </c>
      <c r="L23" s="1" t="n">
        <v>0.016554832</v>
      </c>
      <c r="M23" s="1" t="n">
        <v>0.016343117</v>
      </c>
      <c r="N23" s="1" t="n">
        <v>0.016693592</v>
      </c>
      <c r="O23" s="1" t="n">
        <v>0.01607585</v>
      </c>
      <c r="P23" s="1" t="n">
        <v>0.016094208</v>
      </c>
      <c r="R23" s="1" t="n">
        <f aca="false">PERCENTILE(G23:P23,0.9)</f>
        <v>0.0167792321</v>
      </c>
      <c r="S23" s="5" t="n">
        <f aca="false">spmv_1!R$6/R23</f>
        <v>10.0263593469215</v>
      </c>
      <c r="T23" s="6" t="n">
        <f aca="false">S23/16</f>
        <v>0.626647459182593</v>
      </c>
    </row>
    <row r="24" customFormat="false" ht="15" hidden="false" customHeight="false" outlineLevel="0" collapsed="false">
      <c r="A24" s="1" t="s">
        <v>16</v>
      </c>
      <c r="B24" s="1" t="n">
        <v>3</v>
      </c>
      <c r="D24" s="1" t="n">
        <v>6929236</v>
      </c>
      <c r="E24" s="1" t="n">
        <v>0.796413</v>
      </c>
      <c r="G24" s="1" t="n">
        <v>0.018392324</v>
      </c>
      <c r="H24" s="1" t="n">
        <v>0.018260479</v>
      </c>
      <c r="I24" s="1" t="n">
        <v>0.017565727</v>
      </c>
      <c r="J24" s="1" t="n">
        <v>0.017082691</v>
      </c>
      <c r="K24" s="1" t="n">
        <v>0.017115355</v>
      </c>
      <c r="L24" s="1" t="n">
        <v>0.017227173</v>
      </c>
      <c r="M24" s="1" t="n">
        <v>0.017108679</v>
      </c>
      <c r="N24" s="1" t="n">
        <v>0.017472744</v>
      </c>
      <c r="O24" s="1" t="n">
        <v>0.016963482</v>
      </c>
      <c r="P24" s="1" t="n">
        <v>0.016822577</v>
      </c>
      <c r="R24" s="1" t="n">
        <f aca="false">PERCENTILE(G24:P24,0.9)</f>
        <v>0.0182736635</v>
      </c>
      <c r="S24" s="5" t="n">
        <f aca="false">spmv_1!R$6/R24</f>
        <v>9.20639753490043</v>
      </c>
      <c r="T24" s="6" t="n">
        <f aca="false">S24/16</f>
        <v>0.575399845931277</v>
      </c>
    </row>
    <row r="25" customFormat="false" ht="15" hidden="false" customHeight="false" outlineLevel="0" collapsed="false">
      <c r="A25" s="1" t="s">
        <v>16</v>
      </c>
      <c r="B25" s="1" t="n">
        <v>4</v>
      </c>
      <c r="D25" s="1" t="n">
        <v>6928044</v>
      </c>
      <c r="E25" s="1" t="n">
        <v>0.782052</v>
      </c>
      <c r="G25" s="1" t="n">
        <v>0.018761873</v>
      </c>
      <c r="H25" s="1" t="n">
        <v>0.01836586</v>
      </c>
      <c r="I25" s="1" t="n">
        <v>0.01806736</v>
      </c>
      <c r="J25" s="1" t="n">
        <v>0.017349005</v>
      </c>
      <c r="K25" s="1" t="n">
        <v>0.017533541</v>
      </c>
      <c r="L25" s="1" t="n">
        <v>0.017535448</v>
      </c>
      <c r="M25" s="1" t="n">
        <v>0.017365694</v>
      </c>
      <c r="N25" s="1" t="n">
        <v>0.017584801</v>
      </c>
      <c r="O25" s="1" t="n">
        <v>0.017320156</v>
      </c>
      <c r="P25" s="1" t="n">
        <v>0.017292261</v>
      </c>
      <c r="R25" s="1" t="n">
        <f aca="false">PERCENTILE(G25:P25,0.9)</f>
        <v>0.0184054613</v>
      </c>
      <c r="S25" s="5" t="n">
        <f aca="false">spmv_1!R$6/R25</f>
        <v>9.14047237707647</v>
      </c>
      <c r="T25" s="6" t="n">
        <f aca="false">S25/16</f>
        <v>0.571279523567279</v>
      </c>
    </row>
    <row r="26" customFormat="false" ht="15" hidden="false" customHeight="false" outlineLevel="0" collapsed="false">
      <c r="A26" s="1" t="s">
        <v>16</v>
      </c>
      <c r="B26" s="1" t="n">
        <v>5</v>
      </c>
      <c r="D26" s="1" t="n">
        <v>6928026</v>
      </c>
      <c r="E26" s="1" t="n">
        <v>0.769824</v>
      </c>
      <c r="G26" s="1" t="n">
        <v>0.019035578</v>
      </c>
      <c r="H26" s="1" t="n">
        <v>0.018644094</v>
      </c>
      <c r="I26" s="1" t="n">
        <v>0.018402338</v>
      </c>
      <c r="J26" s="1" t="n">
        <v>0.017542124</v>
      </c>
      <c r="K26" s="1" t="n">
        <v>0.017742872</v>
      </c>
      <c r="L26" s="1" t="n">
        <v>0.017816544</v>
      </c>
      <c r="M26" s="1" t="n">
        <v>0.017645121</v>
      </c>
      <c r="N26" s="1" t="n">
        <v>0.017925024</v>
      </c>
      <c r="O26" s="1" t="n">
        <v>0.017738819</v>
      </c>
      <c r="P26" s="1" t="n">
        <v>0.017497301</v>
      </c>
      <c r="R26" s="1" t="n">
        <f aca="false">PERCENTILE(G26:P26,0.9)</f>
        <v>0.0186832424</v>
      </c>
      <c r="S26" s="5" t="n">
        <f aca="false">spmv_1!R$6/R26</f>
        <v>9.00457249326273</v>
      </c>
      <c r="T26" s="6" t="n">
        <f aca="false">S26/16</f>
        <v>0.562785780828921</v>
      </c>
    </row>
    <row r="27" customFormat="false" ht="15" hidden="false" customHeight="false" outlineLevel="0" collapsed="false">
      <c r="A27" s="1" t="s">
        <v>16</v>
      </c>
      <c r="B27" s="1" t="n">
        <v>6</v>
      </c>
      <c r="D27" s="1" t="n">
        <v>6929656</v>
      </c>
      <c r="E27" s="1" t="n">
        <v>0.805515</v>
      </c>
      <c r="G27" s="1" t="n">
        <v>0.017955542</v>
      </c>
      <c r="H27" s="1" t="n">
        <v>0.017482758</v>
      </c>
      <c r="I27" s="1" t="n">
        <v>0.017612457</v>
      </c>
      <c r="J27" s="1" t="n">
        <v>0.016933203</v>
      </c>
      <c r="K27" s="1" t="n">
        <v>0.017041922</v>
      </c>
      <c r="L27" s="1" t="n">
        <v>0.017114162</v>
      </c>
      <c r="M27" s="1" t="n">
        <v>0.016967297</v>
      </c>
      <c r="N27" s="1" t="n">
        <v>0.017114162</v>
      </c>
      <c r="O27" s="1" t="n">
        <v>0.016964436</v>
      </c>
      <c r="P27" s="1" t="n">
        <v>0.016869307</v>
      </c>
      <c r="R27" s="1" t="n">
        <f aca="false">PERCENTILE(G27:P27,0.9)</f>
        <v>0.0176467655</v>
      </c>
      <c r="S27" s="5" t="n">
        <f aca="false">spmv_1!R$6/R27</f>
        <v>9.53345306254565</v>
      </c>
      <c r="T27" s="6" t="n">
        <f aca="false">S27/16</f>
        <v>0.595840816409103</v>
      </c>
    </row>
    <row r="28" customFormat="false" ht="15" hidden="false" customHeight="false" outlineLevel="0" collapsed="false">
      <c r="A28" s="1" t="s">
        <v>16</v>
      </c>
      <c r="B28" s="1" t="n">
        <v>7</v>
      </c>
      <c r="D28" s="1" t="n">
        <v>6929668</v>
      </c>
      <c r="E28" s="1" t="n">
        <v>0.764232</v>
      </c>
      <c r="G28" s="1" t="n">
        <v>0.018911123</v>
      </c>
      <c r="H28" s="1" t="n">
        <v>0.018769503</v>
      </c>
      <c r="I28" s="1" t="n">
        <v>0.018535614</v>
      </c>
      <c r="J28" s="1" t="n">
        <v>0.017800331</v>
      </c>
      <c r="K28" s="1" t="n">
        <v>0.017775297</v>
      </c>
      <c r="L28" s="1" t="n">
        <v>0.018073797</v>
      </c>
      <c r="M28" s="1" t="n">
        <v>0.017870426</v>
      </c>
      <c r="N28" s="1" t="n">
        <v>0.018007994</v>
      </c>
      <c r="O28" s="1" t="n">
        <v>0.017759562</v>
      </c>
      <c r="P28" s="1" t="n">
        <v>0.017846107</v>
      </c>
      <c r="R28" s="1" t="n">
        <f aca="false">PERCENTILE(G28:P28,0.9)</f>
        <v>0.018783665</v>
      </c>
      <c r="S28" s="5" t="n">
        <f aca="false">spmv_1!R$6/R28</f>
        <v>8.95643159095949</v>
      </c>
      <c r="T28" s="6" t="n">
        <f aca="false">S28/16</f>
        <v>0.559776974434968</v>
      </c>
    </row>
    <row r="29" customFormat="false" ht="15" hidden="false" customHeight="false" outlineLevel="0" collapsed="false">
      <c r="A29" s="1" t="s">
        <v>16</v>
      </c>
      <c r="B29" s="1" t="n">
        <v>8</v>
      </c>
      <c r="D29" s="1" t="n">
        <v>6931296</v>
      </c>
      <c r="E29" s="1" t="n">
        <v>0.805749</v>
      </c>
      <c r="G29" s="1" t="n">
        <v>0.018004894</v>
      </c>
      <c r="H29" s="1" t="n">
        <v>0.017374277</v>
      </c>
      <c r="I29" s="1" t="n">
        <v>0.017541409</v>
      </c>
      <c r="J29" s="1" t="n">
        <v>0.0170753</v>
      </c>
      <c r="K29" s="1" t="n">
        <v>0.017030716</v>
      </c>
      <c r="L29" s="1" t="n">
        <v>0.016992807</v>
      </c>
      <c r="M29" s="1" t="n">
        <v>0.017010212</v>
      </c>
      <c r="N29" s="1" t="n">
        <v>0.017044783</v>
      </c>
      <c r="O29" s="1" t="n">
        <v>0.016982794</v>
      </c>
      <c r="P29" s="1" t="n">
        <v>0.016988754</v>
      </c>
      <c r="R29" s="1" t="n">
        <f aca="false">PERCENTILE(G29:P29,0.9)</f>
        <v>0.0175877575</v>
      </c>
      <c r="S29" s="5" t="n">
        <f aca="false">spmv_1!R$6/R29</f>
        <v>9.56543837950916</v>
      </c>
      <c r="T29" s="6" t="n">
        <f aca="false">S29/16</f>
        <v>0.597839898719322</v>
      </c>
    </row>
    <row r="30" customFormat="false" ht="15" hidden="false" customHeight="false" outlineLevel="0" collapsed="false">
      <c r="A30" s="1" t="s">
        <v>16</v>
      </c>
      <c r="B30" s="1" t="n">
        <v>9</v>
      </c>
      <c r="D30" s="1" t="n">
        <v>6931306</v>
      </c>
      <c r="E30" s="1" t="n">
        <v>0.778316</v>
      </c>
      <c r="G30" s="1" t="n">
        <v>0.018324375</v>
      </c>
      <c r="H30" s="1" t="n">
        <v>0.017689943</v>
      </c>
      <c r="I30" s="1" t="n">
        <v>0.018156767</v>
      </c>
      <c r="J30" s="1" t="n">
        <v>0.017914057</v>
      </c>
      <c r="K30" s="1" t="n">
        <v>0.017942667</v>
      </c>
      <c r="L30" s="1" t="n">
        <v>0.017472267</v>
      </c>
      <c r="M30" s="1" t="n">
        <v>0.017761469</v>
      </c>
      <c r="N30" s="1" t="n">
        <v>0.017574787</v>
      </c>
      <c r="O30" s="1" t="n">
        <v>0.017702818</v>
      </c>
      <c r="P30" s="1" t="n">
        <v>0.017571211</v>
      </c>
      <c r="R30" s="1" t="n">
        <f aca="false">PERCENTILE(G30:P30,0.9)</f>
        <v>0.0181735278</v>
      </c>
      <c r="S30" s="5" t="n">
        <f aca="false">spmv_1!R$6/R30</f>
        <v>9.25712456334427</v>
      </c>
      <c r="T30" s="6" t="n">
        <f aca="false">S30/16</f>
        <v>0.578570285209017</v>
      </c>
    </row>
    <row r="31" customFormat="false" ht="15" hidden="false" customHeight="false" outlineLevel="0" collapsed="false">
      <c r="A31" s="1" t="s">
        <v>16</v>
      </c>
      <c r="B31" s="1" t="n">
        <v>10</v>
      </c>
      <c r="D31" s="1" t="n">
        <v>6930758</v>
      </c>
      <c r="E31" s="1" t="n">
        <v>0.774436</v>
      </c>
      <c r="G31" s="1" t="n">
        <v>0.018869162</v>
      </c>
      <c r="H31" s="1" t="n">
        <v>0.01831007</v>
      </c>
      <c r="I31" s="1" t="n">
        <v>0.01841855</v>
      </c>
      <c r="J31" s="1" t="n">
        <v>0.017719746</v>
      </c>
      <c r="K31" s="1" t="n">
        <v>0.017807961</v>
      </c>
      <c r="L31" s="1" t="n">
        <v>0.01775074</v>
      </c>
      <c r="M31" s="1" t="n">
        <v>0.017526627</v>
      </c>
      <c r="N31" s="1" t="n">
        <v>0.017482281</v>
      </c>
      <c r="O31" s="1" t="n">
        <v>0.017547369</v>
      </c>
      <c r="P31" s="1" t="n">
        <v>0.017555952</v>
      </c>
      <c r="R31" s="1" t="n">
        <f aca="false">PERCENTILE(G31:P31,0.9)</f>
        <v>0.0184636112</v>
      </c>
      <c r="S31" s="5" t="n">
        <f aca="false">spmv_1!R$6/R31</f>
        <v>9.11168507491103</v>
      </c>
      <c r="T31" s="6" t="n">
        <f aca="false">S31/16</f>
        <v>0.569480317181939</v>
      </c>
    </row>
    <row r="32" customFormat="false" ht="15" hidden="false" customHeight="false" outlineLevel="0" collapsed="false">
      <c r="A32" s="1" t="s">
        <v>16</v>
      </c>
      <c r="B32" s="1" t="n">
        <v>11</v>
      </c>
      <c r="D32" s="1" t="n">
        <v>6930730</v>
      </c>
      <c r="E32" s="1" t="n">
        <v>0.819032</v>
      </c>
      <c r="G32" s="1" t="n">
        <v>0.017158508</v>
      </c>
      <c r="H32" s="1" t="n">
        <v>0.016513586</v>
      </c>
      <c r="I32" s="1" t="n">
        <v>0.01784277</v>
      </c>
      <c r="J32" s="1" t="n">
        <v>0.017043591</v>
      </c>
      <c r="K32" s="1" t="n">
        <v>0.016719341</v>
      </c>
      <c r="L32" s="1" t="n">
        <v>0.016804457</v>
      </c>
      <c r="M32" s="1" t="n">
        <v>0.01659584</v>
      </c>
      <c r="N32" s="1" t="n">
        <v>0.016535282</v>
      </c>
      <c r="O32" s="1" t="n">
        <v>0.016892672</v>
      </c>
      <c r="P32" s="1" t="n">
        <v>0.017135859</v>
      </c>
      <c r="R32" s="1" t="n">
        <f aca="false">PERCENTILE(G32:P32,0.9)</f>
        <v>0.0172269342</v>
      </c>
      <c r="S32" s="5" t="n">
        <f aca="false">spmv_1!R$6/R32</f>
        <v>9.76578935327912</v>
      </c>
      <c r="T32" s="6" t="n">
        <f aca="false">S32/16</f>
        <v>0.610361834579945</v>
      </c>
    </row>
    <row r="33" customFormat="false" ht="15" hidden="false" customHeight="false" outlineLevel="0" collapsed="false">
      <c r="A33" s="1" t="s">
        <v>16</v>
      </c>
      <c r="B33" s="1" t="n">
        <v>12</v>
      </c>
      <c r="D33" s="1" t="n">
        <v>6930620</v>
      </c>
      <c r="E33" s="1" t="n">
        <v>0.775691</v>
      </c>
      <c r="G33" s="1" t="n">
        <v>0.018674135</v>
      </c>
      <c r="H33" s="1" t="n">
        <v>0.018445969</v>
      </c>
      <c r="I33" s="1" t="n">
        <v>0.018359661</v>
      </c>
      <c r="J33" s="1" t="n">
        <v>0.017473698</v>
      </c>
      <c r="K33" s="1" t="n">
        <v>0.017793417</v>
      </c>
      <c r="L33" s="1" t="n">
        <v>0.017484188</v>
      </c>
      <c r="M33" s="1" t="n">
        <v>0.017758369</v>
      </c>
      <c r="N33" s="1" t="n">
        <v>0.017658234</v>
      </c>
      <c r="O33" s="1" t="n">
        <v>0.0177145</v>
      </c>
      <c r="P33" s="1" t="n">
        <v>0.017333269</v>
      </c>
      <c r="R33" s="1" t="n">
        <f aca="false">PERCENTILE(G33:P33,0.9)</f>
        <v>0.0184687856</v>
      </c>
      <c r="S33" s="5" t="n">
        <f aca="false">spmv_1!R$6/R33</f>
        <v>9.10913225393661</v>
      </c>
      <c r="T33" s="6" t="n">
        <f aca="false">S33/16</f>
        <v>0.569320765871038</v>
      </c>
    </row>
    <row r="34" customFormat="false" ht="15" hidden="false" customHeight="false" outlineLevel="0" collapsed="false">
      <c r="A34" s="1" t="s">
        <v>16</v>
      </c>
      <c r="B34" s="1" t="n">
        <v>13</v>
      </c>
      <c r="D34" s="1" t="n">
        <v>6930630</v>
      </c>
      <c r="E34" s="1" t="n">
        <v>0.784395</v>
      </c>
      <c r="G34" s="1" t="n">
        <v>0.018549681</v>
      </c>
      <c r="H34" s="1" t="n">
        <v>0.018224716</v>
      </c>
      <c r="I34" s="1" t="n">
        <v>0.018066883</v>
      </c>
      <c r="J34" s="1" t="n">
        <v>0.017446518</v>
      </c>
      <c r="K34" s="1" t="n">
        <v>0.017526627</v>
      </c>
      <c r="L34" s="1" t="n">
        <v>0.017427444</v>
      </c>
      <c r="M34" s="1" t="n">
        <v>0.017333031</v>
      </c>
      <c r="N34" s="1" t="n">
        <v>0.017316103</v>
      </c>
      <c r="O34" s="1" t="n">
        <v>0.017402411</v>
      </c>
      <c r="P34" s="1" t="n">
        <v>0.017419338</v>
      </c>
      <c r="R34" s="1" t="n">
        <f aca="false">PERCENTILE(G34:P34,0.9)</f>
        <v>0.0182572125</v>
      </c>
      <c r="S34" s="5" t="n">
        <f aca="false">spmv_1!R$6/R34</f>
        <v>9.21469313018075</v>
      </c>
      <c r="T34" s="6" t="n">
        <f aca="false">S34/16</f>
        <v>0.575918320636297</v>
      </c>
    </row>
    <row r="35" customFormat="false" ht="15" hidden="false" customHeight="false" outlineLevel="0" collapsed="false">
      <c r="A35" s="1" t="s">
        <v>16</v>
      </c>
      <c r="B35" s="1" t="n">
        <v>14</v>
      </c>
      <c r="D35" s="1" t="n">
        <v>6929660</v>
      </c>
      <c r="E35" s="1" t="n">
        <v>0.833847</v>
      </c>
      <c r="G35" s="1" t="n">
        <v>0.016986609</v>
      </c>
      <c r="H35" s="1" t="n">
        <v>0.016390085</v>
      </c>
      <c r="I35" s="1" t="n">
        <v>0.017194033</v>
      </c>
      <c r="J35" s="1" t="n">
        <v>0.016926289</v>
      </c>
      <c r="K35" s="1" t="n">
        <v>0.016501427</v>
      </c>
      <c r="L35" s="1" t="n">
        <v>0.016509533</v>
      </c>
      <c r="M35" s="1" t="n">
        <v>0.016224146</v>
      </c>
      <c r="N35" s="1" t="n">
        <v>0.0162251</v>
      </c>
      <c r="O35" s="1" t="n">
        <v>0.016502619</v>
      </c>
      <c r="P35" s="1" t="n">
        <v>0.01674962</v>
      </c>
      <c r="R35" s="1" t="n">
        <f aca="false">PERCENTILE(G35:P35,0.9)</f>
        <v>0.0170073514</v>
      </c>
      <c r="S35" s="5" t="n">
        <f aca="false">spmv_1!R$6/R35</f>
        <v>9.89187596841211</v>
      </c>
      <c r="T35" s="6" t="n">
        <f aca="false">S35/16</f>
        <v>0.618242248025757</v>
      </c>
    </row>
    <row r="36" customFormat="false" ht="15" hidden="false" customHeight="false" outlineLevel="0" collapsed="false">
      <c r="A36" s="1" t="s">
        <v>16</v>
      </c>
      <c r="B36" s="1" t="n">
        <v>15</v>
      </c>
      <c r="D36" s="1" t="n">
        <v>6929668</v>
      </c>
      <c r="E36" s="1" t="n">
        <v>0.847068</v>
      </c>
      <c r="G36" s="1" t="n">
        <v>0.017115831</v>
      </c>
      <c r="H36" s="1" t="n">
        <v>0.016447067</v>
      </c>
      <c r="I36" s="1" t="n">
        <v>0.016691923</v>
      </c>
      <c r="J36" s="1" t="n">
        <v>0.016208887</v>
      </c>
      <c r="K36" s="1" t="n">
        <v>0.016457796</v>
      </c>
      <c r="L36" s="1" t="n">
        <v>0.016236305</v>
      </c>
      <c r="M36" s="1" t="n">
        <v>0.016199827</v>
      </c>
      <c r="N36" s="1" t="n">
        <v>0.016085386</v>
      </c>
      <c r="O36" s="1" t="n">
        <v>0.016178131</v>
      </c>
      <c r="P36" s="1" t="n">
        <v>0.01599431</v>
      </c>
      <c r="R36" s="1" t="n">
        <f aca="false">PERCENTILE(G36:P36,0.9)</f>
        <v>0.0167343138</v>
      </c>
      <c r="S36" s="5" t="n">
        <f aca="false">spmv_1!R$6/R36</f>
        <v>10.0532721335726</v>
      </c>
      <c r="T36" s="6" t="n">
        <f aca="false">S36/16</f>
        <v>0.62832950834829</v>
      </c>
    </row>
    <row r="39" customFormat="false" ht="15" hidden="false" customHeight="false" outlineLevel="0" collapsed="false">
      <c r="A39" s="2" t="s">
        <v>0</v>
      </c>
      <c r="B39" s="2" t="s">
        <v>1</v>
      </c>
      <c r="C39" s="3"/>
      <c r="D39" s="2" t="s">
        <v>2</v>
      </c>
      <c r="E39" s="2" t="s">
        <v>3</v>
      </c>
      <c r="F39" s="3"/>
      <c r="G39" s="2" t="s">
        <v>4</v>
      </c>
      <c r="H39" s="2" t="s">
        <v>5</v>
      </c>
      <c r="I39" s="2" t="s">
        <v>6</v>
      </c>
      <c r="J39" s="2" t="s">
        <v>7</v>
      </c>
      <c r="K39" s="2" t="s">
        <v>8</v>
      </c>
      <c r="L39" s="2" t="s">
        <v>9</v>
      </c>
      <c r="M39" s="2" t="s">
        <v>10</v>
      </c>
      <c r="N39" s="2" t="s">
        <v>11</v>
      </c>
      <c r="O39" s="2" t="s">
        <v>12</v>
      </c>
      <c r="P39" s="2" t="s">
        <v>13</v>
      </c>
      <c r="R39" s="4" t="s">
        <v>14</v>
      </c>
      <c r="S39" s="7" t="s">
        <v>20</v>
      </c>
      <c r="T39" s="8" t="s">
        <v>21</v>
      </c>
    </row>
    <row r="40" customFormat="false" ht="15" hidden="false" customHeight="false" outlineLevel="0" collapsed="false">
      <c r="A40" s="1" t="s">
        <v>17</v>
      </c>
      <c r="B40" s="1" t="n">
        <v>0</v>
      </c>
      <c r="D40" s="1" t="n">
        <v>1267995</v>
      </c>
      <c r="E40" s="1" t="n">
        <v>0.521124</v>
      </c>
      <c r="G40" s="1" t="n">
        <v>0.005250216</v>
      </c>
      <c r="H40" s="1" t="n">
        <v>0.00488472</v>
      </c>
      <c r="I40" s="1" t="n">
        <v>0.004750967</v>
      </c>
      <c r="J40" s="1" t="n">
        <v>0.004835367</v>
      </c>
      <c r="K40" s="1" t="n">
        <v>0.00488019</v>
      </c>
      <c r="L40" s="1" t="n">
        <v>0.004862547</v>
      </c>
      <c r="M40" s="1" t="n">
        <v>0.00483799</v>
      </c>
      <c r="N40" s="1" t="n">
        <v>0.004754305</v>
      </c>
      <c r="O40" s="1" t="n">
        <v>0.004785776</v>
      </c>
      <c r="P40" s="1" t="n">
        <v>0.004821777</v>
      </c>
      <c r="R40" s="1" t="n">
        <f aca="false">PERCENTILE(G40:P40,0.9)</f>
        <v>0.0049212696</v>
      </c>
      <c r="S40" s="5" t="n">
        <f aca="false">spmv_1!R$10/R40</f>
        <v>7.11843226390198</v>
      </c>
      <c r="T40" s="6" t="n">
        <f aca="false">S40/16</f>
        <v>0.444902016493874</v>
      </c>
    </row>
    <row r="41" customFormat="false" ht="15" hidden="false" customHeight="false" outlineLevel="0" collapsed="false">
      <c r="A41" s="1" t="s">
        <v>17</v>
      </c>
      <c r="B41" s="1" t="n">
        <v>1</v>
      </c>
      <c r="D41" s="1" t="n">
        <v>1268949</v>
      </c>
      <c r="E41" s="1" t="n">
        <v>0.480398</v>
      </c>
      <c r="G41" s="1" t="n">
        <v>0.005649567</v>
      </c>
      <c r="H41" s="1" t="n">
        <v>0.005270958</v>
      </c>
      <c r="I41" s="1" t="n">
        <v>0.005256176</v>
      </c>
      <c r="J41" s="1" t="n">
        <v>0.005268574</v>
      </c>
      <c r="K41" s="1" t="n">
        <v>0.005316019</v>
      </c>
      <c r="L41" s="1" t="n">
        <v>0.005225182</v>
      </c>
      <c r="M41" s="1" t="n">
        <v>0.005259514</v>
      </c>
      <c r="N41" s="1" t="n">
        <v>0.005258322</v>
      </c>
      <c r="O41" s="1" t="n">
        <v>0.005182266</v>
      </c>
      <c r="P41" s="1" t="n">
        <v>0.00514245</v>
      </c>
      <c r="R41" s="1" t="n">
        <f aca="false">PERCENTILE(G41:P41,0.9)</f>
        <v>0.0053493738</v>
      </c>
      <c r="S41" s="5" t="n">
        <f aca="false">spmv_1!R$10/R41</f>
        <v>6.54875236050994</v>
      </c>
      <c r="T41" s="6" t="n">
        <f aca="false">S41/16</f>
        <v>0.409297022531871</v>
      </c>
    </row>
    <row r="42" customFormat="false" ht="15" hidden="false" customHeight="false" outlineLevel="0" collapsed="false">
      <c r="A42" s="1" t="s">
        <v>17</v>
      </c>
      <c r="B42" s="1" t="n">
        <v>2</v>
      </c>
      <c r="D42" s="1" t="n">
        <v>1266254</v>
      </c>
      <c r="E42" s="1" t="n">
        <v>0.469079</v>
      </c>
      <c r="G42" s="1" t="n">
        <v>0.005773783</v>
      </c>
      <c r="H42" s="1" t="n">
        <v>0.005365133</v>
      </c>
      <c r="I42" s="1" t="n">
        <v>0.00538826</v>
      </c>
      <c r="J42" s="1" t="n">
        <v>0.005402327</v>
      </c>
      <c r="K42" s="1" t="n">
        <v>0.005347729</v>
      </c>
      <c r="L42" s="1" t="n">
        <v>0.005341291</v>
      </c>
      <c r="M42" s="1" t="n">
        <v>0.005362034</v>
      </c>
      <c r="N42" s="1" t="n">
        <v>0.005423784</v>
      </c>
      <c r="O42" s="1" t="n">
        <v>0.005271435</v>
      </c>
      <c r="P42" s="1" t="n">
        <v>0.005313158</v>
      </c>
      <c r="R42" s="1" t="n">
        <f aca="false">PERCENTILE(G42:P42,0.9)</f>
        <v>0.0054587839</v>
      </c>
      <c r="S42" s="5" t="n">
        <f aca="false">spmv_1!R$10/R42</f>
        <v>6.41749608369732</v>
      </c>
      <c r="T42" s="6" t="n">
        <f aca="false">S42/16</f>
        <v>0.401093505231083</v>
      </c>
    </row>
    <row r="43" customFormat="false" ht="15" hidden="false" customHeight="false" outlineLevel="0" collapsed="false">
      <c r="A43" s="1" t="s">
        <v>17</v>
      </c>
      <c r="B43" s="1" t="n">
        <v>3</v>
      </c>
      <c r="D43" s="1" t="n">
        <v>1268739</v>
      </c>
      <c r="E43" s="1" t="n">
        <v>0.48934</v>
      </c>
      <c r="G43" s="1" t="n">
        <v>0.005571842</v>
      </c>
      <c r="H43" s="1" t="n">
        <v>0.005153656</v>
      </c>
      <c r="I43" s="1" t="n">
        <v>0.005187273</v>
      </c>
      <c r="J43" s="1" t="n">
        <v>0.005172729</v>
      </c>
      <c r="K43" s="1" t="n">
        <v>0.005144119</v>
      </c>
      <c r="L43" s="1" t="n">
        <v>0.005158186</v>
      </c>
      <c r="M43" s="1" t="n">
        <v>0.005116224</v>
      </c>
      <c r="N43" s="1" t="n">
        <v>0.005172729</v>
      </c>
      <c r="O43" s="1" t="n">
        <v>0.005066395</v>
      </c>
      <c r="P43" s="1" t="n">
        <v>0.005111933</v>
      </c>
      <c r="R43" s="1" t="n">
        <f aca="false">PERCENTILE(G43:P43,0.9)</f>
        <v>0.0052257299</v>
      </c>
      <c r="S43" s="5" t="n">
        <f aca="false">spmv_1!R$10/R43</f>
        <v>6.70369976450563</v>
      </c>
      <c r="T43" s="6" t="n">
        <f aca="false">S43/16</f>
        <v>0.418981235281602</v>
      </c>
    </row>
    <row r="44" customFormat="false" ht="15" hidden="false" customHeight="false" outlineLevel="0" collapsed="false">
      <c r="A44" s="1" t="s">
        <v>17</v>
      </c>
      <c r="B44" s="1" t="n">
        <v>4</v>
      </c>
      <c r="D44" s="1" t="n">
        <v>1260291</v>
      </c>
      <c r="E44" s="1" t="n">
        <v>0.455803</v>
      </c>
      <c r="G44" s="1" t="n">
        <v>0.005975246</v>
      </c>
      <c r="H44" s="1" t="n">
        <v>0.005470514</v>
      </c>
      <c r="I44" s="1" t="n">
        <v>0.005532503</v>
      </c>
      <c r="J44" s="1" t="n">
        <v>0.005506754</v>
      </c>
      <c r="K44" s="1" t="n">
        <v>0.005487919</v>
      </c>
      <c r="L44" s="1" t="n">
        <v>0.00551486</v>
      </c>
      <c r="M44" s="1" t="n">
        <v>0.005458593</v>
      </c>
      <c r="N44" s="1" t="n">
        <v>0.005534649</v>
      </c>
      <c r="O44" s="1" t="n">
        <v>0.005393744</v>
      </c>
      <c r="P44" s="1" t="n">
        <v>0.005424976</v>
      </c>
      <c r="R44" s="1" t="n">
        <f aca="false">PERCENTILE(G44:P44,0.9)</f>
        <v>0.0055787087</v>
      </c>
      <c r="S44" s="5" t="n">
        <f aca="false">spmv_1!R$10/R44</f>
        <v>6.27953997669748</v>
      </c>
      <c r="T44" s="6" t="n">
        <f aca="false">S44/16</f>
        <v>0.392471248543592</v>
      </c>
    </row>
    <row r="45" customFormat="false" ht="15" hidden="false" customHeight="false" outlineLevel="0" collapsed="false">
      <c r="A45" s="1" t="s">
        <v>17</v>
      </c>
      <c r="B45" s="1" t="n">
        <v>5</v>
      </c>
      <c r="D45" s="1" t="n">
        <v>1261447</v>
      </c>
      <c r="E45" s="1" t="n">
        <v>0.473335</v>
      </c>
      <c r="G45" s="1" t="n">
        <v>0.005719185</v>
      </c>
      <c r="H45" s="1" t="n">
        <v>0.005408764</v>
      </c>
      <c r="I45" s="1" t="n">
        <v>0.005375862</v>
      </c>
      <c r="J45" s="1" t="n">
        <v>0.005288363</v>
      </c>
      <c r="K45" s="1" t="n">
        <v>0.005096674</v>
      </c>
      <c r="L45" s="1" t="n">
        <v>0.005385399</v>
      </c>
      <c r="M45" s="1" t="n">
        <v>0.005230188</v>
      </c>
      <c r="N45" s="1" t="n">
        <v>0.005326271</v>
      </c>
      <c r="O45" s="1" t="n">
        <v>0.005259991</v>
      </c>
      <c r="P45" s="1" t="n">
        <v>0.005209684</v>
      </c>
      <c r="R45" s="1" t="n">
        <f aca="false">PERCENTILE(G45:P45,0.9)</f>
        <v>0.0054398061</v>
      </c>
      <c r="S45" s="5" t="n">
        <f aca="false">spmv_1!R$10/R45</f>
        <v>6.43988474148003</v>
      </c>
      <c r="T45" s="6" t="n">
        <f aca="false">S45/16</f>
        <v>0.402492796342502</v>
      </c>
    </row>
    <row r="46" customFormat="false" ht="15" hidden="false" customHeight="false" outlineLevel="0" collapsed="false">
      <c r="A46" s="1" t="s">
        <v>17</v>
      </c>
      <c r="B46" s="1" t="n">
        <v>6</v>
      </c>
      <c r="D46" s="1" t="n">
        <v>1260486</v>
      </c>
      <c r="E46" s="1" t="n">
        <v>0.465161</v>
      </c>
      <c r="G46" s="1" t="n">
        <v>0.005811214</v>
      </c>
      <c r="H46" s="1" t="n">
        <v>0.005425692</v>
      </c>
      <c r="I46" s="1" t="n">
        <v>0.005472183</v>
      </c>
      <c r="J46" s="1" t="n">
        <v>0.005418062</v>
      </c>
      <c r="K46" s="1" t="n">
        <v>0.005310297</v>
      </c>
      <c r="L46" s="1" t="n">
        <v>0.005343676</v>
      </c>
      <c r="M46" s="1" t="n">
        <v>0.005361319</v>
      </c>
      <c r="N46" s="1" t="n">
        <v>0.005429029</v>
      </c>
      <c r="O46" s="1" t="n">
        <v>0.00528121</v>
      </c>
      <c r="P46" s="1" t="n">
        <v>0.00534296</v>
      </c>
      <c r="R46" s="1" t="n">
        <f aca="false">PERCENTILE(G46:P46,0.9)</f>
        <v>0.0055060861</v>
      </c>
      <c r="S46" s="5" t="n">
        <f aca="false">spmv_1!R$10/R46</f>
        <v>6.36236405747451</v>
      </c>
      <c r="T46" s="6" t="n">
        <f aca="false">S46/16</f>
        <v>0.397647753592157</v>
      </c>
    </row>
    <row r="47" customFormat="false" ht="15" hidden="false" customHeight="false" outlineLevel="0" collapsed="false">
      <c r="A47" s="1" t="s">
        <v>17</v>
      </c>
      <c r="B47" s="1" t="n">
        <v>7</v>
      </c>
      <c r="D47" s="1" t="n">
        <v>1262090</v>
      </c>
      <c r="E47" s="1" t="n">
        <v>0.437849</v>
      </c>
      <c r="G47" s="1" t="n">
        <v>0.006162643</v>
      </c>
      <c r="H47" s="1" t="n">
        <v>0.005767822</v>
      </c>
      <c r="I47" s="1" t="n">
        <v>0.005784988</v>
      </c>
      <c r="J47" s="1" t="n">
        <v>0.005754471</v>
      </c>
      <c r="K47" s="1" t="n">
        <v>0.005663395</v>
      </c>
      <c r="L47" s="1" t="n">
        <v>0.005694151</v>
      </c>
      <c r="M47" s="1" t="n">
        <v>0.005708456</v>
      </c>
      <c r="N47" s="1" t="n">
        <v>0.00578618</v>
      </c>
      <c r="O47" s="1" t="n">
        <v>0.005648851</v>
      </c>
      <c r="P47" s="1" t="n">
        <v>0.005678654</v>
      </c>
      <c r="R47" s="1" t="n">
        <f aca="false">PERCENTILE(G47:P47,0.9)</f>
        <v>0.0058238263</v>
      </c>
      <c r="S47" s="5" t="n">
        <f aca="false">spmv_1!R$10/R47</f>
        <v>6.01524195527604</v>
      </c>
      <c r="T47" s="6" t="n">
        <f aca="false">S47/16</f>
        <v>0.375952622204752</v>
      </c>
    </row>
    <row r="48" customFormat="false" ht="15" hidden="false" customHeight="false" outlineLevel="0" collapsed="false">
      <c r="A48" s="1" t="s">
        <v>17</v>
      </c>
      <c r="B48" s="1" t="n">
        <v>8</v>
      </c>
      <c r="D48" s="1" t="n">
        <v>1269447</v>
      </c>
      <c r="E48" s="1" t="n">
        <v>0.443366</v>
      </c>
      <c r="G48" s="1" t="n">
        <v>0.006116152</v>
      </c>
      <c r="H48" s="1" t="n">
        <v>0.005748272</v>
      </c>
      <c r="I48" s="1" t="n">
        <v>0.005771637</v>
      </c>
      <c r="J48" s="1" t="n">
        <v>0.005724669</v>
      </c>
      <c r="K48" s="1" t="n">
        <v>0.005566359</v>
      </c>
      <c r="L48" s="1" t="n">
        <v>0.005648851</v>
      </c>
      <c r="M48" s="1" t="n">
        <v>0.005681992</v>
      </c>
      <c r="N48" s="1" t="n">
        <v>0.005740881</v>
      </c>
      <c r="O48" s="1" t="n">
        <v>0.005631924</v>
      </c>
      <c r="P48" s="1" t="n">
        <v>0.005633354</v>
      </c>
      <c r="R48" s="1" t="n">
        <f aca="false">PERCENTILE(G48:P48,0.9)</f>
        <v>0.0058060885</v>
      </c>
      <c r="S48" s="5" t="n">
        <f aca="false">spmv_1!R$10/R48</f>
        <v>6.03361872627329</v>
      </c>
      <c r="T48" s="6" t="n">
        <f aca="false">S48/16</f>
        <v>0.377101170392081</v>
      </c>
    </row>
    <row r="49" customFormat="false" ht="15" hidden="false" customHeight="false" outlineLevel="0" collapsed="false">
      <c r="A49" s="1" t="s">
        <v>17</v>
      </c>
      <c r="B49" s="1" t="n">
        <v>9</v>
      </c>
      <c r="D49" s="1" t="n">
        <v>1271596</v>
      </c>
      <c r="E49" s="1" t="n">
        <v>0.475991</v>
      </c>
      <c r="G49" s="1" t="n">
        <v>0.005788565</v>
      </c>
      <c r="H49" s="1" t="n">
        <v>0.005335569</v>
      </c>
      <c r="I49" s="1" t="n">
        <v>0.005298376</v>
      </c>
      <c r="J49" s="1" t="n">
        <v>0.005348444</v>
      </c>
      <c r="K49" s="1" t="n">
        <v>0.005200386</v>
      </c>
      <c r="L49" s="1" t="n">
        <v>0.005275726</v>
      </c>
      <c r="M49" s="1" t="n">
        <v>0.005311012</v>
      </c>
      <c r="N49" s="1" t="n">
        <v>0.005369186</v>
      </c>
      <c r="O49" s="1" t="n">
        <v>0.005226851</v>
      </c>
      <c r="P49" s="1" t="n">
        <v>0.005275249</v>
      </c>
      <c r="R49" s="1" t="n">
        <f aca="false">PERCENTILE(G49:P49,0.9)</f>
        <v>0.0054111239</v>
      </c>
      <c r="S49" s="5" t="n">
        <f aca="false">spmv_1!R$10/R49</f>
        <v>6.47401999056056</v>
      </c>
      <c r="T49" s="6" t="n">
        <f aca="false">S49/16</f>
        <v>0.404626249410035</v>
      </c>
    </row>
    <row r="50" customFormat="false" ht="15" hidden="false" customHeight="false" outlineLevel="0" collapsed="false">
      <c r="A50" s="1" t="s">
        <v>17</v>
      </c>
      <c r="B50" s="1" t="n">
        <v>10</v>
      </c>
      <c r="D50" s="1" t="n">
        <v>1269569</v>
      </c>
      <c r="E50" s="1" t="n">
        <v>0.456115</v>
      </c>
      <c r="G50" s="1" t="n">
        <v>0.005981445</v>
      </c>
      <c r="H50" s="1" t="n">
        <v>0.005537271</v>
      </c>
      <c r="I50" s="1" t="n">
        <v>0.005568266</v>
      </c>
      <c r="J50" s="1" t="n">
        <v>0.005557299</v>
      </c>
      <c r="K50" s="1" t="n">
        <v>0.005493641</v>
      </c>
      <c r="L50" s="1" t="n">
        <v>0.005498886</v>
      </c>
      <c r="M50" s="1" t="n">
        <v>0.005517244</v>
      </c>
      <c r="N50" s="1" t="n">
        <v>0.005582571</v>
      </c>
      <c r="O50" s="1" t="n">
        <v>0.005445242</v>
      </c>
      <c r="P50" s="1" t="n">
        <v>0.005486965</v>
      </c>
      <c r="R50" s="1" t="n">
        <f aca="false">PERCENTILE(G50:P50,0.9)</f>
        <v>0.0056224584</v>
      </c>
      <c r="S50" s="5" t="n">
        <f aca="false">spmv_1!R$10/R50</f>
        <v>6.2306773670393</v>
      </c>
      <c r="T50" s="6" t="n">
        <f aca="false">S50/16</f>
        <v>0.389417335439956</v>
      </c>
    </row>
    <row r="51" customFormat="false" ht="15" hidden="false" customHeight="false" outlineLevel="0" collapsed="false">
      <c r="A51" s="1" t="s">
        <v>17</v>
      </c>
      <c r="B51" s="1" t="n">
        <v>11</v>
      </c>
      <c r="D51" s="1" t="n">
        <v>1271032</v>
      </c>
      <c r="E51" s="1" t="n">
        <v>0.492942</v>
      </c>
      <c r="G51" s="1" t="n">
        <v>0.005609035</v>
      </c>
      <c r="H51" s="1" t="n">
        <v>0.005234241</v>
      </c>
      <c r="I51" s="1" t="n">
        <v>0.005165815</v>
      </c>
      <c r="J51" s="1" t="n">
        <v>0.005062103</v>
      </c>
      <c r="K51" s="1" t="n">
        <v>0.005008698</v>
      </c>
      <c r="L51" s="1" t="n">
        <v>0.005175352</v>
      </c>
      <c r="M51" s="1" t="n">
        <v>0.005131483</v>
      </c>
      <c r="N51" s="1" t="n">
        <v>0.005132675</v>
      </c>
      <c r="O51" s="1" t="n">
        <v>0.005013943</v>
      </c>
      <c r="P51" s="1" t="n">
        <v>0.005035877</v>
      </c>
      <c r="R51" s="1" t="n">
        <f aca="false">PERCENTILE(G51:P51,0.9)</f>
        <v>0.0052717204</v>
      </c>
      <c r="S51" s="5" t="n">
        <f aca="false">spmv_1!R$10/R51</f>
        <v>6.64521667347912</v>
      </c>
      <c r="T51" s="6" t="n">
        <f aca="false">S51/16</f>
        <v>0.415326042092445</v>
      </c>
    </row>
    <row r="52" customFormat="false" ht="15" hidden="false" customHeight="false" outlineLevel="0" collapsed="false">
      <c r="A52" s="1" t="s">
        <v>17</v>
      </c>
      <c r="B52" s="1" t="n">
        <v>12</v>
      </c>
      <c r="D52" s="1" t="n">
        <v>1260982</v>
      </c>
      <c r="E52" s="1" t="n">
        <v>0.494532</v>
      </c>
      <c r="G52" s="1" t="n">
        <v>0.005623817</v>
      </c>
      <c r="H52" s="1" t="n">
        <v>0.005046129</v>
      </c>
      <c r="I52" s="1" t="n">
        <v>0.00505662</v>
      </c>
      <c r="J52" s="1" t="n">
        <v>0.005064726</v>
      </c>
      <c r="K52" s="1" t="n">
        <v>0.005116701</v>
      </c>
      <c r="L52" s="1" t="n">
        <v>0.00497818</v>
      </c>
      <c r="M52" s="1" t="n">
        <v>0.005151272</v>
      </c>
      <c r="N52" s="1" t="n">
        <v>0.005051374</v>
      </c>
      <c r="O52" s="1" t="n">
        <v>0.004902363</v>
      </c>
      <c r="P52" s="1" t="n">
        <v>0.005005836</v>
      </c>
      <c r="R52" s="1" t="n">
        <f aca="false">PERCENTILE(G52:P52,0.9)</f>
        <v>0.0051985265</v>
      </c>
      <c r="S52" s="5" t="n">
        <f aca="false">spmv_1!R$10/R52</f>
        <v>6.73877959456396</v>
      </c>
      <c r="T52" s="6" t="n">
        <f aca="false">S52/16</f>
        <v>0.421173724660248</v>
      </c>
    </row>
    <row r="53" customFormat="false" ht="15" hidden="false" customHeight="false" outlineLevel="0" collapsed="false">
      <c r="A53" s="1" t="s">
        <v>17</v>
      </c>
      <c r="B53" s="1" t="n">
        <v>13</v>
      </c>
      <c r="D53" s="1" t="n">
        <v>1261800</v>
      </c>
      <c r="E53" s="1" t="n">
        <v>0.502244</v>
      </c>
      <c r="G53" s="1" t="n">
        <v>0.005485058</v>
      </c>
      <c r="H53" s="1" t="n">
        <v>0.004987001</v>
      </c>
      <c r="I53" s="1" t="n">
        <v>0.004964352</v>
      </c>
      <c r="J53" s="1" t="n">
        <v>0.004999399</v>
      </c>
      <c r="K53" s="1" t="n">
        <v>0.005003452</v>
      </c>
      <c r="L53" s="1" t="n">
        <v>0.00502944</v>
      </c>
      <c r="M53" s="1" t="n">
        <v>0.004953146</v>
      </c>
      <c r="N53" s="1" t="n">
        <v>0.004913807</v>
      </c>
      <c r="O53" s="1" t="n">
        <v>0.00493145</v>
      </c>
      <c r="P53" s="1" t="n">
        <v>0.004979372</v>
      </c>
      <c r="R53" s="1" t="n">
        <f aca="false">PERCENTILE(G53:P53,0.9)</f>
        <v>0.0050750018</v>
      </c>
      <c r="S53" s="5" t="n">
        <f aca="false">spmv_1!R$10/R53</f>
        <v>6.90280036945012</v>
      </c>
      <c r="T53" s="6" t="n">
        <f aca="false">S53/16</f>
        <v>0.431425023090632</v>
      </c>
    </row>
    <row r="54" customFormat="false" ht="15" hidden="false" customHeight="false" outlineLevel="0" collapsed="false">
      <c r="A54" s="1" t="s">
        <v>17</v>
      </c>
      <c r="B54" s="1" t="n">
        <v>14</v>
      </c>
      <c r="D54" s="1" t="n">
        <v>1259548</v>
      </c>
      <c r="E54" s="1" t="n">
        <v>0.500756</v>
      </c>
      <c r="G54" s="1" t="n">
        <v>0.005334616</v>
      </c>
      <c r="H54" s="1" t="n">
        <v>0.005153656</v>
      </c>
      <c r="I54" s="1" t="n">
        <v>0.004913807</v>
      </c>
      <c r="J54" s="1" t="n">
        <v>0.004974127</v>
      </c>
      <c r="K54" s="1" t="n">
        <v>0.004860878</v>
      </c>
      <c r="L54" s="1" t="n">
        <v>0.005166292</v>
      </c>
      <c r="M54" s="1" t="n">
        <v>0.004946232</v>
      </c>
      <c r="N54" s="1" t="n">
        <v>0.004918337</v>
      </c>
      <c r="O54" s="1" t="n">
        <v>0.005035639</v>
      </c>
      <c r="P54" s="1" t="n">
        <v>0.00500226</v>
      </c>
      <c r="R54" s="1" t="n">
        <f aca="false">PERCENTILE(G54:P54,0.9)</f>
        <v>0.0051831244</v>
      </c>
      <c r="S54" s="5" t="n">
        <f aca="false">spmv_1!R$10/R54</f>
        <v>6.75880445778998</v>
      </c>
      <c r="T54" s="6" t="n">
        <f aca="false">S54/16</f>
        <v>0.422425278611874</v>
      </c>
    </row>
    <row r="55" customFormat="false" ht="15" hidden="false" customHeight="false" outlineLevel="0" collapsed="false">
      <c r="A55" s="1" t="s">
        <v>17</v>
      </c>
      <c r="B55" s="1" t="n">
        <v>15</v>
      </c>
      <c r="D55" s="1" t="n">
        <v>1260710</v>
      </c>
      <c r="E55" s="1" t="n">
        <v>0.478309</v>
      </c>
      <c r="G55" s="1" t="n">
        <v>0.005626202</v>
      </c>
      <c r="H55" s="1" t="n">
        <v>0.005279064</v>
      </c>
      <c r="I55" s="1" t="n">
        <v>0.005149841</v>
      </c>
      <c r="J55" s="1" t="n">
        <v>0.005278349</v>
      </c>
      <c r="K55" s="1" t="n">
        <v>0.005277634</v>
      </c>
      <c r="L55" s="1" t="n">
        <v>0.005239725</v>
      </c>
      <c r="M55" s="1" t="n">
        <v>0.005263329</v>
      </c>
      <c r="N55" s="1" t="n">
        <v>0.005185127</v>
      </c>
      <c r="O55" s="1" t="n">
        <v>0.005167007</v>
      </c>
      <c r="P55" s="1" t="n">
        <v>0.005249023</v>
      </c>
      <c r="R55" s="1" t="n">
        <f aca="false">PERCENTILE(G55:P55,0.9)</f>
        <v>0.0053137778</v>
      </c>
      <c r="S55" s="5" t="n">
        <f aca="false">spmv_1!R$10/R55</f>
        <v>6.59262122326606</v>
      </c>
      <c r="T55" s="6" t="n">
        <f aca="false">S55/16</f>
        <v>0.412038826454128</v>
      </c>
    </row>
    <row r="58" customFormat="false" ht="15" hidden="false" customHeight="false" outlineLevel="0" collapsed="false">
      <c r="A58" s="2" t="s">
        <v>0</v>
      </c>
      <c r="B58" s="2" t="s">
        <v>1</v>
      </c>
      <c r="C58" s="3"/>
      <c r="D58" s="2" t="s">
        <v>2</v>
      </c>
      <c r="E58" s="2" t="s">
        <v>3</v>
      </c>
      <c r="F58" s="3"/>
      <c r="G58" s="2" t="s">
        <v>4</v>
      </c>
      <c r="H58" s="2" t="s">
        <v>5</v>
      </c>
      <c r="I58" s="2" t="s">
        <v>6</v>
      </c>
      <c r="J58" s="2" t="s">
        <v>7</v>
      </c>
      <c r="K58" s="2" t="s">
        <v>8</v>
      </c>
      <c r="L58" s="2" t="s">
        <v>9</v>
      </c>
      <c r="M58" s="2" t="s">
        <v>10</v>
      </c>
      <c r="N58" s="2" t="s">
        <v>11</v>
      </c>
      <c r="O58" s="2" t="s">
        <v>12</v>
      </c>
      <c r="P58" s="2" t="s">
        <v>13</v>
      </c>
      <c r="R58" s="4" t="s">
        <v>14</v>
      </c>
      <c r="S58" s="7" t="s">
        <v>20</v>
      </c>
      <c r="T58" s="8" t="s">
        <v>21</v>
      </c>
    </row>
    <row r="59" customFormat="false" ht="15" hidden="false" customHeight="false" outlineLevel="0" collapsed="false">
      <c r="A59" s="1" t="s">
        <v>18</v>
      </c>
      <c r="B59" s="1" t="n">
        <v>0</v>
      </c>
      <c r="D59" s="1" t="n">
        <v>48399496</v>
      </c>
      <c r="E59" s="1" t="n">
        <v>0.386609</v>
      </c>
      <c r="G59" s="1" t="n">
        <v>0.248264551</v>
      </c>
      <c r="H59" s="1" t="n">
        <v>0.251997471</v>
      </c>
      <c r="I59" s="1" t="n">
        <v>0.249224663</v>
      </c>
      <c r="J59" s="1" t="n">
        <v>0.246516228</v>
      </c>
      <c r="K59" s="1" t="n">
        <v>0.24443388</v>
      </c>
      <c r="L59" s="1" t="n">
        <v>0.256344557</v>
      </c>
      <c r="M59" s="1" t="n">
        <v>0.25190258</v>
      </c>
      <c r="N59" s="1" t="n">
        <v>0.251883268</v>
      </c>
      <c r="O59" s="1" t="n">
        <v>0.251925945</v>
      </c>
      <c r="P59" s="1" t="n">
        <v>0.251299381</v>
      </c>
      <c r="R59" s="1" t="n">
        <f aca="false">PERCENTILE(G59:P59,0.9)</f>
        <v>0.2524321796</v>
      </c>
      <c r="S59" s="5" t="n">
        <f aca="false">spmv_1!R$14/R59</f>
        <v>4.37560759666316</v>
      </c>
      <c r="T59" s="6" t="n">
        <f aca="false">S59/16</f>
        <v>0.273475474791448</v>
      </c>
    </row>
    <row r="60" customFormat="false" ht="15" hidden="false" customHeight="false" outlineLevel="0" collapsed="false">
      <c r="A60" s="1" t="s">
        <v>18</v>
      </c>
      <c r="B60" s="1" t="n">
        <v>1</v>
      </c>
      <c r="D60" s="1" t="n">
        <v>48405240</v>
      </c>
      <c r="E60" s="1" t="n">
        <v>0.376936</v>
      </c>
      <c r="G60" s="1" t="n">
        <v>0.255839825</v>
      </c>
      <c r="H60" s="1" t="n">
        <v>0.258532763</v>
      </c>
      <c r="I60" s="1" t="n">
        <v>0.257998228</v>
      </c>
      <c r="J60" s="1" t="n">
        <v>0.249179363</v>
      </c>
      <c r="K60" s="1" t="n">
        <v>0.247588873</v>
      </c>
      <c r="L60" s="1" t="n">
        <v>0.266682625</v>
      </c>
      <c r="M60" s="1" t="n">
        <v>0.258011103</v>
      </c>
      <c r="N60" s="1" t="n">
        <v>0.25789237</v>
      </c>
      <c r="O60" s="1" t="n">
        <v>0.257837057</v>
      </c>
      <c r="P60" s="1" t="n">
        <v>0.258790255</v>
      </c>
      <c r="R60" s="1" t="n">
        <f aca="false">PERCENTILE(G60:P60,0.9)</f>
        <v>0.259579492</v>
      </c>
      <c r="S60" s="5" t="n">
        <f aca="false">spmv_1!R$14/R60</f>
        <v>4.25512876302262</v>
      </c>
      <c r="T60" s="6" t="n">
        <f aca="false">S60/16</f>
        <v>0.265945547688914</v>
      </c>
    </row>
    <row r="61" customFormat="false" ht="15" hidden="false" customHeight="false" outlineLevel="0" collapsed="false">
      <c r="A61" s="1" t="s">
        <v>18</v>
      </c>
      <c r="B61" s="1" t="n">
        <v>2</v>
      </c>
      <c r="D61" s="1" t="n">
        <v>48405240</v>
      </c>
      <c r="E61" s="1" t="n">
        <v>0.386313</v>
      </c>
      <c r="G61" s="1" t="n">
        <v>0.245221138</v>
      </c>
      <c r="H61" s="1" t="n">
        <v>0.249042511</v>
      </c>
      <c r="I61" s="1" t="n">
        <v>0.250241756</v>
      </c>
      <c r="J61" s="1" t="n">
        <v>0.247422695</v>
      </c>
      <c r="K61" s="1" t="n">
        <v>0.245751858</v>
      </c>
      <c r="L61" s="1" t="n">
        <v>0.261474848</v>
      </c>
      <c r="M61" s="1" t="n">
        <v>0.253397703</v>
      </c>
      <c r="N61" s="1" t="n">
        <v>0.252925873</v>
      </c>
      <c r="O61" s="1" t="n">
        <v>0.252970457</v>
      </c>
      <c r="P61" s="1" t="n">
        <v>0.247562408</v>
      </c>
      <c r="R61" s="1" t="n">
        <f aca="false">PERCENTILE(G61:P61,0.9)</f>
        <v>0.2542054175</v>
      </c>
      <c r="S61" s="5" t="n">
        <f aca="false">spmv_1!R$14/R61</f>
        <v>4.34508506373591</v>
      </c>
      <c r="T61" s="6" t="n">
        <f aca="false">S61/16</f>
        <v>0.271567816483494</v>
      </c>
    </row>
    <row r="62" customFormat="false" ht="15" hidden="false" customHeight="false" outlineLevel="0" collapsed="false">
      <c r="A62" s="1" t="s">
        <v>18</v>
      </c>
      <c r="B62" s="1" t="n">
        <v>3</v>
      </c>
      <c r="D62" s="1" t="n">
        <v>48405240</v>
      </c>
      <c r="E62" s="1" t="n">
        <v>0.38932</v>
      </c>
      <c r="G62" s="1" t="n">
        <v>0.240707397</v>
      </c>
      <c r="H62" s="1" t="n">
        <v>0.244223356</v>
      </c>
      <c r="I62" s="1" t="n">
        <v>0.246454</v>
      </c>
      <c r="J62" s="1" t="n">
        <v>0.246431589</v>
      </c>
      <c r="K62" s="1" t="n">
        <v>0.246971607</v>
      </c>
      <c r="L62" s="1" t="n">
        <v>0.272025347</v>
      </c>
      <c r="M62" s="1" t="n">
        <v>0.248760939</v>
      </c>
      <c r="N62" s="1" t="n">
        <v>0.24894762</v>
      </c>
      <c r="O62" s="1" t="n">
        <v>0.248964071</v>
      </c>
      <c r="P62" s="1" t="n">
        <v>0.24317193</v>
      </c>
      <c r="R62" s="1" t="n">
        <f aca="false">PERCENTILE(G62:P62,0.9)</f>
        <v>0.2512701986</v>
      </c>
      <c r="S62" s="5" t="n">
        <f aca="false">spmv_1!R$14/R62</f>
        <v>4.39584227996069</v>
      </c>
      <c r="T62" s="6" t="n">
        <f aca="false">S62/16</f>
        <v>0.274740142497543</v>
      </c>
    </row>
    <row r="63" customFormat="false" ht="15" hidden="false" customHeight="false" outlineLevel="0" collapsed="false">
      <c r="A63" s="1" t="s">
        <v>18</v>
      </c>
      <c r="B63" s="1" t="n">
        <v>4</v>
      </c>
      <c r="D63" s="1" t="n">
        <v>48405240</v>
      </c>
      <c r="E63" s="1" t="n">
        <v>0.395572</v>
      </c>
      <c r="G63" s="1" t="n">
        <v>0.240660906</v>
      </c>
      <c r="H63" s="1" t="n">
        <v>0.238529205</v>
      </c>
      <c r="I63" s="1" t="n">
        <v>0.237715244</v>
      </c>
      <c r="J63" s="1" t="n">
        <v>0.24890852</v>
      </c>
      <c r="K63" s="1" t="n">
        <v>0.249110937</v>
      </c>
      <c r="L63" s="1" t="n">
        <v>0.275766134</v>
      </c>
      <c r="M63" s="1" t="n">
        <v>0.240732431</v>
      </c>
      <c r="N63" s="1" t="n">
        <v>0.239266634</v>
      </c>
      <c r="O63" s="1" t="n">
        <v>0.239293098</v>
      </c>
      <c r="P63" s="1" t="n">
        <v>0.237371206</v>
      </c>
      <c r="R63" s="1" t="n">
        <f aca="false">PERCENTILE(G63:P63,0.9)</f>
        <v>0.2517764567</v>
      </c>
      <c r="S63" s="5" t="n">
        <f aca="false">spmv_1!R$14/R63</f>
        <v>4.38700336471929</v>
      </c>
      <c r="T63" s="6" t="n">
        <f aca="false">S63/16</f>
        <v>0.274187710294956</v>
      </c>
    </row>
    <row r="64" customFormat="false" ht="15" hidden="false" customHeight="false" outlineLevel="0" collapsed="false">
      <c r="A64" s="1" t="s">
        <v>18</v>
      </c>
      <c r="B64" s="1" t="n">
        <v>5</v>
      </c>
      <c r="D64" s="1" t="n">
        <v>48405240</v>
      </c>
      <c r="E64" s="1" t="n">
        <v>0.375154</v>
      </c>
      <c r="G64" s="1" t="n">
        <v>0.294566393</v>
      </c>
      <c r="H64" s="1" t="n">
        <v>0.247873068</v>
      </c>
      <c r="I64" s="1" t="n">
        <v>0.246599436</v>
      </c>
      <c r="J64" s="1" t="n">
        <v>0.256882668</v>
      </c>
      <c r="K64" s="1" t="n">
        <v>0.257035494</v>
      </c>
      <c r="L64" s="1" t="n">
        <v>0.285749435</v>
      </c>
      <c r="M64" s="1" t="n">
        <v>0.249711752</v>
      </c>
      <c r="N64" s="1" t="n">
        <v>0.247618437</v>
      </c>
      <c r="O64" s="1" t="n">
        <v>0.247558594</v>
      </c>
      <c r="P64" s="1" t="n">
        <v>0.246957064</v>
      </c>
      <c r="R64" s="1" t="n">
        <f aca="false">PERCENTILE(G64:P64,0.9)</f>
        <v>0.2866311308</v>
      </c>
      <c r="S64" s="5" t="n">
        <f aca="false">spmv_1!R$14/R64</f>
        <v>3.85353872629665</v>
      </c>
      <c r="T64" s="6" t="n">
        <f aca="false">S64/16</f>
        <v>0.240846170393541</v>
      </c>
    </row>
    <row r="65" customFormat="false" ht="15" hidden="false" customHeight="false" outlineLevel="0" collapsed="false">
      <c r="A65" s="1" t="s">
        <v>18</v>
      </c>
      <c r="B65" s="1" t="n">
        <v>6</v>
      </c>
      <c r="D65" s="1" t="n">
        <v>48405240</v>
      </c>
      <c r="E65" s="1" t="n">
        <v>0.320991</v>
      </c>
      <c r="G65" s="1" t="n">
        <v>0.261613846</v>
      </c>
      <c r="H65" s="1" t="n">
        <v>0.260810375</v>
      </c>
      <c r="I65" s="1" t="n">
        <v>0.343825579</v>
      </c>
      <c r="J65" s="1" t="n">
        <v>0.383567095</v>
      </c>
      <c r="K65" s="1" t="n">
        <v>0.384721756</v>
      </c>
      <c r="L65" s="1" t="n">
        <v>0.339353561</v>
      </c>
      <c r="M65" s="1" t="n">
        <v>0.261394501</v>
      </c>
      <c r="N65" s="1" t="n">
        <v>0.259913921</v>
      </c>
      <c r="O65" s="1" t="n">
        <v>0.259810209</v>
      </c>
      <c r="P65" s="1" t="n">
        <v>0.260972738</v>
      </c>
      <c r="R65" s="1" t="n">
        <f aca="false">PERCENTILE(G65:P65,0.9)</f>
        <v>0.3836825611</v>
      </c>
      <c r="S65" s="5" t="n">
        <f aca="false">spmv_1!R$14/R65</f>
        <v>2.87879688754507</v>
      </c>
      <c r="T65" s="6" t="n">
        <f aca="false">S65/16</f>
        <v>0.179924805471567</v>
      </c>
    </row>
    <row r="66" customFormat="false" ht="15" hidden="false" customHeight="false" outlineLevel="0" collapsed="false">
      <c r="A66" s="1" t="s">
        <v>18</v>
      </c>
      <c r="B66" s="1" t="n">
        <v>7</v>
      </c>
      <c r="D66" s="1" t="n">
        <v>48405240</v>
      </c>
      <c r="E66" s="1" t="n">
        <v>0.37856</v>
      </c>
      <c r="G66" s="1" t="n">
        <v>0.252041101</v>
      </c>
      <c r="H66" s="1" t="n">
        <v>0.251802683</v>
      </c>
      <c r="I66" s="1" t="n">
        <v>0.249332666</v>
      </c>
      <c r="J66" s="1" t="n">
        <v>0.258658409</v>
      </c>
      <c r="K66" s="1" t="n">
        <v>0.257964134</v>
      </c>
      <c r="L66" s="1" t="n">
        <v>0.287182808</v>
      </c>
      <c r="M66" s="1" t="n">
        <v>0.25295949</v>
      </c>
      <c r="N66" s="1" t="n">
        <v>0.249252319</v>
      </c>
      <c r="O66" s="1" t="n">
        <v>0.249388695</v>
      </c>
      <c r="P66" s="1" t="n">
        <v>0.248755455</v>
      </c>
      <c r="R66" s="1" t="n">
        <f aca="false">PERCENTILE(G66:P66,0.9)</f>
        <v>0.2615108489</v>
      </c>
      <c r="S66" s="5" t="n">
        <f aca="false">spmv_1!R$14/R66</f>
        <v>4.22370302167606</v>
      </c>
      <c r="T66" s="6" t="n">
        <f aca="false">S66/16</f>
        <v>0.263981438854753</v>
      </c>
    </row>
    <row r="67" customFormat="false" ht="15" hidden="false" customHeight="false" outlineLevel="0" collapsed="false">
      <c r="A67" s="1" t="s">
        <v>18</v>
      </c>
      <c r="B67" s="1" t="n">
        <v>8</v>
      </c>
      <c r="D67" s="1" t="n">
        <v>48405240</v>
      </c>
      <c r="E67" s="1" t="n">
        <v>0.371288</v>
      </c>
      <c r="G67" s="1" t="n">
        <v>0.257415533</v>
      </c>
      <c r="H67" s="1" t="n">
        <v>0.256648302</v>
      </c>
      <c r="I67" s="1" t="n">
        <v>0.257475138</v>
      </c>
      <c r="J67" s="1" t="n">
        <v>0.258001089</v>
      </c>
      <c r="K67" s="1" t="n">
        <v>0.258328915</v>
      </c>
      <c r="L67" s="1" t="n">
        <v>0.291320801</v>
      </c>
      <c r="M67" s="1" t="n">
        <v>0.257208824</v>
      </c>
      <c r="N67" s="1" t="n">
        <v>0.255605698</v>
      </c>
      <c r="O67" s="1" t="n">
        <v>0.255531788</v>
      </c>
      <c r="P67" s="1" t="n">
        <v>0.259887457</v>
      </c>
      <c r="R67" s="1" t="n">
        <f aca="false">PERCENTILE(G67:P67,0.9)</f>
        <v>0.2630307914</v>
      </c>
      <c r="S67" s="5" t="n">
        <f aca="false">spmv_1!R$14/R67</f>
        <v>4.1992960475121</v>
      </c>
      <c r="T67" s="6" t="n">
        <f aca="false">S67/16</f>
        <v>0.262456002969506</v>
      </c>
    </row>
    <row r="68" customFormat="false" ht="15" hidden="false" customHeight="false" outlineLevel="0" collapsed="false">
      <c r="A68" s="1" t="s">
        <v>18</v>
      </c>
      <c r="B68" s="1" t="n">
        <v>9</v>
      </c>
      <c r="D68" s="1" t="n">
        <v>48405240</v>
      </c>
      <c r="E68" s="1" t="n">
        <v>0.372938</v>
      </c>
      <c r="G68" s="1" t="n">
        <v>0.255921841</v>
      </c>
      <c r="H68" s="1" t="n">
        <v>0.256142616</v>
      </c>
      <c r="I68" s="1" t="n">
        <v>0.257504702</v>
      </c>
      <c r="J68" s="1" t="n">
        <v>0.256000042</v>
      </c>
      <c r="K68" s="1" t="n">
        <v>0.256470919</v>
      </c>
      <c r="L68" s="1" t="n">
        <v>0.287206173</v>
      </c>
      <c r="M68" s="1" t="n">
        <v>0.255761147</v>
      </c>
      <c r="N68" s="1" t="n">
        <v>0.254018307</v>
      </c>
      <c r="O68" s="1" t="n">
        <v>0.254120827</v>
      </c>
      <c r="P68" s="1" t="n">
        <v>0.262739182</v>
      </c>
      <c r="R68" s="1" t="n">
        <f aca="false">PERCENTILE(G68:P68,0.9)</f>
        <v>0.2651858811</v>
      </c>
      <c r="S68" s="5" t="n">
        <f aca="false">spmv_1!R$14/R68</f>
        <v>4.16516957131471</v>
      </c>
      <c r="T68" s="6" t="n">
        <f aca="false">S68/16</f>
        <v>0.260323098207169</v>
      </c>
    </row>
    <row r="69" customFormat="false" ht="15" hidden="false" customHeight="false" outlineLevel="0" collapsed="false">
      <c r="A69" s="1" t="s">
        <v>18</v>
      </c>
      <c r="B69" s="1" t="n">
        <v>10</v>
      </c>
      <c r="D69" s="1" t="n">
        <v>48405240</v>
      </c>
      <c r="E69" s="1" t="n">
        <v>0.399591</v>
      </c>
      <c r="G69" s="1" t="n">
        <v>0.237694263</v>
      </c>
      <c r="H69" s="1" t="n">
        <v>0.238714695</v>
      </c>
      <c r="I69" s="1" t="n">
        <v>0.238329411</v>
      </c>
      <c r="J69" s="1" t="n">
        <v>0.242765427</v>
      </c>
      <c r="K69" s="1" t="n">
        <v>0.243064642</v>
      </c>
      <c r="L69" s="1" t="n">
        <v>0.265996456</v>
      </c>
      <c r="M69" s="1" t="n">
        <v>0.236957073</v>
      </c>
      <c r="N69" s="1" t="n">
        <v>0.236102343</v>
      </c>
      <c r="O69" s="1" t="n">
        <v>0.236325026</v>
      </c>
      <c r="P69" s="1" t="n">
        <v>0.246787786</v>
      </c>
      <c r="R69" s="1" t="n">
        <f aca="false">PERCENTILE(G69:P69,0.9)</f>
        <v>0.248708653</v>
      </c>
      <c r="S69" s="5" t="n">
        <f aca="false">spmv_1!R$14/R69</f>
        <v>4.44111674192534</v>
      </c>
      <c r="T69" s="6" t="n">
        <f aca="false">S69/16</f>
        <v>0.277569796370334</v>
      </c>
    </row>
    <row r="70" customFormat="false" ht="15" hidden="false" customHeight="false" outlineLevel="0" collapsed="false">
      <c r="A70" s="1" t="s">
        <v>18</v>
      </c>
      <c r="B70" s="1" t="n">
        <v>11</v>
      </c>
      <c r="D70" s="1" t="n">
        <v>48405240</v>
      </c>
      <c r="E70" s="1" t="n">
        <v>0.384109</v>
      </c>
      <c r="G70" s="1" t="n">
        <v>0.247627497</v>
      </c>
      <c r="H70" s="1" t="n">
        <v>0.249971867</v>
      </c>
      <c r="I70" s="1" t="n">
        <v>0.251444578</v>
      </c>
      <c r="J70" s="1" t="n">
        <v>0.24671936</v>
      </c>
      <c r="K70" s="1" t="n">
        <v>0.247407436</v>
      </c>
      <c r="L70" s="1" t="n">
        <v>0.273280144</v>
      </c>
      <c r="M70" s="1" t="n">
        <v>0.24797225</v>
      </c>
      <c r="N70" s="1" t="n">
        <v>0.247395515</v>
      </c>
      <c r="O70" s="1" t="n">
        <v>0.247459888</v>
      </c>
      <c r="P70" s="1" t="n">
        <v>0.261109591</v>
      </c>
      <c r="R70" s="1" t="n">
        <f aca="false">PERCENTILE(G70:P70,0.9)</f>
        <v>0.2623266463</v>
      </c>
      <c r="S70" s="5" t="n">
        <f aca="false">spmv_1!R$14/R70</f>
        <v>4.21056792468132</v>
      </c>
      <c r="T70" s="6" t="n">
        <f aca="false">S70/16</f>
        <v>0.263160495292582</v>
      </c>
    </row>
    <row r="71" customFormat="false" ht="15" hidden="false" customHeight="false" outlineLevel="0" collapsed="false">
      <c r="A71" s="1" t="s">
        <v>18</v>
      </c>
      <c r="B71" s="1" t="n">
        <v>12</v>
      </c>
      <c r="D71" s="1" t="n">
        <v>48405240</v>
      </c>
      <c r="E71" s="1" t="n">
        <v>0.389762</v>
      </c>
      <c r="G71" s="1" t="n">
        <v>0.241987467</v>
      </c>
      <c r="H71" s="1" t="n">
        <v>0.249866247</v>
      </c>
      <c r="I71" s="1" t="n">
        <v>0.249730825</v>
      </c>
      <c r="J71" s="1" t="n">
        <v>0.241652489</v>
      </c>
      <c r="K71" s="1" t="n">
        <v>0.240614414</v>
      </c>
      <c r="L71" s="1" t="n">
        <v>0.263721943</v>
      </c>
      <c r="M71" s="1" t="n">
        <v>0.246023655</v>
      </c>
      <c r="N71" s="1" t="n">
        <v>0.245774031</v>
      </c>
      <c r="O71" s="1" t="n">
        <v>0.24575448</v>
      </c>
      <c r="P71" s="1" t="n">
        <v>0.258709192</v>
      </c>
      <c r="R71" s="1" t="n">
        <f aca="false">PERCENTILE(G71:P71,0.9)</f>
        <v>0.2592104671</v>
      </c>
      <c r="S71" s="5" t="n">
        <f aca="false">spmv_1!R$14/R71</f>
        <v>4.26118657574843</v>
      </c>
      <c r="T71" s="6" t="n">
        <f aca="false">S71/16</f>
        <v>0.266324160984277</v>
      </c>
    </row>
    <row r="72" customFormat="false" ht="15" hidden="false" customHeight="false" outlineLevel="0" collapsed="false">
      <c r="A72" s="1" t="s">
        <v>18</v>
      </c>
      <c r="B72" s="1" t="n">
        <v>13</v>
      </c>
      <c r="D72" s="1" t="n">
        <v>48405240</v>
      </c>
      <c r="E72" s="1" t="n">
        <v>0.411465</v>
      </c>
      <c r="G72" s="1" t="n">
        <v>0.228023767</v>
      </c>
      <c r="H72" s="1" t="n">
        <v>0.235312223</v>
      </c>
      <c r="I72" s="1" t="n">
        <v>0.2356565</v>
      </c>
      <c r="J72" s="1" t="n">
        <v>0.23153019</v>
      </c>
      <c r="K72" s="1" t="n">
        <v>0.230661869</v>
      </c>
      <c r="L72" s="1" t="n">
        <v>0.241478205</v>
      </c>
      <c r="M72" s="1" t="n">
        <v>0.235379219</v>
      </c>
      <c r="N72" s="1" t="n">
        <v>0.235414505</v>
      </c>
      <c r="O72" s="1" t="n">
        <v>0.2354877</v>
      </c>
      <c r="P72" s="1" t="n">
        <v>0.243881941</v>
      </c>
      <c r="R72" s="1" t="n">
        <f aca="false">PERCENTILE(G72:P72,0.9)</f>
        <v>0.2417185786</v>
      </c>
      <c r="S72" s="5" t="n">
        <f aca="false">spmv_1!R$14/R72</f>
        <v>4.56954599475706</v>
      </c>
      <c r="T72" s="6" t="n">
        <f aca="false">S72/16</f>
        <v>0.285596624672316</v>
      </c>
    </row>
    <row r="73" customFormat="false" ht="15" hidden="false" customHeight="false" outlineLevel="0" collapsed="false">
      <c r="A73" s="1" t="s">
        <v>18</v>
      </c>
      <c r="B73" s="1" t="n">
        <v>14</v>
      </c>
      <c r="D73" s="1" t="n">
        <v>48405240</v>
      </c>
      <c r="E73" s="1" t="n">
        <v>0.402344</v>
      </c>
      <c r="G73" s="1" t="n">
        <v>0.236652136</v>
      </c>
      <c r="H73" s="1" t="n">
        <v>0.239797831</v>
      </c>
      <c r="I73" s="1" t="n">
        <v>0.242250919</v>
      </c>
      <c r="J73" s="1" t="n">
        <v>0.236934662</v>
      </c>
      <c r="K73" s="1" t="n">
        <v>0.23690486</v>
      </c>
      <c r="L73" s="1" t="n">
        <v>0.240481377</v>
      </c>
      <c r="M73" s="1" t="n">
        <v>0.24505806</v>
      </c>
      <c r="N73" s="1" t="n">
        <v>0.243499756</v>
      </c>
      <c r="O73" s="1" t="n">
        <v>0.243522882</v>
      </c>
      <c r="P73" s="1" t="n">
        <v>0.241060257</v>
      </c>
      <c r="R73" s="1" t="n">
        <f aca="false">PERCENTILE(G73:P73,0.9)</f>
        <v>0.2436763998</v>
      </c>
      <c r="S73" s="5" t="n">
        <f aca="false">spmv_1!R$14/R73</f>
        <v>4.53283191809534</v>
      </c>
      <c r="T73" s="6" t="n">
        <f aca="false">S73/16</f>
        <v>0.283301994880959</v>
      </c>
    </row>
    <row r="74" customFormat="false" ht="15" hidden="false" customHeight="false" outlineLevel="0" collapsed="false">
      <c r="A74" s="1" t="s">
        <v>18</v>
      </c>
      <c r="B74" s="1" t="n">
        <v>15</v>
      </c>
      <c r="D74" s="1" t="n">
        <v>48399496</v>
      </c>
      <c r="E74" s="1" t="n">
        <v>0.372436</v>
      </c>
      <c r="G74" s="1" t="n">
        <v>0.280150652</v>
      </c>
      <c r="H74" s="1" t="n">
        <v>0.2575984</v>
      </c>
      <c r="I74" s="1" t="n">
        <v>0.250185728</v>
      </c>
      <c r="J74" s="1" t="n">
        <v>0.25633049</v>
      </c>
      <c r="K74" s="1" t="n">
        <v>0.294968605</v>
      </c>
      <c r="L74" s="1" t="n">
        <v>0.251595736</v>
      </c>
      <c r="M74" s="1" t="n">
        <v>0.2586689</v>
      </c>
      <c r="N74" s="1" t="n">
        <v>0.251485586</v>
      </c>
      <c r="O74" s="1" t="n">
        <v>0.251547098</v>
      </c>
      <c r="P74" s="1" t="n">
        <v>0.246549368</v>
      </c>
      <c r="R74" s="1" t="n">
        <f aca="false">PERCENTILE(G74:P74,0.9)</f>
        <v>0.2816324473</v>
      </c>
      <c r="S74" s="5" t="n">
        <f aca="false">spmv_1!R$14/R74</f>
        <v>3.92193503727722</v>
      </c>
      <c r="T74" s="6" t="n">
        <f aca="false">S74/16</f>
        <v>0.245120939829826</v>
      </c>
    </row>
    <row r="77" customFormat="false" ht="15" hidden="false" customHeight="false" outlineLevel="0" collapsed="false">
      <c r="A77" s="2" t="s">
        <v>0</v>
      </c>
      <c r="B77" s="2" t="s">
        <v>1</v>
      </c>
      <c r="C77" s="3"/>
      <c r="D77" s="2" t="s">
        <v>2</v>
      </c>
      <c r="E77" s="2" t="s">
        <v>3</v>
      </c>
      <c r="F77" s="3"/>
      <c r="G77" s="2" t="s">
        <v>4</v>
      </c>
      <c r="H77" s="2" t="s">
        <v>5</v>
      </c>
      <c r="I77" s="2" t="s">
        <v>6</v>
      </c>
      <c r="J77" s="2" t="s">
        <v>7</v>
      </c>
      <c r="K77" s="2" t="s">
        <v>8</v>
      </c>
      <c r="L77" s="2" t="s">
        <v>9</v>
      </c>
      <c r="M77" s="2" t="s">
        <v>10</v>
      </c>
      <c r="N77" s="2" t="s">
        <v>11</v>
      </c>
      <c r="O77" s="2" t="s">
        <v>12</v>
      </c>
      <c r="P77" s="2" t="s">
        <v>13</v>
      </c>
      <c r="R77" s="4" t="s">
        <v>14</v>
      </c>
      <c r="S77" s="7" t="s">
        <v>20</v>
      </c>
      <c r="T77" s="8" t="s">
        <v>21</v>
      </c>
    </row>
    <row r="78" customFormat="false" ht="15" hidden="false" customHeight="false" outlineLevel="0" collapsed="false">
      <c r="A78" s="1" t="s">
        <v>19</v>
      </c>
      <c r="B78" s="1" t="n">
        <v>0</v>
      </c>
      <c r="D78" s="1" t="n">
        <v>2325817</v>
      </c>
      <c r="E78" s="1" t="n">
        <v>0.708994</v>
      </c>
      <c r="G78" s="1" t="n">
        <v>0.006732941</v>
      </c>
      <c r="H78" s="1" t="n">
        <v>0.006640911</v>
      </c>
      <c r="I78" s="1" t="n">
        <v>0.006607056</v>
      </c>
      <c r="J78" s="1" t="n">
        <v>0.006583691</v>
      </c>
      <c r="K78" s="1" t="n">
        <v>0.006430626</v>
      </c>
      <c r="L78" s="1" t="n">
        <v>0.006503105</v>
      </c>
      <c r="M78" s="1" t="n">
        <v>0.006553888</v>
      </c>
      <c r="N78" s="1" t="n">
        <v>0.006569862</v>
      </c>
      <c r="O78" s="1" t="n">
        <v>0.006463051</v>
      </c>
      <c r="P78" s="1" t="n">
        <v>0.006523848</v>
      </c>
      <c r="R78" s="1" t="n">
        <f aca="false">PERCENTILE(G78:P78,0.9)</f>
        <v>0.006650114</v>
      </c>
      <c r="S78" s="5" t="n">
        <f aca="false">spmv_1!R$18/R78</f>
        <v>11.6597593364565</v>
      </c>
      <c r="T78" s="6" t="n">
        <f aca="false">S78/16</f>
        <v>0.72873495852853</v>
      </c>
    </row>
    <row r="79" customFormat="false" ht="15" hidden="false" customHeight="false" outlineLevel="0" collapsed="false">
      <c r="A79" s="1" t="s">
        <v>19</v>
      </c>
      <c r="B79" s="1" t="n">
        <v>1</v>
      </c>
      <c r="D79" s="1" t="n">
        <v>2296578</v>
      </c>
      <c r="E79" s="1" t="n">
        <v>0.702534</v>
      </c>
      <c r="G79" s="1" t="n">
        <v>0.006816149</v>
      </c>
      <c r="H79" s="1" t="n">
        <v>0.006555557</v>
      </c>
      <c r="I79" s="1" t="n">
        <v>0.006524324</v>
      </c>
      <c r="J79" s="1" t="n">
        <v>0.006586075</v>
      </c>
      <c r="K79" s="1" t="n">
        <v>0.006358862</v>
      </c>
      <c r="L79" s="1" t="n">
        <v>0.006398678</v>
      </c>
      <c r="M79" s="1" t="n">
        <v>0.006577492</v>
      </c>
      <c r="N79" s="1" t="n">
        <v>0.006560087</v>
      </c>
      <c r="O79" s="1" t="n">
        <v>0.006412983</v>
      </c>
      <c r="P79" s="1" t="n">
        <v>0.006589651</v>
      </c>
      <c r="R79" s="1" t="n">
        <f aca="false">PERCENTILE(G79:P79,0.9)</f>
        <v>0.0066123008</v>
      </c>
      <c r="S79" s="5" t="n">
        <f aca="false">spmv_1!R$18/R79</f>
        <v>11.7264370066165</v>
      </c>
      <c r="T79" s="6" t="n">
        <f aca="false">S79/16</f>
        <v>0.732902312913532</v>
      </c>
    </row>
    <row r="80" customFormat="false" ht="15" hidden="false" customHeight="false" outlineLevel="0" collapsed="false">
      <c r="A80" s="1" t="s">
        <v>19</v>
      </c>
      <c r="B80" s="1" t="n">
        <v>2</v>
      </c>
      <c r="D80" s="1" t="n">
        <v>2284182</v>
      </c>
      <c r="E80" s="1" t="n">
        <v>0.6814</v>
      </c>
      <c r="G80" s="1" t="n">
        <v>0.006929874</v>
      </c>
      <c r="H80" s="1" t="n">
        <v>0.006729364</v>
      </c>
      <c r="I80" s="1" t="n">
        <v>0.006622314</v>
      </c>
      <c r="J80" s="1" t="n">
        <v>0.006841183</v>
      </c>
      <c r="K80" s="1" t="n">
        <v>0.006558418</v>
      </c>
      <c r="L80" s="1" t="n">
        <v>0.006509781</v>
      </c>
      <c r="M80" s="1" t="n">
        <v>0.006819487</v>
      </c>
      <c r="N80" s="1" t="n">
        <v>0.00677681</v>
      </c>
      <c r="O80" s="1" t="n">
        <v>0.006646872</v>
      </c>
      <c r="P80" s="1" t="n">
        <v>0.006609678</v>
      </c>
      <c r="R80" s="1" t="n">
        <f aca="false">PERCENTILE(G80:P80,0.9)</f>
        <v>0.0068500521</v>
      </c>
      <c r="S80" s="5" t="n">
        <f aca="false">spmv_1!R$18/R80</f>
        <v>11.3194363587395</v>
      </c>
      <c r="T80" s="6" t="n">
        <f aca="false">S80/16</f>
        <v>0.70746477242122</v>
      </c>
    </row>
    <row r="81" customFormat="false" ht="15" hidden="false" customHeight="false" outlineLevel="0" collapsed="false">
      <c r="A81" s="1" t="s">
        <v>19</v>
      </c>
      <c r="B81" s="1" t="n">
        <v>3</v>
      </c>
      <c r="D81" s="1" t="n">
        <v>2379501</v>
      </c>
      <c r="E81" s="1" t="n">
        <v>0.690574</v>
      </c>
      <c r="G81" s="1" t="n">
        <v>0.00707221</v>
      </c>
      <c r="H81" s="1" t="n">
        <v>0.006914377</v>
      </c>
      <c r="I81" s="1" t="n">
        <v>0.006759405</v>
      </c>
      <c r="J81" s="1" t="n">
        <v>0.00708437</v>
      </c>
      <c r="K81" s="1" t="n">
        <v>0.006729126</v>
      </c>
      <c r="L81" s="1" t="n">
        <v>0.006740332</v>
      </c>
      <c r="M81" s="1" t="n">
        <v>0.007012844</v>
      </c>
      <c r="N81" s="1" t="n">
        <v>0.006880522</v>
      </c>
      <c r="O81" s="1" t="n">
        <v>0.006756067</v>
      </c>
      <c r="P81" s="1" t="n">
        <v>0.006964445</v>
      </c>
      <c r="R81" s="1" t="n">
        <f aca="false">PERCENTILE(G81:P81,0.9)</f>
        <v>0.007073426</v>
      </c>
      <c r="S81" s="5" t="n">
        <f aca="false">spmv_1!R$18/R81</f>
        <v>10.9619763888107</v>
      </c>
      <c r="T81" s="6" t="n">
        <f aca="false">S81/16</f>
        <v>0.685123524300671</v>
      </c>
    </row>
    <row r="82" customFormat="false" ht="15" hidden="false" customHeight="false" outlineLevel="0" collapsed="false">
      <c r="A82" s="1" t="s">
        <v>19</v>
      </c>
      <c r="B82" s="1" t="n">
        <v>4</v>
      </c>
      <c r="D82" s="1" t="n">
        <v>2324721</v>
      </c>
      <c r="E82" s="1" t="n">
        <v>0.675506</v>
      </c>
      <c r="G82" s="1" t="n">
        <v>0.00714016</v>
      </c>
      <c r="H82" s="1" t="n">
        <v>0.00686264</v>
      </c>
      <c r="I82" s="1" t="n">
        <v>0.006703377</v>
      </c>
      <c r="J82" s="1" t="n">
        <v>0.007138491</v>
      </c>
      <c r="K82" s="1" t="n">
        <v>0.006768942</v>
      </c>
      <c r="L82" s="1" t="n">
        <v>0.006672144</v>
      </c>
      <c r="M82" s="1" t="n">
        <v>0.00699687</v>
      </c>
      <c r="N82" s="1" t="n">
        <v>0.006810904</v>
      </c>
      <c r="O82" s="1" t="n">
        <v>0.006763935</v>
      </c>
      <c r="P82" s="1" t="n">
        <v>0.006971598</v>
      </c>
      <c r="R82" s="1" t="n">
        <f aca="false">PERCENTILE(G82:P82,0.9)</f>
        <v>0.0071386579</v>
      </c>
      <c r="S82" s="5" t="n">
        <f aca="false">spmv_1!R$18/R82</f>
        <v>10.861807623531</v>
      </c>
      <c r="T82" s="6" t="n">
        <f aca="false">S82/16</f>
        <v>0.678862976470689</v>
      </c>
    </row>
    <row r="83" customFormat="false" ht="15" hidden="false" customHeight="false" outlineLevel="0" collapsed="false">
      <c r="A83" s="1" t="s">
        <v>19</v>
      </c>
      <c r="B83" s="1" t="n">
        <v>5</v>
      </c>
      <c r="D83" s="1" t="n">
        <v>2296932</v>
      </c>
      <c r="E83" s="1" t="n">
        <v>0.655914</v>
      </c>
      <c r="G83" s="1" t="n">
        <v>0.007285595</v>
      </c>
      <c r="H83" s="1" t="n">
        <v>0.007004261</v>
      </c>
      <c r="I83" s="1" t="n">
        <v>0.006909609</v>
      </c>
      <c r="J83" s="1" t="n">
        <v>0.007286787</v>
      </c>
      <c r="K83" s="1" t="n">
        <v>0.006941795</v>
      </c>
      <c r="L83" s="1" t="n">
        <v>0.006773233</v>
      </c>
      <c r="M83" s="1" t="n">
        <v>0.007162571</v>
      </c>
      <c r="N83" s="1" t="n">
        <v>0.006944656</v>
      </c>
      <c r="O83" s="1" t="n">
        <v>0.006787777</v>
      </c>
      <c r="P83" s="1" t="n">
        <v>0.006941319</v>
      </c>
      <c r="R83" s="1" t="n">
        <f aca="false">PERCENTILE(G83:P83,0.9)</f>
        <v>0.0072857142</v>
      </c>
      <c r="S83" s="5" t="n">
        <f aca="false">spmv_1!R$18/R83</f>
        <v>10.6425707448146</v>
      </c>
      <c r="T83" s="6" t="n">
        <f aca="false">S83/16</f>
        <v>0.66516067155091</v>
      </c>
    </row>
    <row r="84" customFormat="false" ht="15" hidden="false" customHeight="false" outlineLevel="0" collapsed="false">
      <c r="A84" s="1" t="s">
        <v>19</v>
      </c>
      <c r="B84" s="1" t="n">
        <v>6</v>
      </c>
      <c r="D84" s="1" t="n">
        <v>2283175</v>
      </c>
      <c r="E84" s="1" t="n">
        <v>0.656792</v>
      </c>
      <c r="G84" s="1" t="n">
        <v>0.007156134</v>
      </c>
      <c r="H84" s="1" t="n">
        <v>0.006955147</v>
      </c>
      <c r="I84" s="1" t="n">
        <v>0.00676918</v>
      </c>
      <c r="J84" s="1" t="n">
        <v>0.007196665</v>
      </c>
      <c r="K84" s="1" t="n">
        <v>0.006826401</v>
      </c>
      <c r="L84" s="1" t="n">
        <v>0.00674057</v>
      </c>
      <c r="M84" s="1" t="n">
        <v>0.007214785</v>
      </c>
      <c r="N84" s="1" t="n">
        <v>0.006933689</v>
      </c>
      <c r="O84" s="1" t="n">
        <v>0.006634951</v>
      </c>
      <c r="P84" s="1" t="n">
        <v>0.007097483</v>
      </c>
      <c r="R84" s="1" t="n">
        <f aca="false">PERCENTILE(G84:P84,0.9)</f>
        <v>0.007198477</v>
      </c>
      <c r="S84" s="5" t="n">
        <f aca="false">spmv_1!R$18/R84</f>
        <v>10.7715463701558</v>
      </c>
      <c r="T84" s="6" t="n">
        <f aca="false">S84/16</f>
        <v>0.673221648134737</v>
      </c>
    </row>
    <row r="85" customFormat="false" ht="15" hidden="false" customHeight="false" outlineLevel="0" collapsed="false">
      <c r="A85" s="1" t="s">
        <v>19</v>
      </c>
      <c r="B85" s="1" t="n">
        <v>7</v>
      </c>
      <c r="D85" s="1" t="n">
        <v>2376213</v>
      </c>
      <c r="E85" s="1" t="n">
        <v>0.660987</v>
      </c>
      <c r="G85" s="1" t="n">
        <v>0.007306814</v>
      </c>
      <c r="H85" s="1" t="n">
        <v>0.007212639</v>
      </c>
      <c r="I85" s="1" t="n">
        <v>0.006978273</v>
      </c>
      <c r="J85" s="1" t="n">
        <v>0.007467747</v>
      </c>
      <c r="K85" s="1" t="n">
        <v>0.007030725</v>
      </c>
      <c r="L85" s="1" t="n">
        <v>0.007032394</v>
      </c>
      <c r="M85" s="1" t="n">
        <v>0.007396698</v>
      </c>
      <c r="N85" s="1" t="n">
        <v>0.007172346</v>
      </c>
      <c r="O85" s="1" t="n">
        <v>0.006911039</v>
      </c>
      <c r="P85" s="1" t="n">
        <v>0.007390261</v>
      </c>
      <c r="R85" s="1" t="n">
        <f aca="false">PERCENTILE(G85:P85,0.9)</f>
        <v>0.0074038029</v>
      </c>
      <c r="S85" s="5" t="n">
        <f aca="false">spmv_1!R$18/R85</f>
        <v>10.4728245534467</v>
      </c>
      <c r="T85" s="6" t="n">
        <f aca="false">S85/16</f>
        <v>0.65455153459042</v>
      </c>
    </row>
    <row r="86" customFormat="false" ht="15" hidden="false" customHeight="false" outlineLevel="0" collapsed="false">
      <c r="A86" s="1" t="s">
        <v>19</v>
      </c>
      <c r="B86" s="1" t="n">
        <v>8</v>
      </c>
      <c r="D86" s="1" t="n">
        <v>2325004</v>
      </c>
      <c r="E86" s="1" t="n">
        <v>0.644081</v>
      </c>
      <c r="G86" s="1" t="n">
        <v>0.007347584</v>
      </c>
      <c r="H86" s="1" t="n">
        <v>0.007257938</v>
      </c>
      <c r="I86" s="1" t="n">
        <v>0.00695014</v>
      </c>
      <c r="J86" s="1" t="n">
        <v>0.007590532</v>
      </c>
      <c r="K86" s="1" t="n">
        <v>0.007069349</v>
      </c>
      <c r="L86" s="1" t="n">
        <v>0.007025957</v>
      </c>
      <c r="M86" s="1" t="n">
        <v>0.007406712</v>
      </c>
      <c r="N86" s="1" t="n">
        <v>0.007145882</v>
      </c>
      <c r="O86" s="1" t="n">
        <v>0.006982327</v>
      </c>
      <c r="P86" s="1" t="n">
        <v>0.007419586</v>
      </c>
      <c r="R86" s="1" t="n">
        <f aca="false">PERCENTILE(G86:P86,0.9)</f>
        <v>0.0074366806</v>
      </c>
      <c r="S86" s="5" t="n">
        <f aca="false">spmv_1!R$18/R86</f>
        <v>10.4265240058851</v>
      </c>
      <c r="T86" s="6" t="n">
        <f aca="false">S86/16</f>
        <v>0.651657750367819</v>
      </c>
    </row>
    <row r="87" customFormat="false" ht="15" hidden="false" customHeight="false" outlineLevel="0" collapsed="false">
      <c r="A87" s="1" t="s">
        <v>19</v>
      </c>
      <c r="B87" s="1" t="n">
        <v>9</v>
      </c>
      <c r="D87" s="1" t="n">
        <v>2294923</v>
      </c>
      <c r="E87" s="1" t="n">
        <v>0.633895</v>
      </c>
      <c r="G87" s="1" t="n">
        <v>0.007390261</v>
      </c>
      <c r="H87" s="1" t="n">
        <v>0.007328033</v>
      </c>
      <c r="I87" s="1" t="n">
        <v>0.007066011</v>
      </c>
      <c r="J87" s="1" t="n">
        <v>0.007629395</v>
      </c>
      <c r="K87" s="1" t="n">
        <v>0.007057428</v>
      </c>
      <c r="L87" s="1" t="n">
        <v>0.006960869</v>
      </c>
      <c r="M87" s="1" t="n">
        <v>0.007363319</v>
      </c>
      <c r="N87" s="1" t="n">
        <v>0.007178307</v>
      </c>
      <c r="O87" s="1" t="n">
        <v>0.007051945</v>
      </c>
      <c r="P87" s="1" t="n">
        <v>0.007381439</v>
      </c>
      <c r="R87" s="1" t="n">
        <f aca="false">PERCENTILE(G87:P87,0.9)</f>
        <v>0.0074141744</v>
      </c>
      <c r="S87" s="5" t="n">
        <f aca="false">spmv_1!R$18/R87</f>
        <v>10.4581743855391</v>
      </c>
      <c r="T87" s="6" t="n">
        <f aca="false">S87/16</f>
        <v>0.653635899096196</v>
      </c>
    </row>
    <row r="88" customFormat="false" ht="15" hidden="false" customHeight="false" outlineLevel="0" collapsed="false">
      <c r="A88" s="1" t="s">
        <v>19</v>
      </c>
      <c r="B88" s="1" t="n">
        <v>10</v>
      </c>
      <c r="D88" s="1" t="n">
        <v>2284194</v>
      </c>
      <c r="E88" s="1" t="n">
        <v>0.640905</v>
      </c>
      <c r="G88" s="1" t="n">
        <v>0.00723815</v>
      </c>
      <c r="H88" s="1" t="n">
        <v>0.007170916</v>
      </c>
      <c r="I88" s="1" t="n">
        <v>0.00698781</v>
      </c>
      <c r="J88" s="1" t="n">
        <v>0.007474661</v>
      </c>
      <c r="K88" s="1" t="n">
        <v>0.00701499</v>
      </c>
      <c r="L88" s="1" t="n">
        <v>0.00681138</v>
      </c>
      <c r="M88" s="1" t="n">
        <v>0.007289648</v>
      </c>
      <c r="N88" s="1" t="n">
        <v>0.007127285</v>
      </c>
      <c r="O88" s="1" t="n">
        <v>0.00690484</v>
      </c>
      <c r="P88" s="1" t="n">
        <v>0.007260561</v>
      </c>
      <c r="R88" s="1" t="n">
        <f aca="false">PERCENTILE(G88:P88,0.9)</f>
        <v>0.0073081493</v>
      </c>
      <c r="S88" s="5" t="n">
        <f aca="false">spmv_1!R$18/R88</f>
        <v>10.6098993899865</v>
      </c>
      <c r="T88" s="6" t="n">
        <f aca="false">S88/16</f>
        <v>0.663118711874154</v>
      </c>
    </row>
    <row r="89" customFormat="false" ht="15" hidden="false" customHeight="false" outlineLevel="0" collapsed="false">
      <c r="A89" s="1" t="s">
        <v>19</v>
      </c>
      <c r="B89" s="1" t="n">
        <v>11</v>
      </c>
      <c r="D89" s="1" t="n">
        <v>2378110</v>
      </c>
      <c r="E89" s="1" t="n">
        <v>0.668683</v>
      </c>
      <c r="G89" s="1" t="n">
        <v>0.007359028</v>
      </c>
      <c r="H89" s="1" t="n">
        <v>0.007026911</v>
      </c>
      <c r="I89" s="1" t="n">
        <v>0.006927967</v>
      </c>
      <c r="J89" s="1" t="n">
        <v>0.007475615</v>
      </c>
      <c r="K89" s="1" t="n">
        <v>0.006976366</v>
      </c>
      <c r="L89" s="1" t="n">
        <v>0.006836414</v>
      </c>
      <c r="M89" s="1" t="n">
        <v>0.007206202</v>
      </c>
      <c r="N89" s="1" t="n">
        <v>0.007020712</v>
      </c>
      <c r="O89" s="1" t="n">
        <v>0.006948948</v>
      </c>
      <c r="P89" s="1" t="n">
        <v>0.007349968</v>
      </c>
      <c r="R89" s="1" t="n">
        <f aca="false">PERCENTILE(G89:P89,0.9)</f>
        <v>0.0073706867</v>
      </c>
      <c r="S89" s="5" t="n">
        <f aca="false">spmv_1!R$18/R89</f>
        <v>10.5198785345197</v>
      </c>
      <c r="T89" s="6" t="n">
        <f aca="false">S89/16</f>
        <v>0.657492408407483</v>
      </c>
    </row>
    <row r="90" customFormat="false" ht="15" hidden="false" customHeight="false" outlineLevel="0" collapsed="false">
      <c r="A90" s="1" t="s">
        <v>19</v>
      </c>
      <c r="B90" s="1" t="n">
        <v>12</v>
      </c>
      <c r="D90" s="1" t="n">
        <v>2326561</v>
      </c>
      <c r="E90" s="1" t="n">
        <v>0.668182</v>
      </c>
      <c r="G90" s="1" t="n">
        <v>0.00714016</v>
      </c>
      <c r="H90" s="1" t="n">
        <v>0.006923914</v>
      </c>
      <c r="I90" s="1" t="n">
        <v>0.006744862</v>
      </c>
      <c r="J90" s="1" t="n">
        <v>0.007308006</v>
      </c>
      <c r="K90" s="1" t="n">
        <v>0.006803274</v>
      </c>
      <c r="L90" s="1" t="n">
        <v>0.006775856</v>
      </c>
      <c r="M90" s="1" t="n">
        <v>0.007179737</v>
      </c>
      <c r="N90" s="1" t="n">
        <v>0.006944895</v>
      </c>
      <c r="O90" s="1" t="n">
        <v>0.006664276</v>
      </c>
      <c r="P90" s="1" t="n">
        <v>0.007153511</v>
      </c>
      <c r="R90" s="1" t="n">
        <f aca="false">PERCENTILE(G90:P90,0.9)</f>
        <v>0.0071925639</v>
      </c>
      <c r="S90" s="5" t="n">
        <f aca="false">spmv_1!R$18/R90</f>
        <v>10.7804017980292</v>
      </c>
      <c r="T90" s="6" t="n">
        <f aca="false">S90/16</f>
        <v>0.673775112376826</v>
      </c>
    </row>
    <row r="91" customFormat="false" ht="15" hidden="false" customHeight="false" outlineLevel="0" collapsed="false">
      <c r="A91" s="1" t="s">
        <v>19</v>
      </c>
      <c r="B91" s="1" t="n">
        <v>13</v>
      </c>
      <c r="D91" s="1" t="n">
        <v>2296349</v>
      </c>
      <c r="E91" s="1" t="n">
        <v>0.673603</v>
      </c>
      <c r="G91" s="1" t="n">
        <v>0.007059336</v>
      </c>
      <c r="H91" s="1" t="n">
        <v>0.006746531</v>
      </c>
      <c r="I91" s="1" t="n">
        <v>0.006668568</v>
      </c>
      <c r="J91" s="1" t="n">
        <v>0.007029772</v>
      </c>
      <c r="K91" s="1" t="n">
        <v>0.006710291</v>
      </c>
      <c r="L91" s="1" t="n">
        <v>0.006598711</v>
      </c>
      <c r="M91" s="1" t="n">
        <v>0.006967306</v>
      </c>
      <c r="N91" s="1" t="n">
        <v>0.006808996</v>
      </c>
      <c r="O91" s="1" t="n">
        <v>0.006611586</v>
      </c>
      <c r="P91" s="1" t="n">
        <v>0.006979942</v>
      </c>
      <c r="R91" s="1" t="n">
        <f aca="false">PERCENTILE(G91:P91,0.9)</f>
        <v>0.0070327284</v>
      </c>
      <c r="S91" s="5" t="n">
        <f aca="false">spmv_1!R$18/R91</f>
        <v>11.0254121003734</v>
      </c>
      <c r="T91" s="6" t="n">
        <f aca="false">S91/16</f>
        <v>0.689088256273341</v>
      </c>
    </row>
    <row r="92" customFormat="false" ht="15" hidden="false" customHeight="false" outlineLevel="0" collapsed="false">
      <c r="A92" s="1" t="s">
        <v>19</v>
      </c>
      <c r="B92" s="1" t="n">
        <v>14</v>
      </c>
      <c r="D92" s="1" t="n">
        <v>2286553</v>
      </c>
      <c r="E92" s="1" t="n">
        <v>0.690938</v>
      </c>
      <c r="G92" s="1" t="n">
        <v>0.006868362</v>
      </c>
      <c r="H92" s="1" t="n">
        <v>0.006611586</v>
      </c>
      <c r="I92" s="1" t="n">
        <v>0.006432772</v>
      </c>
      <c r="J92" s="1" t="n">
        <v>0.006819248</v>
      </c>
      <c r="K92" s="1" t="n">
        <v>0.006505251</v>
      </c>
      <c r="L92" s="1" t="n">
        <v>0.00646019</v>
      </c>
      <c r="M92" s="1" t="n">
        <v>0.006754637</v>
      </c>
      <c r="N92" s="1" t="n">
        <v>0.006614923</v>
      </c>
      <c r="O92" s="1" t="n">
        <v>0.006496906</v>
      </c>
      <c r="P92" s="1" t="n">
        <v>0.00662303</v>
      </c>
      <c r="R92" s="1" t="n">
        <f aca="false">PERCENTILE(G92:P92,0.9)</f>
        <v>0.0068241594</v>
      </c>
      <c r="S92" s="5" t="n">
        <f aca="false">spmv_1!R$18/R92</f>
        <v>11.3623853510808</v>
      </c>
      <c r="T92" s="6" t="n">
        <f aca="false">S92/16</f>
        <v>0.710149084442547</v>
      </c>
    </row>
    <row r="93" customFormat="false" ht="15" hidden="false" customHeight="false" outlineLevel="0" collapsed="false">
      <c r="A93" s="1" t="s">
        <v>19</v>
      </c>
      <c r="B93" s="1" t="n">
        <v>15</v>
      </c>
      <c r="D93" s="1" t="n">
        <v>2379648</v>
      </c>
      <c r="E93" s="1" t="n">
        <v>0.73761</v>
      </c>
      <c r="G93" s="1" t="n">
        <v>0.006642342</v>
      </c>
      <c r="H93" s="1" t="n">
        <v>0.006529093</v>
      </c>
      <c r="I93" s="1" t="n">
        <v>0.006344557</v>
      </c>
      <c r="J93" s="1" t="n">
        <v>0.006469965</v>
      </c>
      <c r="K93" s="1" t="n">
        <v>0.006352901</v>
      </c>
      <c r="L93" s="1" t="n">
        <v>0.00641346</v>
      </c>
      <c r="M93" s="1" t="n">
        <v>0.006435633</v>
      </c>
      <c r="N93" s="1" t="n">
        <v>0.006464958</v>
      </c>
      <c r="O93" s="1" t="n">
        <v>0.006409168</v>
      </c>
      <c r="P93" s="1" t="n">
        <v>0.006461143</v>
      </c>
      <c r="R93" s="1" t="n">
        <f aca="false">PERCENTILE(G93:P93,0.9)</f>
        <v>0.0065404179</v>
      </c>
      <c r="S93" s="5" t="n">
        <f aca="false">spmv_1!R$18/R93</f>
        <v>11.8553171961688</v>
      </c>
      <c r="T93" s="6" t="n">
        <f aca="false">S93/16</f>
        <v>0.740957324760548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93"/>
  <sheetViews>
    <sheetView showFormulas="false" showGridLines="true" showRowColHeaders="true" showZeros="true" rightToLeft="false" tabSelected="false" showOutlineSymbols="true" defaultGridColor="true" view="normal" topLeftCell="A64" colorId="64" zoomScale="100" zoomScaleNormal="100" zoomScalePageLayoutView="100" workbookViewId="0">
      <selection pane="topLeft" activeCell="W3" activeCellId="0" sqref="W3"/>
    </sheetView>
  </sheetViews>
  <sheetFormatPr defaultColWidth="8.6171875" defaultRowHeight="15" customHeight="true" zeroHeight="false" outlineLevelRow="0" outlineLevelCol="0"/>
  <cols>
    <col collapsed="false" customWidth="true" hidden="false" outlineLevel="0" max="1" min="1" style="1" width="13.34"/>
    <col collapsed="false" customWidth="true" hidden="false" outlineLevel="0" max="3" min="3" style="1" width="6.25"/>
    <col collapsed="false" customWidth="true" hidden="false" outlineLevel="0" max="5" min="4" style="1" width="13.34"/>
    <col collapsed="false" customWidth="true" hidden="false" outlineLevel="0" max="6" min="6" style="1" width="6.25"/>
    <col collapsed="false" customWidth="true" hidden="false" outlineLevel="0" max="16" min="7" style="1" width="13.34"/>
    <col collapsed="false" customWidth="true" hidden="false" outlineLevel="0" max="17" min="17" style="1" width="6.25"/>
    <col collapsed="false" customWidth="true" hidden="false" outlineLevel="0" max="18" min="18" style="1" width="13.34"/>
    <col collapsed="false" customWidth="true" hidden="false" outlineLevel="0" max="19" min="19" style="5" width="13.34"/>
    <col collapsed="false" customWidth="true" hidden="false" outlineLevel="0" max="20" min="20" style="6" width="13.34"/>
    <col collapsed="false" customWidth="true" hidden="false" outlineLevel="0" max="16384" min="16384" style="1" width="10.49"/>
  </cols>
  <sheetData>
    <row r="1" customFormat="false" ht="15" hidden="false" customHeight="false" outlineLevel="0" collapsed="false">
      <c r="A1" s="2" t="s">
        <v>0</v>
      </c>
      <c r="B1" s="2" t="s">
        <v>1</v>
      </c>
      <c r="C1" s="3"/>
      <c r="D1" s="2" t="s">
        <v>2</v>
      </c>
      <c r="E1" s="2" t="s">
        <v>3</v>
      </c>
      <c r="F1" s="3"/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R1" s="4" t="s">
        <v>14</v>
      </c>
      <c r="S1" s="7" t="s">
        <v>20</v>
      </c>
      <c r="T1" s="8" t="s">
        <v>21</v>
      </c>
    </row>
    <row r="2" customFormat="false" ht="15" hidden="false" customHeight="false" outlineLevel="0" collapsed="false">
      <c r="A2" s="1" t="s">
        <v>15</v>
      </c>
      <c r="B2" s="1" t="n">
        <v>0</v>
      </c>
      <c r="D2" s="1" t="n">
        <v>666452</v>
      </c>
      <c r="E2" s="1" t="n">
        <v>0.571876</v>
      </c>
      <c r="G2" s="1" t="n">
        <v>0.004678249</v>
      </c>
      <c r="H2" s="1" t="n">
        <v>0.002353191</v>
      </c>
      <c r="I2" s="1" t="n">
        <v>0.002062798</v>
      </c>
      <c r="J2" s="1" t="n">
        <v>0.00211072</v>
      </c>
      <c r="K2" s="1" t="n">
        <v>0.001976252</v>
      </c>
      <c r="L2" s="1" t="n">
        <v>0.002060175</v>
      </c>
      <c r="M2" s="1" t="n">
        <v>0.001992226</v>
      </c>
      <c r="N2" s="1" t="n">
        <v>0.002053499</v>
      </c>
      <c r="O2" s="1" t="n">
        <v>0.001980066</v>
      </c>
      <c r="P2" s="1" t="n">
        <v>0.002040386</v>
      </c>
      <c r="R2" s="1" t="n">
        <f aca="false">PERCENTILE(G2:P2,0.9)</f>
        <v>0.0025856968</v>
      </c>
      <c r="S2" s="5" t="n">
        <f aca="false">spmv_1!R$2/R2</f>
        <v>6.73831842929148</v>
      </c>
      <c r="T2" s="6" t="n">
        <f aca="false">S2/16</f>
        <v>0.421144901830717</v>
      </c>
    </row>
    <row r="3" customFormat="false" ht="15" hidden="false" customHeight="false" outlineLevel="0" collapsed="false">
      <c r="A3" s="1" t="s">
        <v>15</v>
      </c>
      <c r="B3" s="1" t="n">
        <v>1</v>
      </c>
      <c r="D3" s="1" t="n">
        <v>667346</v>
      </c>
      <c r="E3" s="1" t="n">
        <v>0.515337</v>
      </c>
      <c r="G3" s="1" t="n">
        <v>0.006998301</v>
      </c>
      <c r="H3" s="1" t="n">
        <v>0.002379894</v>
      </c>
      <c r="I3" s="1" t="n">
        <v>0.002121687</v>
      </c>
      <c r="J3" s="1" t="n">
        <v>0.002151966</v>
      </c>
      <c r="K3" s="1" t="n">
        <v>0.002021074</v>
      </c>
      <c r="L3" s="1" t="n">
        <v>0.002095461</v>
      </c>
      <c r="M3" s="1" t="n">
        <v>0.002018213</v>
      </c>
      <c r="N3" s="1" t="n">
        <v>0.002072334</v>
      </c>
      <c r="O3" s="1" t="n">
        <v>0.001994848</v>
      </c>
      <c r="P3" s="1" t="n">
        <v>0.002045631</v>
      </c>
      <c r="R3" s="1" t="n">
        <f aca="false">PERCENTILE(G3:P3,0.9)</f>
        <v>0.0028417347</v>
      </c>
      <c r="S3" s="5" t="n">
        <f aca="false">spmv_1!R$2/R3</f>
        <v>6.13120162131954</v>
      </c>
      <c r="T3" s="6" t="n">
        <f aca="false">S3/16</f>
        <v>0.383200101332472</v>
      </c>
    </row>
    <row r="4" customFormat="false" ht="15" hidden="false" customHeight="false" outlineLevel="0" collapsed="false">
      <c r="A4" s="1" t="s">
        <v>15</v>
      </c>
      <c r="B4" s="1" t="n">
        <v>2</v>
      </c>
      <c r="D4" s="1" t="n">
        <v>665088</v>
      </c>
      <c r="E4" s="1" t="n">
        <v>0.578319</v>
      </c>
      <c r="G4" s="1" t="n">
        <v>0.003622293</v>
      </c>
      <c r="H4" s="1" t="n">
        <v>0.002352476</v>
      </c>
      <c r="I4" s="1" t="n">
        <v>0.002210617</v>
      </c>
      <c r="J4" s="1" t="n">
        <v>0.002180099</v>
      </c>
      <c r="K4" s="1" t="n">
        <v>0.002111197</v>
      </c>
      <c r="L4" s="1" t="n">
        <v>0.002115011</v>
      </c>
      <c r="M4" s="1" t="n">
        <v>0.002114058</v>
      </c>
      <c r="N4" s="1" t="n">
        <v>0.002105713</v>
      </c>
      <c r="O4" s="1" t="n">
        <v>0.002103806</v>
      </c>
      <c r="P4" s="1" t="n">
        <v>0.002085447</v>
      </c>
      <c r="R4" s="1" t="n">
        <f aca="false">PERCENTILE(G4:P4,0.9)</f>
        <v>0.0024794577</v>
      </c>
      <c r="S4" s="5" t="n">
        <f aca="false">spmv_1!R$2/R4</f>
        <v>7.02703998539681</v>
      </c>
      <c r="T4" s="6" t="n">
        <f aca="false">S4/16</f>
        <v>0.4391899990873</v>
      </c>
    </row>
    <row r="5" customFormat="false" ht="15" hidden="false" customHeight="false" outlineLevel="0" collapsed="false">
      <c r="A5" s="1" t="s">
        <v>15</v>
      </c>
      <c r="B5" s="1" t="n">
        <v>3</v>
      </c>
      <c r="D5" s="1" t="n">
        <v>663375</v>
      </c>
      <c r="E5" s="1" t="n">
        <v>0.60558</v>
      </c>
      <c r="G5" s="1" t="n">
        <v>0.003209114</v>
      </c>
      <c r="H5" s="1" t="n">
        <v>0.002287149</v>
      </c>
      <c r="I5" s="1" t="n">
        <v>0.002123594</v>
      </c>
      <c r="J5" s="1" t="n">
        <v>0.002118587</v>
      </c>
      <c r="K5" s="1" t="n">
        <v>0.002026558</v>
      </c>
      <c r="L5" s="1" t="n">
        <v>0.002058744</v>
      </c>
      <c r="M5" s="1" t="n">
        <v>0.002017021</v>
      </c>
      <c r="N5" s="1" t="n">
        <v>0.002021551</v>
      </c>
      <c r="O5" s="1" t="n">
        <v>0.002021551</v>
      </c>
      <c r="P5" s="1" t="n">
        <v>0.002024889</v>
      </c>
      <c r="R5" s="1" t="n">
        <f aca="false">PERCENTILE(G5:P5,0.9)</f>
        <v>0.0023793455</v>
      </c>
      <c r="S5" s="5" t="n">
        <f aca="false">spmv_1!R$2/R5</f>
        <v>7.32270634928807</v>
      </c>
      <c r="T5" s="6" t="n">
        <f aca="false">S5/16</f>
        <v>0.457669146830504</v>
      </c>
    </row>
    <row r="6" customFormat="false" ht="15" hidden="false" customHeight="false" outlineLevel="0" collapsed="false">
      <c r="A6" s="1" t="s">
        <v>15</v>
      </c>
      <c r="B6" s="1" t="n">
        <v>4</v>
      </c>
      <c r="D6" s="1" t="n">
        <v>662698</v>
      </c>
      <c r="E6" s="1" t="n">
        <v>0.605759</v>
      </c>
      <c r="G6" s="1" t="n">
        <v>0.00364852</v>
      </c>
      <c r="H6" s="1" t="n">
        <v>0.00225091</v>
      </c>
      <c r="I6" s="1" t="n">
        <v>0.0020926</v>
      </c>
      <c r="J6" s="1" t="n">
        <v>0.002036572</v>
      </c>
      <c r="K6" s="1" t="n">
        <v>0.001964331</v>
      </c>
      <c r="L6" s="1" t="n">
        <v>0.001987457</v>
      </c>
      <c r="M6" s="1" t="n">
        <v>0.00197649</v>
      </c>
      <c r="N6" s="1" t="n">
        <v>0.001979351</v>
      </c>
      <c r="O6" s="1" t="n">
        <v>0.001970053</v>
      </c>
      <c r="P6" s="1" t="n">
        <v>0.001973629</v>
      </c>
      <c r="R6" s="1" t="n">
        <f aca="false">PERCENTILE(G6:P6,0.9)</f>
        <v>0.002390671</v>
      </c>
      <c r="S6" s="5" t="n">
        <f aca="false">spmv_1!R$2/R6</f>
        <v>7.28801595869946</v>
      </c>
      <c r="T6" s="6" t="n">
        <f aca="false">S6/16</f>
        <v>0.455500997418716</v>
      </c>
    </row>
    <row r="7" customFormat="false" ht="15" hidden="false" customHeight="false" outlineLevel="0" collapsed="false">
      <c r="A7" s="1" t="s">
        <v>15</v>
      </c>
      <c r="B7" s="1" t="n">
        <v>5</v>
      </c>
      <c r="D7" s="1" t="n">
        <v>665594</v>
      </c>
      <c r="E7" s="1" t="n">
        <v>0.617217</v>
      </c>
      <c r="G7" s="1" t="n">
        <v>0.003391027</v>
      </c>
      <c r="H7" s="1" t="n">
        <v>0.002202511</v>
      </c>
      <c r="I7" s="1" t="n">
        <v>0.002055883</v>
      </c>
      <c r="J7" s="1" t="n">
        <v>0.002042294</v>
      </c>
      <c r="K7" s="1" t="n">
        <v>0.00197506</v>
      </c>
      <c r="L7" s="1" t="n">
        <v>0.001976252</v>
      </c>
      <c r="M7" s="1" t="n">
        <v>0.001963139</v>
      </c>
      <c r="N7" s="1" t="n">
        <v>0.001974106</v>
      </c>
      <c r="O7" s="1" t="n">
        <v>0.001999617</v>
      </c>
      <c r="P7" s="1" t="n">
        <v>0.001987696</v>
      </c>
      <c r="R7" s="1" t="n">
        <f aca="false">PERCENTILE(G7:P7,0.9)</f>
        <v>0.0023213626</v>
      </c>
      <c r="S7" s="5" t="n">
        <f aca="false">spmv_1!R$2/R7</f>
        <v>7.50561260873248</v>
      </c>
      <c r="T7" s="6" t="n">
        <f aca="false">S7/16</f>
        <v>0.46910078804578</v>
      </c>
    </row>
    <row r="8" customFormat="false" ht="15" hidden="false" customHeight="false" outlineLevel="0" collapsed="false">
      <c r="A8" s="1" t="s">
        <v>15</v>
      </c>
      <c r="B8" s="1" t="n">
        <v>6</v>
      </c>
      <c r="D8" s="1" t="n">
        <v>665712</v>
      </c>
      <c r="E8" s="1" t="n">
        <v>0.604274</v>
      </c>
      <c r="G8" s="1" t="n">
        <v>0.004482985</v>
      </c>
      <c r="H8" s="1" t="n">
        <v>0.002138615</v>
      </c>
      <c r="I8" s="1" t="n">
        <v>0.001986027</v>
      </c>
      <c r="J8" s="1" t="n">
        <v>0.00195241</v>
      </c>
      <c r="K8" s="1" t="n">
        <v>0.001884222</v>
      </c>
      <c r="L8" s="1" t="n">
        <v>0.001928806</v>
      </c>
      <c r="M8" s="1" t="n">
        <v>0.001914978</v>
      </c>
      <c r="N8" s="1" t="n">
        <v>0.001908064</v>
      </c>
      <c r="O8" s="1" t="n">
        <v>0.001915693</v>
      </c>
      <c r="P8" s="1" t="n">
        <v>0.001921654</v>
      </c>
      <c r="R8" s="1" t="n">
        <f aca="false">PERCENTILE(G8:P8,0.9)</f>
        <v>0.002373052</v>
      </c>
      <c r="S8" s="5" t="n">
        <f aca="false">spmv_1!R$2/R8</f>
        <v>7.3421266790614</v>
      </c>
      <c r="T8" s="6" t="n">
        <f aca="false">S8/16</f>
        <v>0.458882917441337</v>
      </c>
    </row>
    <row r="9" customFormat="false" ht="15" hidden="false" customHeight="false" outlineLevel="0" collapsed="false">
      <c r="A9" s="1" t="s">
        <v>15</v>
      </c>
      <c r="B9" s="1" t="n">
        <v>7</v>
      </c>
      <c r="D9" s="1" t="n">
        <v>666565</v>
      </c>
      <c r="E9" s="1" t="n">
        <v>0.671682</v>
      </c>
      <c r="G9" s="1" t="n">
        <v>0.002758265</v>
      </c>
      <c r="H9" s="1" t="n">
        <v>0.002070189</v>
      </c>
      <c r="I9" s="1" t="n">
        <v>0.001944065</v>
      </c>
      <c r="J9" s="1" t="n">
        <v>0.00191617</v>
      </c>
      <c r="K9" s="1" t="n">
        <v>0.001847506</v>
      </c>
      <c r="L9" s="1" t="n">
        <v>0.001879215</v>
      </c>
      <c r="M9" s="1" t="n">
        <v>0.001859665</v>
      </c>
      <c r="N9" s="1" t="n">
        <v>0.001844168</v>
      </c>
      <c r="O9" s="1" t="n">
        <v>0.001859665</v>
      </c>
      <c r="P9" s="1" t="n">
        <v>0.001868725</v>
      </c>
      <c r="R9" s="1" t="n">
        <f aca="false">PERCENTILE(G9:P9,0.9)</f>
        <v>0.0021389966</v>
      </c>
      <c r="S9" s="5" t="n">
        <f aca="false">spmv_1!R$2/R9</f>
        <v>8.14552412098271</v>
      </c>
      <c r="T9" s="6" t="n">
        <f aca="false">S9/16</f>
        <v>0.509095257561419</v>
      </c>
    </row>
    <row r="10" customFormat="false" ht="15" hidden="false" customHeight="false" outlineLevel="0" collapsed="false">
      <c r="A10" s="1" t="s">
        <v>15</v>
      </c>
      <c r="B10" s="1" t="n">
        <v>8</v>
      </c>
      <c r="D10" s="1" t="n">
        <v>663192</v>
      </c>
      <c r="E10" s="1" t="n">
        <v>0.528782</v>
      </c>
      <c r="G10" s="1" t="n">
        <v>0.003523111</v>
      </c>
      <c r="H10" s="1" t="n">
        <v>0.002571344</v>
      </c>
      <c r="I10" s="1" t="n">
        <v>0.002551079</v>
      </c>
      <c r="J10" s="1" t="n">
        <v>0.002466917</v>
      </c>
      <c r="K10" s="1" t="n">
        <v>0.002370596</v>
      </c>
      <c r="L10" s="1" t="n">
        <v>0.002309561</v>
      </c>
      <c r="M10" s="1" t="n">
        <v>0.002413988</v>
      </c>
      <c r="N10" s="1" t="n">
        <v>0.002338886</v>
      </c>
      <c r="O10" s="1" t="n">
        <v>0.002256393</v>
      </c>
      <c r="P10" s="1" t="n">
        <v>0.002281904</v>
      </c>
      <c r="R10" s="1" t="n">
        <f aca="false">PERCENTILE(G10:P10,0.9)</f>
        <v>0.0026665207</v>
      </c>
      <c r="S10" s="5" t="n">
        <f aca="false">spmv_1!R$2/R10</f>
        <v>6.53407580897459</v>
      </c>
      <c r="T10" s="6" t="n">
        <f aca="false">S10/16</f>
        <v>0.408379738060912</v>
      </c>
    </row>
    <row r="11" customFormat="false" ht="15" hidden="false" customHeight="false" outlineLevel="0" collapsed="false">
      <c r="A11" s="1" t="s">
        <v>15</v>
      </c>
      <c r="B11" s="1" t="n">
        <v>9</v>
      </c>
      <c r="D11" s="1" t="n">
        <v>664738</v>
      </c>
      <c r="E11" s="1" t="n">
        <v>0.538433</v>
      </c>
      <c r="G11" s="1" t="n">
        <v>0.003499985</v>
      </c>
      <c r="H11" s="1" t="n">
        <v>0.002536058</v>
      </c>
      <c r="I11" s="1" t="n">
        <v>0.00252986</v>
      </c>
      <c r="J11" s="1" t="n">
        <v>0.002428293</v>
      </c>
      <c r="K11" s="1" t="n">
        <v>0.002323866</v>
      </c>
      <c r="L11" s="1" t="n">
        <v>0.002266169</v>
      </c>
      <c r="M11" s="1" t="n">
        <v>0.002357006</v>
      </c>
      <c r="N11" s="1" t="n">
        <v>0.00229454</v>
      </c>
      <c r="O11" s="1" t="n">
        <v>0.002214193</v>
      </c>
      <c r="P11" s="1" t="n">
        <v>0.002241611</v>
      </c>
      <c r="R11" s="1" t="n">
        <f aca="false">PERCENTILE(G11:P11,0.9)</f>
        <v>0.0026324507</v>
      </c>
      <c r="S11" s="5" t="n">
        <f aca="false">spmv_1!R$2/R11</f>
        <v>6.61864186098528</v>
      </c>
      <c r="T11" s="6" t="n">
        <f aca="false">S11/16</f>
        <v>0.41366511631158</v>
      </c>
    </row>
    <row r="12" customFormat="false" ht="15" hidden="false" customHeight="false" outlineLevel="0" collapsed="false">
      <c r="A12" s="1" t="s">
        <v>15</v>
      </c>
      <c r="B12" s="1" t="n">
        <v>10</v>
      </c>
      <c r="D12" s="1" t="n">
        <v>664591</v>
      </c>
      <c r="E12" s="1" t="n">
        <v>0.624866</v>
      </c>
      <c r="G12" s="1" t="n">
        <v>0.003163338</v>
      </c>
      <c r="H12" s="1" t="n">
        <v>0.002377033</v>
      </c>
      <c r="I12" s="1" t="n">
        <v>0.002188206</v>
      </c>
      <c r="J12" s="1" t="n">
        <v>0.002065897</v>
      </c>
      <c r="K12" s="1" t="n">
        <v>0.001962662</v>
      </c>
      <c r="L12" s="1" t="n">
        <v>0.001893282</v>
      </c>
      <c r="M12" s="1" t="n">
        <v>0.001963377</v>
      </c>
      <c r="N12" s="1" t="n">
        <v>0.001872301</v>
      </c>
      <c r="O12" s="1" t="n">
        <v>0.001883745</v>
      </c>
      <c r="P12" s="1" t="n">
        <v>0.001901627</v>
      </c>
      <c r="R12" s="1" t="n">
        <f aca="false">PERCENTILE(G12:P12,0.9)</f>
        <v>0.0024556635</v>
      </c>
      <c r="S12" s="5" t="n">
        <f aca="false">spmv_1!R$2/R12</f>
        <v>7.09512862816913</v>
      </c>
      <c r="T12" s="6" t="n">
        <f aca="false">S12/16</f>
        <v>0.44344553926057</v>
      </c>
    </row>
    <row r="13" customFormat="false" ht="15" hidden="false" customHeight="false" outlineLevel="0" collapsed="false">
      <c r="A13" s="1" t="s">
        <v>15</v>
      </c>
      <c r="B13" s="1" t="n">
        <v>11</v>
      </c>
      <c r="D13" s="1" t="n">
        <v>667685</v>
      </c>
      <c r="E13" s="1" t="n">
        <v>0.559183</v>
      </c>
      <c r="G13" s="1" t="n">
        <v>0.003382683</v>
      </c>
      <c r="H13" s="1" t="n">
        <v>0.002465963</v>
      </c>
      <c r="I13" s="1" t="n">
        <v>0.002432823</v>
      </c>
      <c r="J13" s="1" t="n">
        <v>0.002359867</v>
      </c>
      <c r="K13" s="1" t="n">
        <v>0.002256393</v>
      </c>
      <c r="L13" s="1" t="n">
        <v>0.002187252</v>
      </c>
      <c r="M13" s="1" t="n">
        <v>0.002286434</v>
      </c>
      <c r="N13" s="1" t="n">
        <v>0.002203703</v>
      </c>
      <c r="O13" s="1" t="n">
        <v>0.002153635</v>
      </c>
      <c r="P13" s="1" t="n">
        <v>0.002151966</v>
      </c>
      <c r="R13" s="1" t="n">
        <f aca="false">PERCENTILE(G13:P13,0.9)</f>
        <v>0.002557635</v>
      </c>
      <c r="S13" s="5" t="n">
        <f aca="false">spmv_1!R$2/R13</f>
        <v>6.81224975416742</v>
      </c>
      <c r="T13" s="6" t="n">
        <f aca="false">S13/16</f>
        <v>0.425765609635464</v>
      </c>
    </row>
    <row r="14" customFormat="false" ht="15" hidden="false" customHeight="false" outlineLevel="0" collapsed="false">
      <c r="A14" s="1" t="s">
        <v>15</v>
      </c>
      <c r="B14" s="1" t="n">
        <v>12</v>
      </c>
      <c r="D14" s="1" t="n">
        <v>666457</v>
      </c>
      <c r="E14" s="1" t="n">
        <v>0.645676</v>
      </c>
      <c r="G14" s="1" t="n">
        <v>0.003089666</v>
      </c>
      <c r="H14" s="1" t="n">
        <v>0.002347708</v>
      </c>
      <c r="I14" s="1" t="n">
        <v>0.002135277</v>
      </c>
      <c r="J14" s="1" t="n">
        <v>0.00197649</v>
      </c>
      <c r="K14" s="1" t="n">
        <v>0.001880407</v>
      </c>
      <c r="L14" s="1" t="n">
        <v>0.001842022</v>
      </c>
      <c r="M14" s="1" t="n">
        <v>0.001900196</v>
      </c>
      <c r="N14" s="1" t="n">
        <v>0.001822233</v>
      </c>
      <c r="O14" s="1" t="n">
        <v>0.001827717</v>
      </c>
      <c r="P14" s="1" t="n">
        <v>0.001821995</v>
      </c>
      <c r="R14" s="1" t="n">
        <f aca="false">PERCENTILE(G14:P14,0.9)</f>
        <v>0.0024219038</v>
      </c>
      <c r="S14" s="5" t="n">
        <f aca="false">spmv_1!R$2/R14</f>
        <v>7.19402991976808</v>
      </c>
      <c r="T14" s="6" t="n">
        <f aca="false">S14/16</f>
        <v>0.449626869985505</v>
      </c>
    </row>
    <row r="15" customFormat="false" ht="15" hidden="false" customHeight="false" outlineLevel="0" collapsed="false">
      <c r="A15" s="1" t="s">
        <v>15</v>
      </c>
      <c r="B15" s="1" t="n">
        <v>13</v>
      </c>
      <c r="D15" s="1" t="n">
        <v>665826</v>
      </c>
      <c r="E15" s="1" t="n">
        <v>0.668576</v>
      </c>
      <c r="G15" s="1" t="n">
        <v>0.003022909</v>
      </c>
      <c r="H15" s="1" t="n">
        <v>0.00229311</v>
      </c>
      <c r="I15" s="1" t="n">
        <v>0.002070427</v>
      </c>
      <c r="J15" s="1" t="n">
        <v>0.001880884</v>
      </c>
      <c r="K15" s="1" t="n">
        <v>0.001826525</v>
      </c>
      <c r="L15" s="1" t="n">
        <v>0.00178504</v>
      </c>
      <c r="M15" s="1" t="n">
        <v>0.001822948</v>
      </c>
      <c r="N15" s="1" t="n">
        <v>0.001740456</v>
      </c>
      <c r="O15" s="1" t="n">
        <v>0.001733065</v>
      </c>
      <c r="P15" s="1" t="n">
        <v>0.001742363</v>
      </c>
      <c r="R15" s="1" t="n">
        <f aca="false">PERCENTILE(G15:P15,0.9)</f>
        <v>0.0023660899</v>
      </c>
      <c r="S15" s="5" t="n">
        <f aca="false">spmv_1!R$2/R15</f>
        <v>7.36373051590305</v>
      </c>
      <c r="T15" s="6" t="n">
        <f aca="false">S15/16</f>
        <v>0.460233157243941</v>
      </c>
    </row>
    <row r="16" customFormat="false" ht="15" hidden="false" customHeight="false" outlineLevel="0" collapsed="false">
      <c r="A16" s="1" t="s">
        <v>15</v>
      </c>
      <c r="B16" s="1" t="n">
        <v>14</v>
      </c>
      <c r="D16" s="1" t="n">
        <v>663662</v>
      </c>
      <c r="E16" s="1" t="n">
        <v>0.589109</v>
      </c>
      <c r="G16" s="1" t="n">
        <v>0.003201246</v>
      </c>
      <c r="H16" s="1" t="n">
        <v>0.002326012</v>
      </c>
      <c r="I16" s="1" t="n">
        <v>0.002296448</v>
      </c>
      <c r="J16" s="1" t="n">
        <v>0.002189159</v>
      </c>
      <c r="K16" s="1" t="n">
        <v>0.002114773</v>
      </c>
      <c r="L16" s="1" t="n">
        <v>0.002089977</v>
      </c>
      <c r="M16" s="1" t="n">
        <v>0.002161503</v>
      </c>
      <c r="N16" s="1" t="n">
        <v>0.002104282</v>
      </c>
      <c r="O16" s="1" t="n">
        <v>0.002031565</v>
      </c>
      <c r="P16" s="1" t="n">
        <v>0.002016068</v>
      </c>
      <c r="R16" s="1" t="n">
        <f aca="false">PERCENTILE(G16:P16,0.9)</f>
        <v>0.0024135354</v>
      </c>
      <c r="S16" s="5" t="n">
        <f aca="false">spmv_1!R$2/R16</f>
        <v>7.21897362682147</v>
      </c>
      <c r="T16" s="6" t="n">
        <f aca="false">S16/16</f>
        <v>0.451185851676342</v>
      </c>
    </row>
    <row r="17" customFormat="false" ht="15" hidden="false" customHeight="false" outlineLevel="0" collapsed="false">
      <c r="A17" s="1" t="s">
        <v>15</v>
      </c>
      <c r="B17" s="1" t="n">
        <v>15</v>
      </c>
      <c r="D17" s="1" t="n">
        <v>665021</v>
      </c>
      <c r="E17" s="1" t="n">
        <v>0.747832</v>
      </c>
      <c r="G17" s="1" t="n">
        <v>0.002658129</v>
      </c>
      <c r="H17" s="1" t="n">
        <v>0.001827955</v>
      </c>
      <c r="I17" s="1" t="n">
        <v>0.001818419</v>
      </c>
      <c r="J17" s="1" t="n">
        <v>0.001682043</v>
      </c>
      <c r="K17" s="1" t="n">
        <v>0.001667023</v>
      </c>
      <c r="L17" s="1" t="n">
        <v>0.001661062</v>
      </c>
      <c r="M17" s="1" t="n">
        <v>0.001664639</v>
      </c>
      <c r="N17" s="1" t="n">
        <v>0.001608849</v>
      </c>
      <c r="O17" s="1" t="n">
        <v>0.001597881</v>
      </c>
      <c r="P17" s="1" t="n">
        <v>0.001599312</v>
      </c>
      <c r="R17" s="1" t="n">
        <f aca="false">PERCENTILE(G17:P17,0.9)</f>
        <v>0.0019109724</v>
      </c>
      <c r="S17" s="5" t="n">
        <f aca="false">spmv_1!R$2/R17</f>
        <v>9.11747778251533</v>
      </c>
      <c r="T17" s="6" t="n">
        <f aca="false">S17/16</f>
        <v>0.569842361407208</v>
      </c>
    </row>
    <row r="20" customFormat="false" ht="15" hidden="false" customHeight="false" outlineLevel="0" collapsed="false">
      <c r="A20" s="2" t="s">
        <v>0</v>
      </c>
      <c r="B20" s="2" t="s">
        <v>1</v>
      </c>
      <c r="C20" s="3"/>
      <c r="D20" s="2" t="s">
        <v>2</v>
      </c>
      <c r="E20" s="2" t="s">
        <v>3</v>
      </c>
      <c r="F20" s="3"/>
      <c r="G20" s="2" t="s">
        <v>4</v>
      </c>
      <c r="H20" s="2" t="s">
        <v>5</v>
      </c>
      <c r="I20" s="2" t="s">
        <v>6</v>
      </c>
      <c r="J20" s="2" t="s">
        <v>7</v>
      </c>
      <c r="K20" s="2" t="s">
        <v>8</v>
      </c>
      <c r="L20" s="2" t="s">
        <v>9</v>
      </c>
      <c r="M20" s="2" t="s">
        <v>10</v>
      </c>
      <c r="N20" s="2" t="s">
        <v>11</v>
      </c>
      <c r="O20" s="2" t="s">
        <v>12</v>
      </c>
      <c r="P20" s="2" t="s">
        <v>13</v>
      </c>
      <c r="R20" s="4" t="s">
        <v>14</v>
      </c>
      <c r="S20" s="7" t="s">
        <v>20</v>
      </c>
      <c r="T20" s="8" t="s">
        <v>21</v>
      </c>
    </row>
    <row r="21" customFormat="false" ht="15" hidden="false" customHeight="false" outlineLevel="0" collapsed="false">
      <c r="A21" s="1" t="s">
        <v>16</v>
      </c>
      <c r="B21" s="1" t="n">
        <v>0</v>
      </c>
      <c r="D21" s="1" t="n">
        <v>6930698</v>
      </c>
      <c r="E21" s="1" t="n">
        <v>0.537631</v>
      </c>
      <c r="G21" s="1" t="n">
        <v>0.026629448</v>
      </c>
      <c r="H21" s="1" t="n">
        <v>0.027374744</v>
      </c>
      <c r="I21" s="1" t="n">
        <v>0.027020693</v>
      </c>
      <c r="J21" s="1" t="n">
        <v>0.026025057</v>
      </c>
      <c r="K21" s="1" t="n">
        <v>0.02544117</v>
      </c>
      <c r="L21" s="1" t="n">
        <v>0.025626183</v>
      </c>
      <c r="M21" s="1" t="n">
        <v>0.024625301</v>
      </c>
      <c r="N21" s="1" t="n">
        <v>0.025496244</v>
      </c>
      <c r="O21" s="1" t="n">
        <v>0.025043249</v>
      </c>
      <c r="P21" s="1" t="n">
        <v>0.024541378</v>
      </c>
      <c r="R21" s="1" t="n">
        <f aca="false">PERCENTILE(G21:P21,0.9)</f>
        <v>0.0270560981</v>
      </c>
      <c r="S21" s="5" t="n">
        <f aca="false">spmv_1!R$6/R21</f>
        <v>6.21799233497013</v>
      </c>
      <c r="T21" s="6" t="n">
        <f aca="false">S21/16</f>
        <v>0.388624520935633</v>
      </c>
    </row>
    <row r="22" customFormat="false" ht="15" hidden="false" customHeight="false" outlineLevel="0" collapsed="false">
      <c r="A22" s="1" t="s">
        <v>16</v>
      </c>
      <c r="B22" s="1" t="n">
        <v>1</v>
      </c>
      <c r="D22" s="1" t="n">
        <v>6930722</v>
      </c>
      <c r="E22" s="1" t="n">
        <v>0.534968</v>
      </c>
      <c r="G22" s="1" t="n">
        <v>0.026901245</v>
      </c>
      <c r="H22" s="1" t="n">
        <v>0.027281523</v>
      </c>
      <c r="I22" s="1" t="n">
        <v>0.027101278</v>
      </c>
      <c r="J22" s="1" t="n">
        <v>0.026138783</v>
      </c>
      <c r="K22" s="1" t="n">
        <v>0.025616407</v>
      </c>
      <c r="L22" s="1" t="n">
        <v>0.025712252</v>
      </c>
      <c r="M22" s="1" t="n">
        <v>0.02482748</v>
      </c>
      <c r="N22" s="1" t="n">
        <v>0.025489807</v>
      </c>
      <c r="O22" s="1" t="n">
        <v>0.025339127</v>
      </c>
      <c r="P22" s="1" t="n">
        <v>0.024700165</v>
      </c>
      <c r="R22" s="1" t="n">
        <f aca="false">PERCENTILE(G22:P22,0.9)</f>
        <v>0.0271193025</v>
      </c>
      <c r="S22" s="5" t="n">
        <f aca="false">spmv_1!R$6/R22</f>
        <v>6.20350064681789</v>
      </c>
      <c r="T22" s="6" t="n">
        <f aca="false">S22/16</f>
        <v>0.387718790426118</v>
      </c>
    </row>
    <row r="23" customFormat="false" ht="15" hidden="false" customHeight="false" outlineLevel="0" collapsed="false">
      <c r="A23" s="1" t="s">
        <v>16</v>
      </c>
      <c r="B23" s="1" t="n">
        <v>2</v>
      </c>
      <c r="D23" s="1" t="n">
        <v>6929254</v>
      </c>
      <c r="E23" s="1" t="n">
        <v>0.532494</v>
      </c>
      <c r="G23" s="1" t="n">
        <v>0.026913643</v>
      </c>
      <c r="H23" s="1" t="n">
        <v>0.027362585</v>
      </c>
      <c r="I23" s="1" t="n">
        <v>0.027256012</v>
      </c>
      <c r="J23" s="1" t="n">
        <v>0.026221514</v>
      </c>
      <c r="K23" s="1" t="n">
        <v>0.025821447</v>
      </c>
      <c r="L23" s="1" t="n">
        <v>0.025673866</v>
      </c>
      <c r="M23" s="1" t="n">
        <v>0.024930239</v>
      </c>
      <c r="N23" s="1" t="n">
        <v>0.025813341</v>
      </c>
      <c r="O23" s="1" t="n">
        <v>0.025361538</v>
      </c>
      <c r="P23" s="1" t="n">
        <v>0.024902582</v>
      </c>
      <c r="R23" s="1" t="n">
        <f aca="false">PERCENTILE(G23:P23,0.9)</f>
        <v>0.0272666693</v>
      </c>
      <c r="S23" s="5" t="n">
        <f aca="false">spmv_1!R$6/R23</f>
        <v>6.16997289800995</v>
      </c>
      <c r="T23" s="6" t="n">
        <f aca="false">S23/16</f>
        <v>0.385623306125622</v>
      </c>
    </row>
    <row r="24" customFormat="false" ht="15" hidden="false" customHeight="false" outlineLevel="0" collapsed="false">
      <c r="A24" s="1" t="s">
        <v>16</v>
      </c>
      <c r="B24" s="1" t="n">
        <v>3</v>
      </c>
      <c r="D24" s="1" t="n">
        <v>6929236</v>
      </c>
      <c r="E24" s="1" t="n">
        <v>0.55171</v>
      </c>
      <c r="G24" s="1" t="n">
        <v>0.025847197</v>
      </c>
      <c r="H24" s="1" t="n">
        <v>0.026570082</v>
      </c>
      <c r="I24" s="1" t="n">
        <v>0.026399136</v>
      </c>
      <c r="J24" s="1" t="n">
        <v>0.025259018</v>
      </c>
      <c r="K24" s="1" t="n">
        <v>0.025104523</v>
      </c>
      <c r="L24" s="1" t="n">
        <v>0.024794102</v>
      </c>
      <c r="M24" s="1" t="n">
        <v>0.024228096</v>
      </c>
      <c r="N24" s="1" t="n">
        <v>0.024763823</v>
      </c>
      <c r="O24" s="1" t="n">
        <v>0.024196625</v>
      </c>
      <c r="P24" s="1" t="n">
        <v>0.02402854</v>
      </c>
      <c r="R24" s="1" t="n">
        <f aca="false">PERCENTILE(G24:P24,0.9)</f>
        <v>0.0264162306</v>
      </c>
      <c r="S24" s="5" t="n">
        <f aca="false">spmv_1!R$6/R24</f>
        <v>6.36860773769896</v>
      </c>
      <c r="T24" s="6" t="n">
        <f aca="false">S24/16</f>
        <v>0.398037983606185</v>
      </c>
    </row>
    <row r="25" customFormat="false" ht="15" hidden="false" customHeight="false" outlineLevel="0" collapsed="false">
      <c r="A25" s="1" t="s">
        <v>16</v>
      </c>
      <c r="B25" s="1" t="n">
        <v>4</v>
      </c>
      <c r="D25" s="1" t="n">
        <v>6928044</v>
      </c>
      <c r="E25" s="1" t="n">
        <v>0.568932</v>
      </c>
      <c r="G25" s="1" t="n">
        <v>0.025214911</v>
      </c>
      <c r="H25" s="1" t="n">
        <v>0.025974274</v>
      </c>
      <c r="I25" s="1" t="n">
        <v>0.025475979</v>
      </c>
      <c r="J25" s="1" t="n">
        <v>0.024556875</v>
      </c>
      <c r="K25" s="1" t="n">
        <v>0.024325132</v>
      </c>
      <c r="L25" s="1" t="n">
        <v>0.024059057</v>
      </c>
      <c r="M25" s="1" t="n">
        <v>0.023238182</v>
      </c>
      <c r="N25" s="1" t="n">
        <v>0.02402854</v>
      </c>
      <c r="O25" s="1" t="n">
        <v>0.0234375</v>
      </c>
      <c r="P25" s="1" t="n">
        <v>0.023235321</v>
      </c>
      <c r="R25" s="1" t="n">
        <f aca="false">PERCENTILE(G25:P25,0.9)</f>
        <v>0.0255258085</v>
      </c>
      <c r="S25" s="5" t="n">
        <f aca="false">spmv_1!R$6/R25</f>
        <v>6.5907652092587</v>
      </c>
      <c r="T25" s="6" t="n">
        <f aca="false">S25/16</f>
        <v>0.411922825578669</v>
      </c>
    </row>
    <row r="26" customFormat="false" ht="15" hidden="false" customHeight="false" outlineLevel="0" collapsed="false">
      <c r="A26" s="1" t="s">
        <v>16</v>
      </c>
      <c r="B26" s="1" t="n">
        <v>5</v>
      </c>
      <c r="D26" s="1" t="n">
        <v>6928026</v>
      </c>
      <c r="E26" s="1" t="n">
        <v>0.587641</v>
      </c>
      <c r="G26" s="1" t="n">
        <v>0.024461031</v>
      </c>
      <c r="H26" s="1" t="n">
        <v>0.024668694</v>
      </c>
      <c r="I26" s="1" t="n">
        <v>0.024715185</v>
      </c>
      <c r="J26" s="1" t="n">
        <v>0.023771524</v>
      </c>
      <c r="K26" s="1" t="n">
        <v>0.023467779</v>
      </c>
      <c r="L26" s="1" t="n">
        <v>0.023290396</v>
      </c>
      <c r="M26" s="1" t="n">
        <v>0.022686958</v>
      </c>
      <c r="N26" s="1" t="n">
        <v>0.023333788</v>
      </c>
      <c r="O26" s="1" t="n">
        <v>0.022830009</v>
      </c>
      <c r="P26" s="1" t="n">
        <v>0.022565842</v>
      </c>
      <c r="R26" s="1" t="n">
        <f aca="false">PERCENTILE(G26:P26,0.9)</f>
        <v>0.0246733431</v>
      </c>
      <c r="S26" s="5" t="n">
        <f aca="false">spmv_1!R$6/R26</f>
        <v>6.81847652011129</v>
      </c>
      <c r="T26" s="6" t="n">
        <f aca="false">S26/16</f>
        <v>0.426154782506956</v>
      </c>
    </row>
    <row r="27" customFormat="false" ht="15" hidden="false" customHeight="false" outlineLevel="0" collapsed="false">
      <c r="A27" s="1" t="s">
        <v>16</v>
      </c>
      <c r="B27" s="1" t="n">
        <v>6</v>
      </c>
      <c r="D27" s="1" t="n">
        <v>6929656</v>
      </c>
      <c r="E27" s="1" t="n">
        <v>0.582636</v>
      </c>
      <c r="G27" s="1" t="n">
        <v>0.025199175</v>
      </c>
      <c r="H27" s="1" t="n">
        <v>0.024124384</v>
      </c>
      <c r="I27" s="1" t="n">
        <v>0.023989201</v>
      </c>
      <c r="J27" s="1" t="n">
        <v>0.02304697</v>
      </c>
      <c r="K27" s="1" t="n">
        <v>0.023685217</v>
      </c>
      <c r="L27" s="1" t="n">
        <v>0.023454189</v>
      </c>
      <c r="M27" s="1" t="n">
        <v>0.023644447</v>
      </c>
      <c r="N27" s="1" t="n">
        <v>0.023436308</v>
      </c>
      <c r="O27" s="1" t="n">
        <v>0.023717403</v>
      </c>
      <c r="P27" s="1" t="n">
        <v>0.023575068</v>
      </c>
      <c r="R27" s="1" t="n">
        <f aca="false">PERCENTILE(G27:P27,0.9)</f>
        <v>0.0242318631</v>
      </c>
      <c r="S27" s="5" t="n">
        <f aca="false">spmv_1!R$6/R27</f>
        <v>6.94270225552735</v>
      </c>
      <c r="T27" s="6" t="n">
        <f aca="false">S27/16</f>
        <v>0.43391889097046</v>
      </c>
    </row>
    <row r="28" customFormat="false" ht="15" hidden="false" customHeight="false" outlineLevel="0" collapsed="false">
      <c r="A28" s="1" t="s">
        <v>16</v>
      </c>
      <c r="B28" s="1" t="n">
        <v>7</v>
      </c>
      <c r="D28" s="1" t="n">
        <v>6929668</v>
      </c>
      <c r="E28" s="1" t="n">
        <v>0.581194</v>
      </c>
      <c r="G28" s="1" t="n">
        <v>0.025618792</v>
      </c>
      <c r="H28" s="1" t="n">
        <v>0.022770405</v>
      </c>
      <c r="I28" s="1" t="n">
        <v>0.022955894</v>
      </c>
      <c r="J28" s="1" t="n">
        <v>0.022808313</v>
      </c>
      <c r="K28" s="1" t="n">
        <v>0.023834705</v>
      </c>
      <c r="L28" s="1" t="n">
        <v>0.024093151</v>
      </c>
      <c r="M28" s="1" t="n">
        <v>0.023860931</v>
      </c>
      <c r="N28" s="1" t="n">
        <v>0.023923159</v>
      </c>
      <c r="O28" s="1" t="n">
        <v>0.024603605</v>
      </c>
      <c r="P28" s="1" t="n">
        <v>0.023994207</v>
      </c>
      <c r="R28" s="1" t="n">
        <f aca="false">PERCENTILE(G28:P28,0.9)</f>
        <v>0.0247051237</v>
      </c>
      <c r="S28" s="5" t="n">
        <f aca="false">spmv_1!R$6/R28</f>
        <v>6.80970525154667</v>
      </c>
      <c r="T28" s="6" t="n">
        <f aca="false">S28/16</f>
        <v>0.425606578221667</v>
      </c>
    </row>
    <row r="29" customFormat="false" ht="15" hidden="false" customHeight="false" outlineLevel="0" collapsed="false">
      <c r="A29" s="1" t="s">
        <v>16</v>
      </c>
      <c r="B29" s="1" t="n">
        <v>8</v>
      </c>
      <c r="D29" s="1" t="n">
        <v>6931296</v>
      </c>
      <c r="E29" s="1" t="n">
        <v>0.42763</v>
      </c>
      <c r="G29" s="1" t="n">
        <v>0.042211533</v>
      </c>
      <c r="H29" s="1" t="n">
        <v>0.028882265</v>
      </c>
      <c r="I29" s="1" t="n">
        <v>0.030088186</v>
      </c>
      <c r="J29" s="1" t="n">
        <v>0.030667543</v>
      </c>
      <c r="K29" s="1" t="n">
        <v>0.032145023</v>
      </c>
      <c r="L29" s="1" t="n">
        <v>0.032002687</v>
      </c>
      <c r="M29" s="1" t="n">
        <v>0.031907797</v>
      </c>
      <c r="N29" s="1" t="n">
        <v>0.031786203</v>
      </c>
      <c r="O29" s="1" t="n">
        <v>0.032864809</v>
      </c>
      <c r="P29" s="1" t="n">
        <v>0.031616449</v>
      </c>
      <c r="R29" s="1" t="n">
        <f aca="false">PERCENTILE(G29:P29,0.9)</f>
        <v>0.0337994814</v>
      </c>
      <c r="S29" s="5" t="n">
        <f aca="false">spmv_1!R$6/R29</f>
        <v>4.97743171290196</v>
      </c>
      <c r="T29" s="6" t="n">
        <f aca="false">S29/16</f>
        <v>0.311089482056373</v>
      </c>
    </row>
    <row r="30" customFormat="false" ht="15" hidden="false" customHeight="false" outlineLevel="0" collapsed="false">
      <c r="A30" s="1" t="s">
        <v>16</v>
      </c>
      <c r="B30" s="1" t="n">
        <v>9</v>
      </c>
      <c r="D30" s="1" t="n">
        <v>6931306</v>
      </c>
      <c r="E30" s="1" t="n">
        <v>0.426584</v>
      </c>
      <c r="G30" s="1" t="n">
        <v>0.042117596</v>
      </c>
      <c r="H30" s="1" t="n">
        <v>0.029307842</v>
      </c>
      <c r="I30" s="1" t="n">
        <v>0.029947996</v>
      </c>
      <c r="J30" s="1" t="n">
        <v>0.030648708</v>
      </c>
      <c r="K30" s="1" t="n">
        <v>0.031876326</v>
      </c>
      <c r="L30" s="1" t="n">
        <v>0.031990051</v>
      </c>
      <c r="M30" s="1" t="n">
        <v>0.032262564</v>
      </c>
      <c r="N30" s="1" t="n">
        <v>0.031658411</v>
      </c>
      <c r="O30" s="1" t="n">
        <v>0.033245802</v>
      </c>
      <c r="P30" s="1" t="n">
        <v>0.031912327</v>
      </c>
      <c r="R30" s="1" t="n">
        <f aca="false">PERCENTILE(G30:P30,0.9)</f>
        <v>0.0341329814</v>
      </c>
      <c r="S30" s="5" t="n">
        <f aca="false">spmv_1!R$6/R30</f>
        <v>4.92879917603682</v>
      </c>
      <c r="T30" s="6" t="n">
        <f aca="false">S30/16</f>
        <v>0.308049948502301</v>
      </c>
    </row>
    <row r="31" customFormat="false" ht="15" hidden="false" customHeight="false" outlineLevel="0" collapsed="false">
      <c r="A31" s="1" t="s">
        <v>16</v>
      </c>
      <c r="B31" s="1" t="n">
        <v>10</v>
      </c>
      <c r="D31" s="1" t="n">
        <v>6930758</v>
      </c>
      <c r="E31" s="1" t="n">
        <v>0.378912</v>
      </c>
      <c r="G31" s="1" t="n">
        <v>0.042617798</v>
      </c>
      <c r="H31" s="1" t="n">
        <v>0.036623001</v>
      </c>
      <c r="I31" s="1" t="n">
        <v>0.036302328</v>
      </c>
      <c r="J31" s="1" t="n">
        <v>0.035794735</v>
      </c>
      <c r="K31" s="1" t="n">
        <v>0.035712004</v>
      </c>
      <c r="L31" s="1" t="n">
        <v>0.03583312</v>
      </c>
      <c r="M31" s="1" t="n">
        <v>0.035692692</v>
      </c>
      <c r="N31" s="1" t="n">
        <v>0.035370588</v>
      </c>
      <c r="O31" s="1" t="n">
        <v>0.035995245</v>
      </c>
      <c r="P31" s="1" t="n">
        <v>0.035882473</v>
      </c>
      <c r="R31" s="1" t="n">
        <f aca="false">PERCENTILE(G31:P31,0.9)</f>
        <v>0.0372224807</v>
      </c>
      <c r="S31" s="5" t="n">
        <f aca="false">spmv_1!R$6/R31</f>
        <v>4.51970442152718</v>
      </c>
      <c r="T31" s="6" t="n">
        <f aca="false">S31/16</f>
        <v>0.282481526345449</v>
      </c>
    </row>
    <row r="32" customFormat="false" ht="15" hidden="false" customHeight="false" outlineLevel="0" collapsed="false">
      <c r="A32" s="1" t="s">
        <v>16</v>
      </c>
      <c r="B32" s="1" t="n">
        <v>11</v>
      </c>
      <c r="D32" s="1" t="n">
        <v>6930730</v>
      </c>
      <c r="E32" s="1" t="n">
        <v>0.433604</v>
      </c>
      <c r="G32" s="1" t="n">
        <v>0.041167259</v>
      </c>
      <c r="H32" s="1" t="n">
        <v>0.031187534</v>
      </c>
      <c r="I32" s="1" t="n">
        <v>0.031903744</v>
      </c>
      <c r="J32" s="1" t="n">
        <v>0.031285048</v>
      </c>
      <c r="K32" s="1" t="n">
        <v>0.030954599</v>
      </c>
      <c r="L32" s="1" t="n">
        <v>0.031168699</v>
      </c>
      <c r="M32" s="1" t="n">
        <v>0.030559063</v>
      </c>
      <c r="N32" s="1" t="n">
        <v>0.030790329</v>
      </c>
      <c r="O32" s="1" t="n">
        <v>0.030218363</v>
      </c>
      <c r="P32" s="1" t="n">
        <v>0.030445576</v>
      </c>
      <c r="R32" s="1" t="n">
        <f aca="false">PERCENTILE(G32:P32,0.9)</f>
        <v>0.0328300955</v>
      </c>
      <c r="S32" s="5" t="n">
        <f aca="false">spmv_1!R$6/R32</f>
        <v>5.12440210842518</v>
      </c>
      <c r="T32" s="6" t="n">
        <f aca="false">S32/16</f>
        <v>0.320275131776574</v>
      </c>
    </row>
    <row r="33" customFormat="false" ht="15" hidden="false" customHeight="false" outlineLevel="0" collapsed="false">
      <c r="A33" s="1" t="s">
        <v>16</v>
      </c>
      <c r="B33" s="1" t="n">
        <v>12</v>
      </c>
      <c r="D33" s="1" t="n">
        <v>6930620</v>
      </c>
      <c r="E33" s="1" t="n">
        <v>0.393961</v>
      </c>
      <c r="G33" s="1" t="n">
        <v>0.040332556</v>
      </c>
      <c r="H33" s="1" t="n">
        <v>0.035140276</v>
      </c>
      <c r="I33" s="1" t="n">
        <v>0.03499341</v>
      </c>
      <c r="J33" s="1" t="n">
        <v>0.035318136</v>
      </c>
      <c r="K33" s="1" t="n">
        <v>0.034258366</v>
      </c>
      <c r="L33" s="1" t="n">
        <v>0.034497023</v>
      </c>
      <c r="M33" s="1" t="n">
        <v>0.034315348</v>
      </c>
      <c r="N33" s="1" t="n">
        <v>0.034651995</v>
      </c>
      <c r="O33" s="1" t="n">
        <v>0.034379005</v>
      </c>
      <c r="P33" s="1" t="n">
        <v>0.033956766</v>
      </c>
      <c r="R33" s="1" t="n">
        <f aca="false">PERCENTILE(G33:P33,0.9)</f>
        <v>0.035819578</v>
      </c>
      <c r="S33" s="5" t="n">
        <f aca="false">spmv_1!R$6/R33</f>
        <v>4.69672229527662</v>
      </c>
      <c r="T33" s="6" t="n">
        <f aca="false">S33/16</f>
        <v>0.293545143454789</v>
      </c>
    </row>
    <row r="34" customFormat="false" ht="15" hidden="false" customHeight="false" outlineLevel="0" collapsed="false">
      <c r="A34" s="1" t="s">
        <v>16</v>
      </c>
      <c r="B34" s="1" t="n">
        <v>13</v>
      </c>
      <c r="D34" s="1" t="n">
        <v>6930630</v>
      </c>
      <c r="E34" s="1" t="n">
        <v>0.385144</v>
      </c>
      <c r="G34" s="1" t="n">
        <v>0.041548252</v>
      </c>
      <c r="H34" s="1" t="n">
        <v>0.036184311</v>
      </c>
      <c r="I34" s="1" t="n">
        <v>0.036194563</v>
      </c>
      <c r="J34" s="1" t="n">
        <v>0.035279751</v>
      </c>
      <c r="K34" s="1" t="n">
        <v>0.035244226</v>
      </c>
      <c r="L34" s="1" t="n">
        <v>0.035458326</v>
      </c>
      <c r="M34" s="1" t="n">
        <v>0.035138845</v>
      </c>
      <c r="N34" s="1" t="n">
        <v>0.035048008</v>
      </c>
      <c r="O34" s="1" t="n">
        <v>0.035263062</v>
      </c>
      <c r="P34" s="1" t="n">
        <v>0.034538984</v>
      </c>
      <c r="R34" s="1" t="n">
        <f aca="false">PERCENTILE(G34:P34,0.9)</f>
        <v>0.0367299319</v>
      </c>
      <c r="S34" s="5" t="n">
        <f aca="false">spmv_1!R$6/R34</f>
        <v>4.58031370866767</v>
      </c>
      <c r="T34" s="6" t="n">
        <f aca="false">S34/16</f>
        <v>0.286269606791729</v>
      </c>
    </row>
    <row r="35" customFormat="false" ht="15" hidden="false" customHeight="false" outlineLevel="0" collapsed="false">
      <c r="A35" s="1" t="s">
        <v>16</v>
      </c>
      <c r="B35" s="1" t="n">
        <v>14</v>
      </c>
      <c r="D35" s="1" t="n">
        <v>6929660</v>
      </c>
      <c r="E35" s="1" t="n">
        <v>0.411341</v>
      </c>
      <c r="G35" s="1" t="n">
        <v>0.042858839</v>
      </c>
      <c r="H35" s="1" t="n">
        <v>0.033047915</v>
      </c>
      <c r="I35" s="1" t="n">
        <v>0.032896519</v>
      </c>
      <c r="J35" s="1" t="n">
        <v>0.032659769</v>
      </c>
      <c r="K35" s="1" t="n">
        <v>0.032809734</v>
      </c>
      <c r="L35" s="1" t="n">
        <v>0.032843351</v>
      </c>
      <c r="M35" s="1" t="n">
        <v>0.032335997</v>
      </c>
      <c r="N35" s="1" t="n">
        <v>0.032640696</v>
      </c>
      <c r="O35" s="1" t="n">
        <v>0.03271246</v>
      </c>
      <c r="P35" s="1" t="n">
        <v>0.032124996</v>
      </c>
      <c r="R35" s="1" t="n">
        <f aca="false">PERCENTILE(G35:P35,0.9)</f>
        <v>0.0340290074</v>
      </c>
      <c r="S35" s="5" t="n">
        <f aca="false">spmv_1!R$6/R35</f>
        <v>4.94385888552247</v>
      </c>
      <c r="T35" s="6" t="n">
        <f aca="false">S35/16</f>
        <v>0.308991180345155</v>
      </c>
    </row>
    <row r="36" customFormat="false" ht="15" hidden="false" customHeight="false" outlineLevel="0" collapsed="false">
      <c r="A36" s="1" t="s">
        <v>16</v>
      </c>
      <c r="B36" s="1" t="n">
        <v>15</v>
      </c>
      <c r="D36" s="1" t="n">
        <v>6929668</v>
      </c>
      <c r="E36" s="1" t="n">
        <v>0.418839</v>
      </c>
      <c r="G36" s="1" t="n">
        <v>0.042138338</v>
      </c>
      <c r="H36" s="1" t="n">
        <v>0.032252312</v>
      </c>
      <c r="I36" s="1" t="n">
        <v>0.032766104</v>
      </c>
      <c r="J36" s="1" t="n">
        <v>0.031924248</v>
      </c>
      <c r="K36" s="1" t="n">
        <v>0.03219676</v>
      </c>
      <c r="L36" s="1" t="n">
        <v>0.032335997</v>
      </c>
      <c r="M36" s="1" t="n">
        <v>0.031894684</v>
      </c>
      <c r="N36" s="1" t="n">
        <v>0.03218627</v>
      </c>
      <c r="O36" s="1" t="n">
        <v>0.032075882</v>
      </c>
      <c r="P36" s="1" t="n">
        <v>0.031128645</v>
      </c>
      <c r="R36" s="1" t="n">
        <f aca="false">PERCENTILE(G36:P36,0.9)</f>
        <v>0.0337033274</v>
      </c>
      <c r="S36" s="5" t="n">
        <f aca="false">spmv_1!R$6/R36</f>
        <v>4.99163209030809</v>
      </c>
      <c r="T36" s="6" t="n">
        <f aca="false">S36/16</f>
        <v>0.311977005644256</v>
      </c>
    </row>
    <row r="39" customFormat="false" ht="15" hidden="false" customHeight="false" outlineLevel="0" collapsed="false">
      <c r="A39" s="2" t="s">
        <v>0</v>
      </c>
      <c r="B39" s="2" t="s">
        <v>1</v>
      </c>
      <c r="C39" s="3"/>
      <c r="D39" s="2" t="s">
        <v>2</v>
      </c>
      <c r="E39" s="2" t="s">
        <v>3</v>
      </c>
      <c r="F39" s="3"/>
      <c r="G39" s="2" t="s">
        <v>4</v>
      </c>
      <c r="H39" s="2" t="s">
        <v>5</v>
      </c>
      <c r="I39" s="2" t="s">
        <v>6</v>
      </c>
      <c r="J39" s="2" t="s">
        <v>7</v>
      </c>
      <c r="K39" s="2" t="s">
        <v>8</v>
      </c>
      <c r="L39" s="2" t="s">
        <v>9</v>
      </c>
      <c r="M39" s="2" t="s">
        <v>10</v>
      </c>
      <c r="N39" s="2" t="s">
        <v>11</v>
      </c>
      <c r="O39" s="2" t="s">
        <v>12</v>
      </c>
      <c r="P39" s="2" t="s">
        <v>13</v>
      </c>
      <c r="R39" s="4" t="s">
        <v>14</v>
      </c>
      <c r="S39" s="7" t="s">
        <v>20</v>
      </c>
      <c r="T39" s="8" t="s">
        <v>21</v>
      </c>
    </row>
    <row r="40" customFormat="false" ht="15" hidden="false" customHeight="false" outlineLevel="0" collapsed="false">
      <c r="A40" s="1" t="s">
        <v>17</v>
      </c>
      <c r="B40" s="1" t="n">
        <v>0</v>
      </c>
      <c r="D40" s="1" t="n">
        <v>1267995</v>
      </c>
      <c r="E40" s="1" t="n">
        <v>0.328518</v>
      </c>
      <c r="G40" s="1" t="n">
        <v>0.007842541</v>
      </c>
      <c r="H40" s="1" t="n">
        <v>0.007570982</v>
      </c>
      <c r="I40" s="1" t="n">
        <v>0.007877827</v>
      </c>
      <c r="J40" s="1" t="n">
        <v>0.007811546</v>
      </c>
      <c r="K40" s="1" t="n">
        <v>0.007519007</v>
      </c>
      <c r="L40" s="1" t="n">
        <v>0.007532597</v>
      </c>
      <c r="M40" s="1" t="n">
        <v>0.007547855</v>
      </c>
      <c r="N40" s="1" t="n">
        <v>0.007601261</v>
      </c>
      <c r="O40" s="1" t="n">
        <v>0.007989883</v>
      </c>
      <c r="P40" s="1" t="n">
        <v>0.00790143</v>
      </c>
      <c r="R40" s="1" t="n">
        <f aca="false">PERCENTILE(G40:P40,0.9)</f>
        <v>0.0079102753</v>
      </c>
      <c r="S40" s="5" t="n">
        <f aca="false">spmv_1!R$10/R40</f>
        <v>4.42863528403367</v>
      </c>
      <c r="T40" s="6" t="n">
        <f aca="false">S40/16</f>
        <v>0.276789705252104</v>
      </c>
    </row>
    <row r="41" customFormat="false" ht="15" hidden="false" customHeight="false" outlineLevel="0" collapsed="false">
      <c r="A41" s="1" t="s">
        <v>17</v>
      </c>
      <c r="B41" s="1" t="n">
        <v>1</v>
      </c>
      <c r="D41" s="1" t="n">
        <v>1268949</v>
      </c>
      <c r="E41" s="1" t="n">
        <v>0.324325</v>
      </c>
      <c r="G41" s="1" t="n">
        <v>0.007976532</v>
      </c>
      <c r="H41" s="1" t="n">
        <v>0.007671118</v>
      </c>
      <c r="I41" s="1" t="n">
        <v>0.007972002</v>
      </c>
      <c r="J41" s="1" t="n">
        <v>0.007926464</v>
      </c>
      <c r="K41" s="1" t="n">
        <v>0.007614851</v>
      </c>
      <c r="L41" s="1" t="n">
        <v>0.007643461</v>
      </c>
      <c r="M41" s="1" t="n">
        <v>0.007653475</v>
      </c>
      <c r="N41" s="1" t="n">
        <v>0.007702589</v>
      </c>
      <c r="O41" s="1" t="n">
        <v>0.008086205</v>
      </c>
      <c r="P41" s="1" t="n">
        <v>0.008004904</v>
      </c>
      <c r="R41" s="1" t="n">
        <f aca="false">PERCENTILE(G41:P41,0.9)</f>
        <v>0.0080130341</v>
      </c>
      <c r="S41" s="5" t="n">
        <f aca="false">spmv_1!R$10/R41</f>
        <v>4.37184265820109</v>
      </c>
      <c r="T41" s="6" t="n">
        <f aca="false">S41/16</f>
        <v>0.273240166137568</v>
      </c>
    </row>
    <row r="42" customFormat="false" ht="15" hidden="false" customHeight="false" outlineLevel="0" collapsed="false">
      <c r="A42" s="1" t="s">
        <v>17</v>
      </c>
      <c r="B42" s="1" t="n">
        <v>2</v>
      </c>
      <c r="D42" s="1" t="n">
        <v>1266254</v>
      </c>
      <c r="E42" s="1" t="n">
        <v>0.351829</v>
      </c>
      <c r="G42" s="1" t="n">
        <v>0.007445574</v>
      </c>
      <c r="H42" s="1" t="n">
        <v>0.007060051</v>
      </c>
      <c r="I42" s="1" t="n">
        <v>0.007079601</v>
      </c>
      <c r="J42" s="1" t="n">
        <v>0.007294416</v>
      </c>
      <c r="K42" s="1" t="n">
        <v>0.007008791</v>
      </c>
      <c r="L42" s="1" t="n">
        <v>0.006994009</v>
      </c>
      <c r="M42" s="1" t="n">
        <v>0.007045269</v>
      </c>
      <c r="N42" s="1" t="n">
        <v>0.007154942</v>
      </c>
      <c r="O42" s="1" t="n">
        <v>0.007479429</v>
      </c>
      <c r="P42" s="1" t="n">
        <v>0.007419109</v>
      </c>
      <c r="R42" s="1" t="n">
        <f aca="false">PERCENTILE(G42:P42,0.9)</f>
        <v>0.0074489595</v>
      </c>
      <c r="S42" s="5" t="n">
        <f aca="false">spmv_1!R$10/R42</f>
        <v>4.70290170056637</v>
      </c>
      <c r="T42" s="6" t="n">
        <f aca="false">S42/16</f>
        <v>0.293931356285398</v>
      </c>
    </row>
    <row r="43" customFormat="false" ht="15" hidden="false" customHeight="false" outlineLevel="0" collapsed="false">
      <c r="A43" s="1" t="s">
        <v>17</v>
      </c>
      <c r="B43" s="1" t="n">
        <v>3</v>
      </c>
      <c r="D43" s="1" t="n">
        <v>1268739</v>
      </c>
      <c r="E43" s="1" t="n">
        <v>0.353074</v>
      </c>
      <c r="G43" s="1" t="n">
        <v>0.007438421</v>
      </c>
      <c r="H43" s="1" t="n">
        <v>0.007071495</v>
      </c>
      <c r="I43" s="1" t="n">
        <v>0.007072926</v>
      </c>
      <c r="J43" s="1" t="n">
        <v>0.007284403</v>
      </c>
      <c r="K43" s="1" t="n">
        <v>0.006974936</v>
      </c>
      <c r="L43" s="1" t="n">
        <v>0.00697732</v>
      </c>
      <c r="M43" s="1" t="n">
        <v>0.007045507</v>
      </c>
      <c r="N43" s="1" t="n">
        <v>0.007124901</v>
      </c>
      <c r="O43" s="1" t="n">
        <v>0.007468224</v>
      </c>
      <c r="P43" s="1" t="n">
        <v>0.007410049</v>
      </c>
      <c r="R43" s="1" t="n">
        <f aca="false">PERCENTILE(G43:P43,0.9)</f>
        <v>0.0074414013</v>
      </c>
      <c r="S43" s="5" t="n">
        <f aca="false">spmv_1!R$10/R43</f>
        <v>4.70767841804204</v>
      </c>
      <c r="T43" s="6" t="n">
        <f aca="false">S43/16</f>
        <v>0.294229901127628</v>
      </c>
    </row>
    <row r="44" customFormat="false" ht="15" hidden="false" customHeight="false" outlineLevel="0" collapsed="false">
      <c r="A44" s="1" t="s">
        <v>17</v>
      </c>
      <c r="B44" s="1" t="n">
        <v>4</v>
      </c>
      <c r="D44" s="1" t="n">
        <v>1260291</v>
      </c>
      <c r="E44" s="1" t="n">
        <v>0.342207</v>
      </c>
      <c r="G44" s="1" t="n">
        <v>0.007757664</v>
      </c>
      <c r="H44" s="1" t="n">
        <v>0.007215261</v>
      </c>
      <c r="I44" s="1" t="n">
        <v>0.007271051</v>
      </c>
      <c r="J44" s="1" t="n">
        <v>0.007442236</v>
      </c>
      <c r="K44" s="1" t="n">
        <v>0.007144451</v>
      </c>
      <c r="L44" s="1" t="n">
        <v>0.007163048</v>
      </c>
      <c r="M44" s="1" t="n">
        <v>0.007203817</v>
      </c>
      <c r="N44" s="1" t="n">
        <v>0.007271051</v>
      </c>
      <c r="O44" s="1" t="n">
        <v>0.007620811</v>
      </c>
      <c r="P44" s="1" t="n">
        <v>0.007567167</v>
      </c>
      <c r="R44" s="1" t="n">
        <f aca="false">PERCENTILE(G44:P44,0.9)</f>
        <v>0.0076344963</v>
      </c>
      <c r="S44" s="5" t="n">
        <f aca="false">spmv_1!R$10/R44</f>
        <v>4.58860976853182</v>
      </c>
      <c r="T44" s="6" t="n">
        <f aca="false">S44/16</f>
        <v>0.286788110533239</v>
      </c>
    </row>
    <row r="45" customFormat="false" ht="15" hidden="false" customHeight="false" outlineLevel="0" collapsed="false">
      <c r="A45" s="1" t="s">
        <v>17</v>
      </c>
      <c r="B45" s="1" t="n">
        <v>5</v>
      </c>
      <c r="D45" s="1" t="n">
        <v>1261447</v>
      </c>
      <c r="E45" s="1" t="n">
        <v>0.324358</v>
      </c>
      <c r="G45" s="1" t="n">
        <v>0.008393526</v>
      </c>
      <c r="H45" s="1" t="n">
        <v>0.007646799</v>
      </c>
      <c r="I45" s="1" t="n">
        <v>0.007538319</v>
      </c>
      <c r="J45" s="1" t="n">
        <v>0.007713318</v>
      </c>
      <c r="K45" s="1" t="n">
        <v>0.007674456</v>
      </c>
      <c r="L45" s="1" t="n">
        <v>0.007754326</v>
      </c>
      <c r="M45" s="1" t="n">
        <v>0.007746696</v>
      </c>
      <c r="N45" s="1" t="n">
        <v>0.007690907</v>
      </c>
      <c r="O45" s="1" t="n">
        <v>0.007577658</v>
      </c>
      <c r="P45" s="1" t="n">
        <v>0.008045197</v>
      </c>
      <c r="R45" s="1" t="n">
        <f aca="false">PERCENTILE(G45:P45,0.9)</f>
        <v>0.0080800299</v>
      </c>
      <c r="S45" s="5" t="n">
        <f aca="false">spmv_1!R$10/R45</f>
        <v>4.3355933992274</v>
      </c>
      <c r="T45" s="6" t="n">
        <f aca="false">S45/16</f>
        <v>0.270974587451712</v>
      </c>
    </row>
    <row r="46" customFormat="false" ht="15" hidden="false" customHeight="false" outlineLevel="0" collapsed="false">
      <c r="A46" s="1" t="s">
        <v>17</v>
      </c>
      <c r="B46" s="1" t="n">
        <v>6</v>
      </c>
      <c r="D46" s="1" t="n">
        <v>1260486</v>
      </c>
      <c r="E46" s="1" t="n">
        <v>0.317711</v>
      </c>
      <c r="G46" s="1" t="n">
        <v>0.008497477</v>
      </c>
      <c r="H46" s="1" t="n">
        <v>0.007793665</v>
      </c>
      <c r="I46" s="1" t="n">
        <v>0.0078125</v>
      </c>
      <c r="J46" s="1" t="n">
        <v>0.007814646</v>
      </c>
      <c r="K46" s="1" t="n">
        <v>0.007760286</v>
      </c>
      <c r="L46" s="1" t="n">
        <v>0.007783413</v>
      </c>
      <c r="M46" s="1" t="n">
        <v>0.007971764</v>
      </c>
      <c r="N46" s="1" t="n">
        <v>0.007946968</v>
      </c>
      <c r="O46" s="1" t="n">
        <v>0.007793903</v>
      </c>
      <c r="P46" s="1" t="n">
        <v>0.008173227</v>
      </c>
      <c r="R46" s="1" t="n">
        <f aca="false">PERCENTILE(G46:P46,0.9)</f>
        <v>0.008205652</v>
      </c>
      <c r="S46" s="5" t="n">
        <f aca="false">spmv_1!R$10/R46</f>
        <v>4.26921886280335</v>
      </c>
      <c r="T46" s="6" t="n">
        <f aca="false">S46/16</f>
        <v>0.266826178925209</v>
      </c>
    </row>
    <row r="47" customFormat="false" ht="15" hidden="false" customHeight="false" outlineLevel="0" collapsed="false">
      <c r="A47" s="1" t="s">
        <v>17</v>
      </c>
      <c r="B47" s="1" t="n">
        <v>7</v>
      </c>
      <c r="D47" s="1" t="n">
        <v>1262090</v>
      </c>
      <c r="E47" s="1" t="n">
        <v>0.290457</v>
      </c>
      <c r="G47" s="1" t="n">
        <v>0.009217262</v>
      </c>
      <c r="H47" s="1" t="n">
        <v>0.008417606</v>
      </c>
      <c r="I47" s="1" t="n">
        <v>0.008558989</v>
      </c>
      <c r="J47" s="1" t="n">
        <v>0.008524179</v>
      </c>
      <c r="K47" s="1" t="n">
        <v>0.008583784</v>
      </c>
      <c r="L47" s="1" t="n">
        <v>0.008620977</v>
      </c>
      <c r="M47" s="1" t="n">
        <v>0.008667707</v>
      </c>
      <c r="N47" s="1" t="n">
        <v>0.008655787</v>
      </c>
      <c r="O47" s="1" t="n">
        <v>0.008617163</v>
      </c>
      <c r="P47" s="1" t="n">
        <v>0.009040356</v>
      </c>
      <c r="R47" s="1" t="n">
        <f aca="false">PERCENTILE(G47:P47,0.9)</f>
        <v>0.0090580466</v>
      </c>
      <c r="S47" s="5" t="n">
        <f aca="false">spmv_1!R$10/R47</f>
        <v>3.86747009007439</v>
      </c>
      <c r="T47" s="6" t="n">
        <f aca="false">S47/16</f>
        <v>0.241716880629649</v>
      </c>
    </row>
    <row r="48" customFormat="false" ht="15" hidden="false" customHeight="false" outlineLevel="0" collapsed="false">
      <c r="A48" s="1" t="s">
        <v>17</v>
      </c>
      <c r="B48" s="1" t="n">
        <v>8</v>
      </c>
      <c r="D48" s="1" t="n">
        <v>1269447</v>
      </c>
      <c r="E48" s="1" t="n">
        <v>0.256479</v>
      </c>
      <c r="G48" s="1" t="n">
        <v>0.010501623</v>
      </c>
      <c r="H48" s="1" t="n">
        <v>0.009883165</v>
      </c>
      <c r="I48" s="1" t="n">
        <v>0.009721756</v>
      </c>
      <c r="J48" s="1" t="n">
        <v>0.009915829</v>
      </c>
      <c r="K48" s="1" t="n">
        <v>0.009854078</v>
      </c>
      <c r="L48" s="1" t="n">
        <v>0.009629011</v>
      </c>
      <c r="M48" s="1" t="n">
        <v>0.009865522</v>
      </c>
      <c r="N48" s="1" t="n">
        <v>0.009943008</v>
      </c>
      <c r="O48" s="1" t="n">
        <v>0.009487629</v>
      </c>
      <c r="P48" s="1" t="n">
        <v>0.01018858</v>
      </c>
      <c r="R48" s="1" t="n">
        <f aca="false">PERCENTILE(G48:P48,0.9)</f>
        <v>0.0102198843</v>
      </c>
      <c r="S48" s="5" t="n">
        <f aca="false">spmv_1!R$10/R48</f>
        <v>3.4278004791111</v>
      </c>
      <c r="T48" s="6" t="n">
        <f aca="false">S48/16</f>
        <v>0.214237529944444</v>
      </c>
    </row>
    <row r="49" customFormat="false" ht="15" hidden="false" customHeight="false" outlineLevel="0" collapsed="false">
      <c r="A49" s="1" t="s">
        <v>17</v>
      </c>
      <c r="B49" s="1" t="n">
        <v>9</v>
      </c>
      <c r="D49" s="1" t="n">
        <v>1271596</v>
      </c>
      <c r="E49" s="1" t="n">
        <v>0.305861</v>
      </c>
      <c r="G49" s="1" t="n">
        <v>0.014813185</v>
      </c>
      <c r="H49" s="1" t="n">
        <v>0.007547379</v>
      </c>
      <c r="I49" s="1" t="n">
        <v>0.007560492</v>
      </c>
      <c r="J49" s="1" t="n">
        <v>0.007576942</v>
      </c>
      <c r="K49" s="1" t="n">
        <v>0.007579088</v>
      </c>
      <c r="L49" s="1" t="n">
        <v>0.007461548</v>
      </c>
      <c r="M49" s="1" t="n">
        <v>0.00758791</v>
      </c>
      <c r="N49" s="1" t="n">
        <v>0.007590532</v>
      </c>
      <c r="O49" s="1" t="n">
        <v>0.00749445</v>
      </c>
      <c r="P49" s="1" t="n">
        <v>0.007937193</v>
      </c>
      <c r="R49" s="1" t="n">
        <f aca="false">PERCENTILE(G49:P49,0.9)</f>
        <v>0.0086247922</v>
      </c>
      <c r="S49" s="5" t="n">
        <f aca="false">spmv_1!R$10/R49</f>
        <v>4.06174705287392</v>
      </c>
      <c r="T49" s="6" t="n">
        <f aca="false">S49/16</f>
        <v>0.25385919080462</v>
      </c>
    </row>
    <row r="50" customFormat="false" ht="15" hidden="false" customHeight="false" outlineLevel="0" collapsed="false">
      <c r="A50" s="1" t="s">
        <v>17</v>
      </c>
      <c r="B50" s="1" t="n">
        <v>10</v>
      </c>
      <c r="D50" s="1" t="n">
        <v>1269569</v>
      </c>
      <c r="E50" s="1" t="n">
        <v>0.266017</v>
      </c>
      <c r="G50" s="1" t="n">
        <v>0.010242462</v>
      </c>
      <c r="H50" s="1" t="n">
        <v>0.009700298</v>
      </c>
      <c r="I50" s="1" t="n">
        <v>0.009432554</v>
      </c>
      <c r="J50" s="1" t="n">
        <v>0.009599209</v>
      </c>
      <c r="K50" s="1" t="n">
        <v>0.009480953</v>
      </c>
      <c r="L50" s="1" t="n">
        <v>0.009261608</v>
      </c>
      <c r="M50" s="1" t="n">
        <v>0.009420633</v>
      </c>
      <c r="N50" s="1" t="n">
        <v>0.009538651</v>
      </c>
      <c r="O50" s="1" t="n">
        <v>0.009068966</v>
      </c>
      <c r="P50" s="1" t="n">
        <v>0.009704828</v>
      </c>
      <c r="R50" s="1" t="n">
        <f aca="false">PERCENTILE(G50:P50,0.9)</f>
        <v>0.0097585914</v>
      </c>
      <c r="S50" s="5" t="n">
        <f aca="false">spmv_1!R$10/R50</f>
        <v>3.58983411273885</v>
      </c>
      <c r="T50" s="6" t="n">
        <f aca="false">S50/16</f>
        <v>0.224364632046178</v>
      </c>
    </row>
    <row r="51" customFormat="false" ht="15" hidden="false" customHeight="false" outlineLevel="0" collapsed="false">
      <c r="A51" s="1" t="s">
        <v>17</v>
      </c>
      <c r="B51" s="1" t="n">
        <v>11</v>
      </c>
      <c r="D51" s="1" t="n">
        <v>1271032</v>
      </c>
      <c r="E51" s="1" t="n">
        <v>0.272136</v>
      </c>
      <c r="G51" s="1" t="n">
        <v>0.010113955</v>
      </c>
      <c r="H51" s="1" t="n">
        <v>0.009493113</v>
      </c>
      <c r="I51" s="1" t="n">
        <v>0.009223461</v>
      </c>
      <c r="J51" s="1" t="n">
        <v>0.009446383</v>
      </c>
      <c r="K51" s="1" t="n">
        <v>0.009252548</v>
      </c>
      <c r="L51" s="1" t="n">
        <v>0.009079933</v>
      </c>
      <c r="M51" s="1" t="n">
        <v>0.00922513</v>
      </c>
      <c r="N51" s="1" t="n">
        <v>0.009318829</v>
      </c>
      <c r="O51" s="1" t="n">
        <v>0.008754015</v>
      </c>
      <c r="P51" s="1" t="n">
        <v>0.009504318</v>
      </c>
      <c r="R51" s="1" t="n">
        <f aca="false">PERCENTILE(G51:P51,0.9)</f>
        <v>0.0095652817</v>
      </c>
      <c r="S51" s="5" t="n">
        <f aca="false">spmv_1!R$10/R51</f>
        <v>3.6623829175883</v>
      </c>
      <c r="T51" s="6" t="n">
        <f aca="false">S51/16</f>
        <v>0.228898932349269</v>
      </c>
    </row>
    <row r="52" customFormat="false" ht="15" hidden="false" customHeight="false" outlineLevel="0" collapsed="false">
      <c r="A52" s="1" t="s">
        <v>17</v>
      </c>
      <c r="B52" s="1" t="n">
        <v>12</v>
      </c>
      <c r="D52" s="1" t="n">
        <v>1260982</v>
      </c>
      <c r="E52" s="1" t="n">
        <v>0.273564</v>
      </c>
      <c r="G52" s="1" t="n">
        <v>0.010074615</v>
      </c>
      <c r="H52" s="1" t="n">
        <v>0.009406567</v>
      </c>
      <c r="I52" s="1" t="n">
        <v>0.008930445</v>
      </c>
      <c r="J52" s="1" t="n">
        <v>0.009240389</v>
      </c>
      <c r="K52" s="1" t="n">
        <v>0.009109735</v>
      </c>
      <c r="L52" s="1" t="n">
        <v>0.008932352</v>
      </c>
      <c r="M52" s="1" t="n">
        <v>0.00907588</v>
      </c>
      <c r="N52" s="1" t="n">
        <v>0.009246111</v>
      </c>
      <c r="O52" s="1" t="n">
        <v>0.008793116</v>
      </c>
      <c r="P52" s="1" t="n">
        <v>0.009379864</v>
      </c>
      <c r="R52" s="1" t="n">
        <f aca="false">PERCENTILE(G52:P52,0.9)</f>
        <v>0.0094733718</v>
      </c>
      <c r="S52" s="5" t="n">
        <f aca="false">spmv_1!R$10/R52</f>
        <v>3.69791506546803</v>
      </c>
      <c r="T52" s="6" t="n">
        <f aca="false">S52/16</f>
        <v>0.231119691591752</v>
      </c>
    </row>
    <row r="53" customFormat="false" ht="15" hidden="false" customHeight="false" outlineLevel="0" collapsed="false">
      <c r="A53" s="1" t="s">
        <v>17</v>
      </c>
      <c r="B53" s="1" t="n">
        <v>13</v>
      </c>
      <c r="D53" s="1" t="n">
        <v>1261800</v>
      </c>
      <c r="E53" s="1" t="n">
        <v>0.279</v>
      </c>
      <c r="G53" s="1" t="n">
        <v>0.00969696</v>
      </c>
      <c r="H53" s="1" t="n">
        <v>0.009195566</v>
      </c>
      <c r="I53" s="1" t="n">
        <v>0.008903503</v>
      </c>
      <c r="J53" s="1" t="n">
        <v>0.009245872</v>
      </c>
      <c r="K53" s="1" t="n">
        <v>0.008854866</v>
      </c>
      <c r="L53" s="1" t="n">
        <v>0.008662701</v>
      </c>
      <c r="M53" s="1" t="n">
        <v>0.008803129</v>
      </c>
      <c r="N53" s="1" t="n">
        <v>0.009065628</v>
      </c>
      <c r="O53" s="1" t="n">
        <v>0.008890152</v>
      </c>
      <c r="P53" s="1" t="n">
        <v>0.009133101</v>
      </c>
      <c r="R53" s="1" t="n">
        <f aca="false">PERCENTILE(G53:P53,0.9)</f>
        <v>0.0092909808</v>
      </c>
      <c r="S53" s="5" t="n">
        <f aca="false">spmv_1!R$10/R53</f>
        <v>3.77050873896973</v>
      </c>
      <c r="T53" s="6" t="n">
        <f aca="false">S53/16</f>
        <v>0.235656796185608</v>
      </c>
    </row>
    <row r="54" customFormat="false" ht="15" hidden="false" customHeight="false" outlineLevel="0" collapsed="false">
      <c r="A54" s="1" t="s">
        <v>17</v>
      </c>
      <c r="B54" s="1" t="n">
        <v>14</v>
      </c>
      <c r="D54" s="1" t="n">
        <v>1259548</v>
      </c>
      <c r="E54" s="1" t="n">
        <v>0.283534</v>
      </c>
      <c r="G54" s="1" t="n">
        <v>0.009049416</v>
      </c>
      <c r="H54" s="1" t="n">
        <v>0.009078503</v>
      </c>
      <c r="I54" s="1" t="n">
        <v>0.008791447</v>
      </c>
      <c r="J54" s="1" t="n">
        <v>0.009172678</v>
      </c>
      <c r="K54" s="1" t="n">
        <v>0.008731842</v>
      </c>
      <c r="L54" s="1" t="n">
        <v>0.008551359</v>
      </c>
      <c r="M54" s="1" t="n">
        <v>0.008671045</v>
      </c>
      <c r="N54" s="1" t="n">
        <v>0.0089643</v>
      </c>
      <c r="O54" s="1" t="n">
        <v>0.00878644</v>
      </c>
      <c r="P54" s="1" t="n">
        <v>0.009049177</v>
      </c>
      <c r="R54" s="1" t="n">
        <f aca="false">PERCENTILE(G54:P54,0.9)</f>
        <v>0.0090879205</v>
      </c>
      <c r="S54" s="5" t="n">
        <f aca="false">spmv_1!R$10/R54</f>
        <v>3.85475690505875</v>
      </c>
      <c r="T54" s="6" t="n">
        <f aca="false">S54/16</f>
        <v>0.240922306566172</v>
      </c>
    </row>
    <row r="55" customFormat="false" ht="15" hidden="false" customHeight="false" outlineLevel="0" collapsed="false">
      <c r="A55" s="1" t="s">
        <v>17</v>
      </c>
      <c r="B55" s="1" t="n">
        <v>15</v>
      </c>
      <c r="D55" s="1" t="n">
        <v>1260710</v>
      </c>
      <c r="E55" s="1" t="n">
        <v>0.263298</v>
      </c>
      <c r="G55" s="1" t="n">
        <v>0.009116888</v>
      </c>
      <c r="H55" s="1" t="n">
        <v>0.009076118</v>
      </c>
      <c r="I55" s="1" t="n">
        <v>0.008821964</v>
      </c>
      <c r="J55" s="1" t="n">
        <v>0.009171247</v>
      </c>
      <c r="K55" s="1" t="n">
        <v>0.008750677</v>
      </c>
      <c r="L55" s="1" t="n">
        <v>0.008530855</v>
      </c>
      <c r="M55" s="1" t="n">
        <v>0.008711338</v>
      </c>
      <c r="N55" s="1" t="n">
        <v>0.008955717</v>
      </c>
      <c r="O55" s="1" t="n">
        <v>0.015650034</v>
      </c>
      <c r="P55" s="1" t="n">
        <v>0.008978128</v>
      </c>
      <c r="R55" s="1" t="n">
        <f aca="false">PERCENTILE(G55:P55,0.9)</f>
        <v>0.0098191257</v>
      </c>
      <c r="S55" s="5" t="n">
        <f aca="false">spmv_1!R$10/R55</f>
        <v>3.56770300842569</v>
      </c>
      <c r="T55" s="6" t="n">
        <f aca="false">S55/16</f>
        <v>0.222981438026606</v>
      </c>
    </row>
    <row r="58" customFormat="false" ht="15" hidden="false" customHeight="false" outlineLevel="0" collapsed="false">
      <c r="A58" s="2" t="s">
        <v>0</v>
      </c>
      <c r="B58" s="2" t="s">
        <v>1</v>
      </c>
      <c r="C58" s="3"/>
      <c r="D58" s="2" t="s">
        <v>2</v>
      </c>
      <c r="E58" s="2" t="s">
        <v>3</v>
      </c>
      <c r="F58" s="3"/>
      <c r="G58" s="2" t="s">
        <v>4</v>
      </c>
      <c r="H58" s="2" t="s">
        <v>5</v>
      </c>
      <c r="I58" s="2" t="s">
        <v>6</v>
      </c>
      <c r="J58" s="2" t="s">
        <v>7</v>
      </c>
      <c r="K58" s="2" t="s">
        <v>8</v>
      </c>
      <c r="L58" s="2" t="s">
        <v>9</v>
      </c>
      <c r="M58" s="2" t="s">
        <v>10</v>
      </c>
      <c r="N58" s="2" t="s">
        <v>11</v>
      </c>
      <c r="O58" s="2" t="s">
        <v>12</v>
      </c>
      <c r="P58" s="2" t="s">
        <v>13</v>
      </c>
      <c r="R58" s="4" t="s">
        <v>14</v>
      </c>
      <c r="S58" s="7" t="s">
        <v>20</v>
      </c>
      <c r="T58" s="8" t="s">
        <v>21</v>
      </c>
    </row>
    <row r="59" customFormat="false" ht="15" hidden="false" customHeight="false" outlineLevel="0" collapsed="false">
      <c r="A59" s="1" t="s">
        <v>18</v>
      </c>
      <c r="B59" s="1" t="n">
        <v>0</v>
      </c>
      <c r="D59" s="1" t="n">
        <v>48399496</v>
      </c>
      <c r="E59" s="1" t="n">
        <v>0.201148</v>
      </c>
      <c r="G59" s="1" t="n">
        <v>0.475592613</v>
      </c>
      <c r="H59" s="1" t="n">
        <v>0.42121172</v>
      </c>
      <c r="I59" s="1" t="n">
        <v>0.456753969</v>
      </c>
      <c r="J59" s="1" t="n">
        <v>0.433241844</v>
      </c>
      <c r="K59" s="1" t="n">
        <v>0.369829893</v>
      </c>
      <c r="L59" s="1" t="n">
        <v>0.545256615</v>
      </c>
      <c r="M59" s="1" t="n">
        <v>0.551826239</v>
      </c>
      <c r="N59" s="1" t="n">
        <v>0.520188808</v>
      </c>
      <c r="O59" s="1" t="n">
        <v>0.512695789</v>
      </c>
      <c r="P59" s="1" t="n">
        <v>0.52572155</v>
      </c>
      <c r="R59" s="1" t="n">
        <f aca="false">PERCENTILE(G59:P59,0.9)</f>
        <v>0.5459135774</v>
      </c>
      <c r="S59" s="5" t="n">
        <f aca="false">spmv_1!R$14/R59</f>
        <v>2.02329491045188</v>
      </c>
      <c r="T59" s="6" t="n">
        <f aca="false">S59/16</f>
        <v>0.126455931903243</v>
      </c>
    </row>
    <row r="60" customFormat="false" ht="15" hidden="false" customHeight="false" outlineLevel="0" collapsed="false">
      <c r="A60" s="1" t="s">
        <v>18</v>
      </c>
      <c r="B60" s="1" t="n">
        <v>1</v>
      </c>
      <c r="D60" s="1" t="n">
        <v>48405240</v>
      </c>
      <c r="E60" s="1" t="n">
        <v>0.209053</v>
      </c>
      <c r="G60" s="1" t="n">
        <v>0.454944849</v>
      </c>
      <c r="H60" s="1" t="n">
        <v>0.406838894</v>
      </c>
      <c r="I60" s="1" t="n">
        <v>0.442004442</v>
      </c>
      <c r="J60" s="1" t="n">
        <v>0.420862198</v>
      </c>
      <c r="K60" s="1" t="n">
        <v>0.35738945</v>
      </c>
      <c r="L60" s="1" t="n">
        <v>0.520568609</v>
      </c>
      <c r="M60" s="1" t="n">
        <v>0.526657104</v>
      </c>
      <c r="N60" s="1" t="n">
        <v>0.499939919</v>
      </c>
      <c r="O60" s="1" t="n">
        <v>0.494726896</v>
      </c>
      <c r="P60" s="1" t="n">
        <v>0.506974459</v>
      </c>
      <c r="R60" s="1" t="n">
        <f aca="false">PERCENTILE(G60:P60,0.9)</f>
        <v>0.5211774585</v>
      </c>
      <c r="S60" s="5" t="n">
        <f aca="false">spmv_1!R$14/R60</f>
        <v>2.1193245116145</v>
      </c>
      <c r="T60" s="6" t="n">
        <f aca="false">S60/16</f>
        <v>0.132457781975906</v>
      </c>
    </row>
    <row r="61" customFormat="false" ht="15" hidden="false" customHeight="false" outlineLevel="0" collapsed="false">
      <c r="A61" s="1" t="s">
        <v>18</v>
      </c>
      <c r="B61" s="1" t="n">
        <v>2</v>
      </c>
      <c r="D61" s="1" t="n">
        <v>48405240</v>
      </c>
      <c r="E61" s="1" t="n">
        <v>0.220259</v>
      </c>
      <c r="G61" s="1" t="n">
        <v>0.43469739</v>
      </c>
      <c r="H61" s="1" t="n">
        <v>0.387803078</v>
      </c>
      <c r="I61" s="1" t="n">
        <v>0.422132492</v>
      </c>
      <c r="J61" s="1" t="n">
        <v>0.403603315</v>
      </c>
      <c r="K61" s="1" t="n">
        <v>0.340449095</v>
      </c>
      <c r="L61" s="1" t="n">
        <v>0.488684654</v>
      </c>
      <c r="M61" s="1" t="n">
        <v>0.492201805</v>
      </c>
      <c r="N61" s="1" t="n">
        <v>0.475015163</v>
      </c>
      <c r="O61" s="1" t="n">
        <v>0.470424175</v>
      </c>
      <c r="P61" s="1" t="n">
        <v>0.480299234</v>
      </c>
      <c r="R61" s="1" t="n">
        <f aca="false">PERCENTILE(G61:P61,0.9)</f>
        <v>0.4890363691</v>
      </c>
      <c r="S61" s="5" t="n">
        <f aca="false">spmv_1!R$14/R61</f>
        <v>2.25861353570237</v>
      </c>
      <c r="T61" s="6" t="n">
        <f aca="false">S61/16</f>
        <v>0.141163345981398</v>
      </c>
    </row>
    <row r="62" customFormat="false" ht="15" hidden="false" customHeight="false" outlineLevel="0" collapsed="false">
      <c r="A62" s="1" t="s">
        <v>18</v>
      </c>
      <c r="B62" s="1" t="n">
        <v>3</v>
      </c>
      <c r="D62" s="1" t="n">
        <v>48405240</v>
      </c>
      <c r="E62" s="1" t="n">
        <v>0.240017</v>
      </c>
      <c r="G62" s="1" t="n">
        <v>0.40028286</v>
      </c>
      <c r="H62" s="1" t="n">
        <v>0.356777668</v>
      </c>
      <c r="I62" s="1" t="n">
        <v>0.39160943</v>
      </c>
      <c r="J62" s="1" t="n">
        <v>0.375038385</v>
      </c>
      <c r="K62" s="1" t="n">
        <v>0.328442812</v>
      </c>
      <c r="L62" s="1" t="n">
        <v>0.447187901</v>
      </c>
      <c r="M62" s="1" t="n">
        <v>0.448804379</v>
      </c>
      <c r="N62" s="1" t="n">
        <v>0.430650711</v>
      </c>
      <c r="O62" s="1" t="n">
        <v>0.426810503</v>
      </c>
      <c r="P62" s="1" t="n">
        <v>0.427871704</v>
      </c>
      <c r="R62" s="1" t="n">
        <f aca="false">PERCENTILE(G62:P62,0.9)</f>
        <v>0.4473495488</v>
      </c>
      <c r="S62" s="5" t="n">
        <f aca="false">spmv_1!R$14/R62</f>
        <v>2.46908522801219</v>
      </c>
      <c r="T62" s="6" t="n">
        <f aca="false">S62/16</f>
        <v>0.154317826750762</v>
      </c>
    </row>
    <row r="63" customFormat="false" ht="15" hidden="false" customHeight="false" outlineLevel="0" collapsed="false">
      <c r="A63" s="1" t="s">
        <v>18</v>
      </c>
      <c r="B63" s="1" t="n">
        <v>4</v>
      </c>
      <c r="D63" s="1" t="n">
        <v>48405240</v>
      </c>
      <c r="E63" s="1" t="n">
        <v>0.250051</v>
      </c>
      <c r="G63" s="1" t="n">
        <v>0.382167578</v>
      </c>
      <c r="H63" s="1" t="n">
        <v>0.349818707</v>
      </c>
      <c r="I63" s="1" t="n">
        <v>0.371327877</v>
      </c>
      <c r="J63" s="1" t="n">
        <v>0.361958027</v>
      </c>
      <c r="K63" s="1" t="n">
        <v>0.348821878</v>
      </c>
      <c r="L63" s="1" t="n">
        <v>0.422908306</v>
      </c>
      <c r="M63" s="1" t="n">
        <v>0.422933817</v>
      </c>
      <c r="N63" s="1" t="n">
        <v>0.404521942</v>
      </c>
      <c r="O63" s="1" t="n">
        <v>0.401960373</v>
      </c>
      <c r="P63" s="1" t="n">
        <v>0.405214071</v>
      </c>
      <c r="R63" s="1" t="n">
        <f aca="false">PERCENTILE(G63:P63,0.9)</f>
        <v>0.4229108571</v>
      </c>
      <c r="S63" s="5" t="n">
        <f aca="false">spmv_1!R$14/R63</f>
        <v>2.61176591746573</v>
      </c>
      <c r="T63" s="6" t="n">
        <f aca="false">S63/16</f>
        <v>0.163235369841608</v>
      </c>
    </row>
    <row r="64" customFormat="false" ht="15" hidden="false" customHeight="false" outlineLevel="0" collapsed="false">
      <c r="A64" s="1" t="s">
        <v>18</v>
      </c>
      <c r="B64" s="1" t="n">
        <v>5</v>
      </c>
      <c r="D64" s="1" t="n">
        <v>48405240</v>
      </c>
      <c r="E64" s="1" t="n">
        <v>0.242542</v>
      </c>
      <c r="G64" s="1" t="n">
        <v>0.403004408</v>
      </c>
      <c r="H64" s="1" t="n">
        <v>0.378808498</v>
      </c>
      <c r="I64" s="1" t="n">
        <v>0.36577177</v>
      </c>
      <c r="J64" s="1" t="n">
        <v>0.366316557</v>
      </c>
      <c r="K64" s="1" t="n">
        <v>0.378711939</v>
      </c>
      <c r="L64" s="1" t="n">
        <v>0.410873175</v>
      </c>
      <c r="M64" s="1" t="n">
        <v>0.432569027</v>
      </c>
      <c r="N64" s="1" t="n">
        <v>0.416754007</v>
      </c>
      <c r="O64" s="1" t="n">
        <v>0.408069134</v>
      </c>
      <c r="P64" s="1" t="n">
        <v>0.430618286</v>
      </c>
      <c r="R64" s="1" t="n">
        <f aca="false">PERCENTILE(G64:P64,0.9)</f>
        <v>0.4308133601</v>
      </c>
      <c r="S64" s="5" t="n">
        <f aca="false">spmv_1!R$14/R64</f>
        <v>2.56385772819026</v>
      </c>
      <c r="T64" s="6" t="n">
        <f aca="false">S64/16</f>
        <v>0.160241108011892</v>
      </c>
    </row>
    <row r="65" customFormat="false" ht="15" hidden="false" customHeight="false" outlineLevel="0" collapsed="false">
      <c r="A65" s="1" t="s">
        <v>18</v>
      </c>
      <c r="B65" s="1" t="n">
        <v>6</v>
      </c>
      <c r="D65" s="1" t="n">
        <v>48405240</v>
      </c>
      <c r="E65" s="1" t="n">
        <v>0.224835</v>
      </c>
      <c r="G65" s="1" t="n">
        <v>0.431385517</v>
      </c>
      <c r="H65" s="1" t="n">
        <v>0.403824329</v>
      </c>
      <c r="I65" s="1" t="n">
        <v>0.389252663</v>
      </c>
      <c r="J65" s="1" t="n">
        <v>0.390026331</v>
      </c>
      <c r="K65" s="1" t="n">
        <v>0.398647308</v>
      </c>
      <c r="L65" s="1" t="n">
        <v>0.449529886</v>
      </c>
      <c r="M65" s="1" t="n">
        <v>0.471121311</v>
      </c>
      <c r="N65" s="1" t="n">
        <v>0.456053019</v>
      </c>
      <c r="O65" s="1" t="n">
        <v>0.447158098</v>
      </c>
      <c r="P65" s="1" t="n">
        <v>0.468839169</v>
      </c>
      <c r="R65" s="1" t="n">
        <f aca="false">PERCENTILE(G65:P65,0.9)</f>
        <v>0.4690673832</v>
      </c>
      <c r="S65" s="5" t="n">
        <f aca="false">spmv_1!R$14/R65</f>
        <v>2.35476650532541</v>
      </c>
      <c r="T65" s="6" t="n">
        <f aca="false">S65/16</f>
        <v>0.147172906582838</v>
      </c>
    </row>
    <row r="66" customFormat="false" ht="15" hidden="false" customHeight="false" outlineLevel="0" collapsed="false">
      <c r="A66" s="1" t="s">
        <v>18</v>
      </c>
      <c r="B66" s="1" t="n">
        <v>7</v>
      </c>
      <c r="D66" s="1" t="n">
        <v>48405240</v>
      </c>
      <c r="E66" s="1" t="n">
        <v>0.177141</v>
      </c>
      <c r="G66" s="1" t="n">
        <v>0.541971684</v>
      </c>
      <c r="H66" s="1" t="n">
        <v>0.509107351</v>
      </c>
      <c r="I66" s="1" t="n">
        <v>0.500473261</v>
      </c>
      <c r="J66" s="1" t="n">
        <v>0.498930216</v>
      </c>
      <c r="K66" s="1" t="n">
        <v>0.507961988</v>
      </c>
      <c r="L66" s="1" t="n">
        <v>0.577141047</v>
      </c>
      <c r="M66" s="1" t="n">
        <v>0.598996401</v>
      </c>
      <c r="N66" s="1" t="n">
        <v>0.575875521</v>
      </c>
      <c r="O66" s="1" t="n">
        <v>0.566215992</v>
      </c>
      <c r="P66" s="1" t="n">
        <v>0.588500023</v>
      </c>
      <c r="R66" s="1" t="n">
        <f aca="false">PERCENTILE(G66:P66,0.9)</f>
        <v>0.5895496608</v>
      </c>
      <c r="S66" s="5" t="n">
        <f aca="false">spmv_1!R$14/R66</f>
        <v>1.87353879773448</v>
      </c>
      <c r="T66" s="6" t="n">
        <f aca="false">S66/16</f>
        <v>0.117096174858405</v>
      </c>
    </row>
    <row r="67" customFormat="false" ht="15" hidden="false" customHeight="false" outlineLevel="0" collapsed="false">
      <c r="A67" s="1" t="s">
        <v>18</v>
      </c>
      <c r="B67" s="1" t="n">
        <v>8</v>
      </c>
      <c r="D67" s="1" t="n">
        <v>48405240</v>
      </c>
      <c r="E67" s="1" t="n">
        <v>0.192455</v>
      </c>
      <c r="G67" s="1" t="n">
        <v>0.690859318</v>
      </c>
      <c r="H67" s="1" t="n">
        <v>0.519690037</v>
      </c>
      <c r="I67" s="1" t="n">
        <v>0.422804356</v>
      </c>
      <c r="J67" s="1" t="n">
        <v>0.419376135</v>
      </c>
      <c r="K67" s="1" t="n">
        <v>0.423536062</v>
      </c>
      <c r="L67" s="1" t="n">
        <v>0.490141153</v>
      </c>
      <c r="M67" s="1" t="n">
        <v>0.504406452</v>
      </c>
      <c r="N67" s="1" t="n">
        <v>0.54307723</v>
      </c>
      <c r="O67" s="1" t="n">
        <v>0.486208916</v>
      </c>
      <c r="P67" s="1" t="n">
        <v>0.530198812</v>
      </c>
      <c r="R67" s="1" t="n">
        <f aca="false">PERCENTILE(G67:P67,0.9)</f>
        <v>0.5578554388</v>
      </c>
      <c r="S67" s="5" t="n">
        <f aca="false">spmv_1!R$14/R67</f>
        <v>1.97998278026289</v>
      </c>
      <c r="T67" s="6" t="n">
        <f aca="false">S67/16</f>
        <v>0.123748923766431</v>
      </c>
    </row>
    <row r="68" customFormat="false" ht="15" hidden="false" customHeight="false" outlineLevel="0" collapsed="false">
      <c r="A68" s="1" t="s">
        <v>18</v>
      </c>
      <c r="B68" s="1" t="n">
        <v>9</v>
      </c>
      <c r="D68" s="1" t="n">
        <v>48405240</v>
      </c>
      <c r="E68" s="1" t="n">
        <v>0.166029</v>
      </c>
      <c r="G68" s="1" t="n">
        <v>0.649481297</v>
      </c>
      <c r="H68" s="1" t="n">
        <v>0.643112421</v>
      </c>
      <c r="I68" s="1" t="n">
        <v>0.495273113</v>
      </c>
      <c r="J68" s="1" t="n">
        <v>0.443332434</v>
      </c>
      <c r="K68" s="1" t="n">
        <v>0.452670813</v>
      </c>
      <c r="L68" s="1" t="n">
        <v>0.539255381</v>
      </c>
      <c r="M68" s="1" t="n">
        <v>0.668125629</v>
      </c>
      <c r="N68" s="1" t="n">
        <v>0.685765982</v>
      </c>
      <c r="O68" s="1" t="n">
        <v>0.57555747</v>
      </c>
      <c r="P68" s="1" t="n">
        <v>0.67837882</v>
      </c>
      <c r="R68" s="1" t="n">
        <f aca="false">PERCENTILE(G68:P68,0.9)</f>
        <v>0.6791175362</v>
      </c>
      <c r="S68" s="5" t="n">
        <f aca="false">spmv_1!R$14/R68</f>
        <v>1.62644034916323</v>
      </c>
      <c r="T68" s="6" t="n">
        <f aca="false">S68/16</f>
        <v>0.101652521822702</v>
      </c>
    </row>
    <row r="69" customFormat="false" ht="15" hidden="false" customHeight="false" outlineLevel="0" collapsed="false">
      <c r="A69" s="1" t="s">
        <v>18</v>
      </c>
      <c r="B69" s="1" t="n">
        <v>10</v>
      </c>
      <c r="D69" s="1" t="n">
        <v>48405240</v>
      </c>
      <c r="E69" s="1" t="n">
        <v>0.170532</v>
      </c>
      <c r="G69" s="1" t="n">
        <v>0.63875246</v>
      </c>
      <c r="H69" s="1" t="n">
        <v>0.626663208</v>
      </c>
      <c r="I69" s="1" t="n">
        <v>0.495716333</v>
      </c>
      <c r="J69" s="1" t="n">
        <v>0.433036804</v>
      </c>
      <c r="K69" s="1" t="n">
        <v>0.432410955</v>
      </c>
      <c r="L69" s="1" t="n">
        <v>0.521015167</v>
      </c>
      <c r="M69" s="1" t="n">
        <v>0.659932375</v>
      </c>
      <c r="N69" s="1" t="n">
        <v>0.659156799</v>
      </c>
      <c r="O69" s="1" t="n">
        <v>0.551210403</v>
      </c>
      <c r="P69" s="1" t="n">
        <v>0.659070969</v>
      </c>
      <c r="R69" s="1" t="n">
        <f aca="false">PERCENTILE(G69:P69,0.9)</f>
        <v>0.6592343566</v>
      </c>
      <c r="S69" s="5" t="n">
        <f aca="false">spmv_1!R$14/R69</f>
        <v>1.6754954465612</v>
      </c>
      <c r="T69" s="6" t="n">
        <f aca="false">S69/16</f>
        <v>0.104718465410075</v>
      </c>
    </row>
    <row r="70" customFormat="false" ht="15" hidden="false" customHeight="false" outlineLevel="0" collapsed="false">
      <c r="A70" s="1" t="s">
        <v>18</v>
      </c>
      <c r="B70" s="1" t="n">
        <v>11</v>
      </c>
      <c r="D70" s="1" t="n">
        <v>48405240</v>
      </c>
      <c r="E70" s="1" t="n">
        <v>0.220315</v>
      </c>
      <c r="G70" s="1" t="n">
        <v>0.43117404</v>
      </c>
      <c r="H70" s="1" t="n">
        <v>0.390197277</v>
      </c>
      <c r="I70" s="1" t="n">
        <v>0.422824383</v>
      </c>
      <c r="J70" s="1" t="n">
        <v>0.406085491</v>
      </c>
      <c r="K70" s="1" t="n">
        <v>0.389132023</v>
      </c>
      <c r="L70" s="1" t="n">
        <v>0.475122452</v>
      </c>
      <c r="M70" s="1" t="n">
        <v>0.474872351</v>
      </c>
      <c r="N70" s="1" t="n">
        <v>0.457181692</v>
      </c>
      <c r="O70" s="1" t="n">
        <v>0.464031219</v>
      </c>
      <c r="P70" s="1" t="n">
        <v>0.483568907</v>
      </c>
      <c r="R70" s="1" t="n">
        <f aca="false">PERCENTILE(G70:P70,0.9)</f>
        <v>0.4759670975</v>
      </c>
      <c r="S70" s="5" t="n">
        <f aca="false">spmv_1!R$14/R70</f>
        <v>2.32063133880804</v>
      </c>
      <c r="T70" s="6" t="n">
        <f aca="false">S70/16</f>
        <v>0.145039458675502</v>
      </c>
    </row>
    <row r="71" customFormat="false" ht="15" hidden="false" customHeight="false" outlineLevel="0" collapsed="false">
      <c r="A71" s="1" t="s">
        <v>18</v>
      </c>
      <c r="B71" s="1" t="n">
        <v>12</v>
      </c>
      <c r="D71" s="1" t="n">
        <v>48405240</v>
      </c>
      <c r="E71" s="1" t="n">
        <v>0.212502</v>
      </c>
      <c r="G71" s="1" t="n">
        <v>0.439908028</v>
      </c>
      <c r="H71" s="1" t="n">
        <v>0.393771887</v>
      </c>
      <c r="I71" s="1" t="n">
        <v>0.43945694</v>
      </c>
      <c r="J71" s="1" t="n">
        <v>0.415495872</v>
      </c>
      <c r="K71" s="1" t="n">
        <v>0.368765354</v>
      </c>
      <c r="L71" s="1" t="n">
        <v>0.483496428</v>
      </c>
      <c r="M71" s="1" t="n">
        <v>0.569339514</v>
      </c>
      <c r="N71" s="1" t="n">
        <v>0.468367577</v>
      </c>
      <c r="O71" s="1" t="n">
        <v>0.474742889</v>
      </c>
      <c r="P71" s="1" t="n">
        <v>0.502408028</v>
      </c>
      <c r="R71" s="1" t="n">
        <f aca="false">PERCENTILE(G71:P71,0.9)</f>
        <v>0.5091011766</v>
      </c>
      <c r="S71" s="5" t="n">
        <f aca="false">spmv_1!R$14/R71</f>
        <v>2.16959656246844</v>
      </c>
      <c r="T71" s="6" t="n">
        <f aca="false">S71/16</f>
        <v>0.135599785154278</v>
      </c>
    </row>
    <row r="72" customFormat="false" ht="15" hidden="false" customHeight="false" outlineLevel="0" collapsed="false">
      <c r="A72" s="1" t="s">
        <v>18</v>
      </c>
      <c r="B72" s="1" t="n">
        <v>13</v>
      </c>
      <c r="D72" s="1" t="n">
        <v>48405240</v>
      </c>
      <c r="E72" s="1" t="n">
        <v>0.146699</v>
      </c>
      <c r="G72" s="1" t="n">
        <v>0.577339888</v>
      </c>
      <c r="H72" s="1" t="n">
        <v>0.588953257</v>
      </c>
      <c r="I72" s="1" t="n">
        <v>0.571154833</v>
      </c>
      <c r="J72" s="1" t="n">
        <v>0.494729996</v>
      </c>
      <c r="K72" s="1" t="n">
        <v>0.449209929</v>
      </c>
      <c r="L72" s="1" t="n">
        <v>0.778588295</v>
      </c>
      <c r="M72" s="1" t="n">
        <v>0.800312996</v>
      </c>
      <c r="N72" s="1" t="n">
        <v>0.803372383</v>
      </c>
      <c r="O72" s="1" t="n">
        <v>0.75901556</v>
      </c>
      <c r="P72" s="1" t="n">
        <v>0.776570082</v>
      </c>
      <c r="R72" s="1" t="n">
        <f aca="false">PERCENTILE(G72:P72,0.9)</f>
        <v>0.8006189347</v>
      </c>
      <c r="S72" s="5" t="n">
        <f aca="false">spmv_1!R$14/R72</f>
        <v>1.37961284055052</v>
      </c>
      <c r="T72" s="6" t="n">
        <f aca="false">S72/16</f>
        <v>0.0862258025344077</v>
      </c>
    </row>
    <row r="73" customFormat="false" ht="15" hidden="false" customHeight="false" outlineLevel="0" collapsed="false">
      <c r="A73" s="1" t="s">
        <v>18</v>
      </c>
      <c r="B73" s="1" t="n">
        <v>14</v>
      </c>
      <c r="D73" s="1" t="n">
        <v>48405240</v>
      </c>
      <c r="E73" s="1" t="n">
        <v>0.189686</v>
      </c>
      <c r="G73" s="1" t="n">
        <v>0.515358925</v>
      </c>
      <c r="H73" s="1" t="n">
        <v>0.468652964</v>
      </c>
      <c r="I73" s="1" t="n">
        <v>0.488091469</v>
      </c>
      <c r="J73" s="1" t="n">
        <v>0.453391552</v>
      </c>
      <c r="K73" s="1" t="n">
        <v>0.393537998</v>
      </c>
      <c r="L73" s="1" t="n">
        <v>0.574711323</v>
      </c>
      <c r="M73" s="1" t="n">
        <v>0.578873158</v>
      </c>
      <c r="N73" s="1" t="n">
        <v>0.539156437</v>
      </c>
      <c r="O73" s="1" t="n">
        <v>0.531558037</v>
      </c>
      <c r="P73" s="1" t="n">
        <v>0.560400963</v>
      </c>
      <c r="R73" s="1" t="n">
        <f aca="false">PERCENTILE(G73:P73,0.9)</f>
        <v>0.5751275065</v>
      </c>
      <c r="S73" s="5" t="n">
        <f aca="false">spmv_1!R$14/R73</f>
        <v>1.92052049365857</v>
      </c>
      <c r="T73" s="6" t="n">
        <f aca="false">S73/16</f>
        <v>0.12003253085366</v>
      </c>
    </row>
    <row r="74" customFormat="false" ht="15" hidden="false" customHeight="false" outlineLevel="0" collapsed="false">
      <c r="A74" s="1" t="s">
        <v>18</v>
      </c>
      <c r="B74" s="1" t="n">
        <v>15</v>
      </c>
      <c r="D74" s="1" t="n">
        <v>48399496</v>
      </c>
      <c r="E74" s="1" t="n">
        <v>0.158488</v>
      </c>
      <c r="G74" s="1" t="n">
        <v>0.654021263</v>
      </c>
      <c r="H74" s="1" t="n">
        <v>0.643940449</v>
      </c>
      <c r="I74" s="1" t="n">
        <v>0.536233425</v>
      </c>
      <c r="J74" s="1" t="n">
        <v>0.469411612</v>
      </c>
      <c r="K74" s="1" t="n">
        <v>0.388266325</v>
      </c>
      <c r="L74" s="1" t="n">
        <v>0.644387245</v>
      </c>
      <c r="M74" s="1" t="n">
        <v>0.733975887</v>
      </c>
      <c r="N74" s="1" t="n">
        <v>0.704699993</v>
      </c>
      <c r="O74" s="1" t="n">
        <v>0.633947849</v>
      </c>
      <c r="P74" s="1" t="n">
        <v>0.698765993</v>
      </c>
      <c r="R74" s="1" t="n">
        <f aca="false">PERCENTILE(G74:P74,0.9)</f>
        <v>0.7076275824</v>
      </c>
      <c r="S74" s="5" t="n">
        <f aca="false">spmv_1!R$14/R74</f>
        <v>1.56091168599422</v>
      </c>
      <c r="T74" s="6" t="n">
        <f aca="false">S74/16</f>
        <v>0.097556980374639</v>
      </c>
    </row>
    <row r="77" customFormat="false" ht="15" hidden="false" customHeight="false" outlineLevel="0" collapsed="false">
      <c r="A77" s="2" t="s">
        <v>0</v>
      </c>
      <c r="B77" s="2" t="s">
        <v>1</v>
      </c>
      <c r="C77" s="3"/>
      <c r="D77" s="2" t="s">
        <v>2</v>
      </c>
      <c r="E77" s="2" t="s">
        <v>3</v>
      </c>
      <c r="F77" s="3"/>
      <c r="G77" s="2" t="s">
        <v>4</v>
      </c>
      <c r="H77" s="2" t="s">
        <v>5</v>
      </c>
      <c r="I77" s="2" t="s">
        <v>6</v>
      </c>
      <c r="J77" s="2" t="s">
        <v>7</v>
      </c>
      <c r="K77" s="2" t="s">
        <v>8</v>
      </c>
      <c r="L77" s="2" t="s">
        <v>9</v>
      </c>
      <c r="M77" s="2" t="s">
        <v>10</v>
      </c>
      <c r="N77" s="2" t="s">
        <v>11</v>
      </c>
      <c r="O77" s="2" t="s">
        <v>12</v>
      </c>
      <c r="P77" s="2" t="s">
        <v>13</v>
      </c>
      <c r="R77" s="4" t="s">
        <v>14</v>
      </c>
      <c r="S77" s="7" t="s">
        <v>20</v>
      </c>
      <c r="T77" s="8" t="s">
        <v>21</v>
      </c>
    </row>
    <row r="78" customFormat="false" ht="15" hidden="false" customHeight="false" outlineLevel="0" collapsed="false">
      <c r="A78" s="1" t="s">
        <v>19</v>
      </c>
      <c r="B78" s="1" t="n">
        <v>0</v>
      </c>
      <c r="D78" s="1" t="n">
        <v>2325817</v>
      </c>
      <c r="E78" s="1" t="n">
        <v>0.397246</v>
      </c>
      <c r="G78" s="1" t="n">
        <v>0.012349606</v>
      </c>
      <c r="H78" s="1" t="n">
        <v>0.011164427</v>
      </c>
      <c r="I78" s="1" t="n">
        <v>0.01101017</v>
      </c>
      <c r="J78" s="1" t="n">
        <v>0.011337042</v>
      </c>
      <c r="K78" s="1" t="n">
        <v>0.011107206</v>
      </c>
      <c r="L78" s="1" t="n">
        <v>0.011296511</v>
      </c>
      <c r="M78" s="1" t="n">
        <v>0.012068748</v>
      </c>
      <c r="N78" s="1" t="n">
        <v>0.011585474</v>
      </c>
      <c r="O78" s="1" t="n">
        <v>0.012624979</v>
      </c>
      <c r="P78" s="1" t="n">
        <v>0.012552977</v>
      </c>
      <c r="R78" s="1" t="n">
        <f aca="false">PERCENTILE(G78:P78,0.9)</f>
        <v>0.0125601772</v>
      </c>
      <c r="S78" s="5" t="n">
        <f aca="false">spmv_1!R$18/R78</f>
        <v>6.17337857303478</v>
      </c>
      <c r="T78" s="6" t="n">
        <f aca="false">S78/16</f>
        <v>0.385836160814674</v>
      </c>
    </row>
    <row r="79" customFormat="false" ht="15" hidden="false" customHeight="false" outlineLevel="0" collapsed="false">
      <c r="A79" s="1" t="s">
        <v>19</v>
      </c>
      <c r="B79" s="1" t="n">
        <v>1</v>
      </c>
      <c r="D79" s="1" t="n">
        <v>2296578</v>
      </c>
      <c r="E79" s="1" t="n">
        <v>0.39399</v>
      </c>
      <c r="G79" s="1" t="n">
        <v>0.012281418</v>
      </c>
      <c r="H79" s="1" t="n">
        <v>0.011156797</v>
      </c>
      <c r="I79" s="1" t="n">
        <v>0.010922194</v>
      </c>
      <c r="J79" s="1" t="n">
        <v>0.011371136</v>
      </c>
      <c r="K79" s="1" t="n">
        <v>0.011051178</v>
      </c>
      <c r="L79" s="1" t="n">
        <v>0.011198521</v>
      </c>
      <c r="M79" s="1" t="n">
        <v>0.012066603</v>
      </c>
      <c r="N79" s="1" t="n">
        <v>0.011538982</v>
      </c>
      <c r="O79" s="1" t="n">
        <v>0.012544632</v>
      </c>
      <c r="P79" s="1" t="n">
        <v>0.012449026</v>
      </c>
      <c r="R79" s="1" t="n">
        <f aca="false">PERCENTILE(G79:P79,0.9)</f>
        <v>0.0124585866</v>
      </c>
      <c r="S79" s="5" t="n">
        <f aca="false">spmv_1!R$18/R79</f>
        <v>6.22371792960848</v>
      </c>
      <c r="T79" s="6" t="n">
        <f aca="false">S79/16</f>
        <v>0.38898237060053</v>
      </c>
    </row>
    <row r="80" customFormat="false" ht="15" hidden="false" customHeight="false" outlineLevel="0" collapsed="false">
      <c r="A80" s="1" t="s">
        <v>19</v>
      </c>
      <c r="B80" s="1" t="n">
        <v>2</v>
      </c>
      <c r="D80" s="1" t="n">
        <v>2284182</v>
      </c>
      <c r="E80" s="1" t="n">
        <v>0.403951</v>
      </c>
      <c r="G80" s="1" t="n">
        <v>0.011956453</v>
      </c>
      <c r="H80" s="1" t="n">
        <v>0.010823488</v>
      </c>
      <c r="I80" s="1" t="n">
        <v>0.01062274</v>
      </c>
      <c r="J80" s="1" t="n">
        <v>0.010965109</v>
      </c>
      <c r="K80" s="1" t="n">
        <v>0.010749102</v>
      </c>
      <c r="L80" s="1" t="n">
        <v>0.010917902</v>
      </c>
      <c r="M80" s="1" t="n">
        <v>0.0115695</v>
      </c>
      <c r="N80" s="1" t="n">
        <v>0.011241674</v>
      </c>
      <c r="O80" s="1" t="n">
        <v>0.012098789</v>
      </c>
      <c r="P80" s="1" t="n">
        <v>0.012147188</v>
      </c>
      <c r="R80" s="1" t="n">
        <f aca="false">PERCENTILE(G80:P80,0.9)</f>
        <v>0.0121036289</v>
      </c>
      <c r="S80" s="5" t="n">
        <f aca="false">spmv_1!R$18/R80</f>
        <v>6.40623811590919</v>
      </c>
      <c r="T80" s="6" t="n">
        <f aca="false">S80/16</f>
        <v>0.400389882244324</v>
      </c>
    </row>
    <row r="81" customFormat="false" ht="15" hidden="false" customHeight="false" outlineLevel="0" collapsed="false">
      <c r="A81" s="1" t="s">
        <v>19</v>
      </c>
      <c r="B81" s="1" t="n">
        <v>3</v>
      </c>
      <c r="D81" s="1" t="n">
        <v>2379501</v>
      </c>
      <c r="E81" s="1" t="n">
        <v>0.415902</v>
      </c>
      <c r="G81" s="1" t="n">
        <v>0.012026072</v>
      </c>
      <c r="H81" s="1" t="n">
        <v>0.011009693</v>
      </c>
      <c r="I81" s="1" t="n">
        <v>0.010757923</v>
      </c>
      <c r="J81" s="1" t="n">
        <v>0.011153936</v>
      </c>
      <c r="K81" s="1" t="n">
        <v>0.010845661</v>
      </c>
      <c r="L81" s="1" t="n">
        <v>0.011045694</v>
      </c>
      <c r="M81" s="1" t="n">
        <v>0.011654615</v>
      </c>
      <c r="N81" s="1" t="n">
        <v>0.011384726</v>
      </c>
      <c r="O81" s="1" t="n">
        <v>0.01233983</v>
      </c>
      <c r="P81" s="1" t="n">
        <v>0.012207985</v>
      </c>
      <c r="R81" s="1" t="n">
        <f aca="false">PERCENTILE(G81:P81,0.9)</f>
        <v>0.0122211695</v>
      </c>
      <c r="S81" s="5" t="n">
        <f aca="false">spmv_1!R$18/R81</f>
        <v>6.34462428493443</v>
      </c>
      <c r="T81" s="6" t="n">
        <f aca="false">S81/16</f>
        <v>0.396539017808402</v>
      </c>
    </row>
    <row r="82" customFormat="false" ht="15" hidden="false" customHeight="false" outlineLevel="0" collapsed="false">
      <c r="A82" s="1" t="s">
        <v>19</v>
      </c>
      <c r="B82" s="1" t="n">
        <v>4</v>
      </c>
      <c r="D82" s="1" t="n">
        <v>2324721</v>
      </c>
      <c r="E82" s="1" t="n">
        <v>0.45557</v>
      </c>
      <c r="G82" s="1" t="n">
        <v>0.010840178</v>
      </c>
      <c r="H82" s="1" t="n">
        <v>0.00955677</v>
      </c>
      <c r="I82" s="1" t="n">
        <v>0.009560108</v>
      </c>
      <c r="J82" s="1" t="n">
        <v>0.009995699</v>
      </c>
      <c r="K82" s="1" t="n">
        <v>0.009540796</v>
      </c>
      <c r="L82" s="1" t="n">
        <v>0.009822607</v>
      </c>
      <c r="M82" s="1" t="n">
        <v>0.01058507</v>
      </c>
      <c r="N82" s="1" t="n">
        <v>0.010030031</v>
      </c>
      <c r="O82" s="1" t="n">
        <v>0.0109725</v>
      </c>
      <c r="P82" s="1" t="n">
        <v>0.011153936</v>
      </c>
      <c r="R82" s="1" t="n">
        <f aca="false">PERCENTILE(G82:P82,0.9)</f>
        <v>0.0109906436</v>
      </c>
      <c r="S82" s="5" t="n">
        <f aca="false">spmv_1!R$18/R82</f>
        <v>7.05497617992089</v>
      </c>
      <c r="T82" s="6" t="n">
        <f aca="false">S82/16</f>
        <v>0.440936011245056</v>
      </c>
    </row>
    <row r="83" customFormat="false" ht="15" hidden="false" customHeight="false" outlineLevel="0" collapsed="false">
      <c r="A83" s="1" t="s">
        <v>19</v>
      </c>
      <c r="B83" s="1" t="n">
        <v>5</v>
      </c>
      <c r="D83" s="1" t="n">
        <v>2296932</v>
      </c>
      <c r="E83" s="1" t="n">
        <v>0.453188</v>
      </c>
      <c r="G83" s="1" t="n">
        <v>0.010781765</v>
      </c>
      <c r="H83" s="1" t="n">
        <v>0.009492874</v>
      </c>
      <c r="I83" s="1" t="n">
        <v>0.009494066</v>
      </c>
      <c r="J83" s="1" t="n">
        <v>0.009886265</v>
      </c>
      <c r="K83" s="1" t="n">
        <v>0.009538174</v>
      </c>
      <c r="L83" s="1" t="n">
        <v>0.009789944</v>
      </c>
      <c r="M83" s="1" t="n">
        <v>0.010481596</v>
      </c>
      <c r="N83" s="1" t="n">
        <v>0.009940147</v>
      </c>
      <c r="O83" s="1" t="n">
        <v>0.010899544</v>
      </c>
      <c r="P83" s="1" t="n">
        <v>0.011063337</v>
      </c>
      <c r="R83" s="1" t="n">
        <f aca="false">PERCENTILE(G83:P83,0.9)</f>
        <v>0.0109159233</v>
      </c>
      <c r="S83" s="5" t="n">
        <f aca="false">spmv_1!R$18/R83</f>
        <v>7.10326801215249</v>
      </c>
      <c r="T83" s="6" t="n">
        <f aca="false">S83/16</f>
        <v>0.44395425075953</v>
      </c>
    </row>
    <row r="84" customFormat="false" ht="15" hidden="false" customHeight="false" outlineLevel="0" collapsed="false">
      <c r="A84" s="1" t="s">
        <v>19</v>
      </c>
      <c r="B84" s="1" t="n">
        <v>6</v>
      </c>
      <c r="D84" s="1" t="n">
        <v>2283175</v>
      </c>
      <c r="E84" s="1" t="n">
        <v>0.408884</v>
      </c>
      <c r="G84" s="1" t="n">
        <v>0.011853456</v>
      </c>
      <c r="H84" s="1" t="n">
        <v>0.010848999</v>
      </c>
      <c r="I84" s="1" t="n">
        <v>0.010610104</v>
      </c>
      <c r="J84" s="1" t="n">
        <v>0.011011362</v>
      </c>
      <c r="K84" s="1" t="n">
        <v>0.010794163</v>
      </c>
      <c r="L84" s="1" t="n">
        <v>0.010980368</v>
      </c>
      <c r="M84" s="1" t="n">
        <v>0.011111021</v>
      </c>
      <c r="N84" s="1" t="n">
        <v>0.011321783</v>
      </c>
      <c r="O84" s="1" t="n">
        <v>0.011638641</v>
      </c>
      <c r="P84" s="1" t="n">
        <v>0.011508465</v>
      </c>
      <c r="R84" s="1" t="n">
        <f aca="false">PERCENTILE(G84:P84,0.9)</f>
        <v>0.0116601225</v>
      </c>
      <c r="S84" s="5" t="n">
        <f aca="false">spmv_1!R$18/R84</f>
        <v>6.64990687705039</v>
      </c>
      <c r="T84" s="6" t="n">
        <f aca="false">S84/16</f>
        <v>0.415619179815649</v>
      </c>
    </row>
    <row r="85" customFormat="false" ht="15" hidden="false" customHeight="false" outlineLevel="0" collapsed="false">
      <c r="A85" s="1" t="s">
        <v>19</v>
      </c>
      <c r="B85" s="1" t="n">
        <v>7</v>
      </c>
      <c r="D85" s="1" t="n">
        <v>2376213</v>
      </c>
      <c r="E85" s="1" t="n">
        <v>0.395458</v>
      </c>
      <c r="G85" s="1" t="n">
        <v>0.012675762</v>
      </c>
      <c r="H85" s="1" t="n">
        <v>0.011531115</v>
      </c>
      <c r="I85" s="1" t="n">
        <v>0.011662006</v>
      </c>
      <c r="J85" s="1" t="n">
        <v>0.01174736</v>
      </c>
      <c r="K85" s="1" t="n">
        <v>0.011590242</v>
      </c>
      <c r="L85" s="1" t="n">
        <v>0.011711836</v>
      </c>
      <c r="M85" s="1" t="n">
        <v>0.012097836</v>
      </c>
      <c r="N85" s="1" t="n">
        <v>0.012057304</v>
      </c>
      <c r="O85" s="1" t="n">
        <v>0.012591362</v>
      </c>
      <c r="P85" s="1" t="n">
        <v>0.012510538</v>
      </c>
      <c r="R85" s="1" t="n">
        <f aca="false">PERCENTILE(G85:P85,0.9)</f>
        <v>0.012599802</v>
      </c>
      <c r="S85" s="5" t="n">
        <f aca="false">spmv_1!R$18/R85</f>
        <v>6.15396407022904</v>
      </c>
      <c r="T85" s="6" t="n">
        <f aca="false">S85/16</f>
        <v>0.384622754389315</v>
      </c>
    </row>
    <row r="86" customFormat="false" ht="15" hidden="false" customHeight="false" outlineLevel="0" collapsed="false">
      <c r="A86" s="1" t="s">
        <v>19</v>
      </c>
      <c r="B86" s="1" t="n">
        <v>8</v>
      </c>
      <c r="D86" s="1" t="n">
        <v>2325004</v>
      </c>
      <c r="E86" s="1" t="n">
        <v>0.383986</v>
      </c>
      <c r="G86" s="1" t="n">
        <v>0.012637138</v>
      </c>
      <c r="H86" s="1" t="n">
        <v>0.01142168</v>
      </c>
      <c r="I86" s="1" t="n">
        <v>0.01188612</v>
      </c>
      <c r="J86" s="1" t="n">
        <v>0.011863947</v>
      </c>
      <c r="K86" s="1" t="n">
        <v>0.011834621</v>
      </c>
      <c r="L86" s="1" t="n">
        <v>0.011784554</v>
      </c>
      <c r="M86" s="1" t="n">
        <v>0.012150288</v>
      </c>
      <c r="N86" s="1" t="n">
        <v>0.012104273</v>
      </c>
      <c r="O86" s="1" t="n">
        <v>0.012710571</v>
      </c>
      <c r="P86" s="1" t="n">
        <v>0.012705326</v>
      </c>
      <c r="R86" s="1" t="n">
        <f aca="false">PERCENTILE(G86:P86,0.9)</f>
        <v>0.0127058505</v>
      </c>
      <c r="S86" s="5" t="n">
        <f aca="false">spmv_1!R$18/R86</f>
        <v>6.1026004359173</v>
      </c>
      <c r="T86" s="6" t="n">
        <f aca="false">S86/16</f>
        <v>0.381412527244831</v>
      </c>
    </row>
    <row r="87" customFormat="false" ht="15" hidden="false" customHeight="false" outlineLevel="0" collapsed="false">
      <c r="A87" s="1" t="s">
        <v>19</v>
      </c>
      <c r="B87" s="1" t="n">
        <v>9</v>
      </c>
      <c r="D87" s="1" t="n">
        <v>2294923</v>
      </c>
      <c r="E87" s="1" t="n">
        <v>0.376437</v>
      </c>
      <c r="G87" s="1" t="n">
        <v>0.01271677</v>
      </c>
      <c r="H87" s="1" t="n">
        <v>0.011511564</v>
      </c>
      <c r="I87" s="1" t="n">
        <v>0.011808634</v>
      </c>
      <c r="J87" s="1" t="n">
        <v>0.011795044</v>
      </c>
      <c r="K87" s="1" t="n">
        <v>0.011826277</v>
      </c>
      <c r="L87" s="1" t="n">
        <v>0.011804581</v>
      </c>
      <c r="M87" s="1" t="n">
        <v>0.012590885</v>
      </c>
      <c r="N87" s="1" t="n">
        <v>0.012494564</v>
      </c>
      <c r="O87" s="1" t="n">
        <v>0.012669802</v>
      </c>
      <c r="P87" s="1" t="n">
        <v>0.012710571</v>
      </c>
      <c r="R87" s="1" t="n">
        <f aca="false">PERCENTILE(G87:P87,0.9)</f>
        <v>0.0127111909</v>
      </c>
      <c r="S87" s="5" t="n">
        <f aca="false">spmv_1!R$18/R87</f>
        <v>6.10003652765533</v>
      </c>
      <c r="T87" s="6" t="n">
        <f aca="false">S87/16</f>
        <v>0.381252282978458</v>
      </c>
    </row>
    <row r="88" customFormat="false" ht="15" hidden="false" customHeight="false" outlineLevel="0" collapsed="false">
      <c r="A88" s="1" t="s">
        <v>19</v>
      </c>
      <c r="B88" s="1" t="n">
        <v>10</v>
      </c>
      <c r="D88" s="1" t="n">
        <v>2284194</v>
      </c>
      <c r="E88" s="1" t="n">
        <v>0.341771</v>
      </c>
      <c r="G88" s="1" t="n">
        <v>0.01431942</v>
      </c>
      <c r="H88" s="1" t="n">
        <v>0.012800455</v>
      </c>
      <c r="I88" s="1" t="n">
        <v>0.013479471</v>
      </c>
      <c r="J88" s="1" t="n">
        <v>0.013122559</v>
      </c>
      <c r="K88" s="1" t="n">
        <v>0.012704611</v>
      </c>
      <c r="L88" s="1" t="n">
        <v>0.012881517</v>
      </c>
      <c r="M88" s="1" t="n">
        <v>0.013424397</v>
      </c>
      <c r="N88" s="1" t="n">
        <v>0.013543606</v>
      </c>
      <c r="O88" s="1" t="n">
        <v>0.013685465</v>
      </c>
      <c r="P88" s="1" t="n">
        <v>0.013706684</v>
      </c>
      <c r="R88" s="1" t="n">
        <f aca="false">PERCENTILE(G88:P88,0.9)</f>
        <v>0.0137679576</v>
      </c>
      <c r="S88" s="5" t="n">
        <f aca="false">spmv_1!R$18/R88</f>
        <v>5.63182507186106</v>
      </c>
      <c r="T88" s="6" t="n">
        <f aca="false">S88/16</f>
        <v>0.351989066991316</v>
      </c>
    </row>
    <row r="89" customFormat="false" ht="15" hidden="false" customHeight="false" outlineLevel="0" collapsed="false">
      <c r="A89" s="1" t="s">
        <v>19</v>
      </c>
      <c r="B89" s="1" t="n">
        <v>11</v>
      </c>
      <c r="D89" s="1" t="n">
        <v>2378110</v>
      </c>
      <c r="E89" s="1" t="n">
        <v>0.359496</v>
      </c>
      <c r="G89" s="1" t="n">
        <v>0.01431632</v>
      </c>
      <c r="H89" s="1" t="n">
        <v>0.012824535</v>
      </c>
      <c r="I89" s="1" t="n">
        <v>0.013039112</v>
      </c>
      <c r="J89" s="1" t="n">
        <v>0.012931347</v>
      </c>
      <c r="K89" s="1" t="n">
        <v>0.012666225</v>
      </c>
      <c r="L89" s="1" t="n">
        <v>0.012807608</v>
      </c>
      <c r="M89" s="1" t="n">
        <v>0.013342857</v>
      </c>
      <c r="N89" s="1" t="n">
        <v>0.013381243</v>
      </c>
      <c r="O89" s="1" t="n">
        <v>0.013426542</v>
      </c>
      <c r="P89" s="1" t="n">
        <v>0.013566732</v>
      </c>
      <c r="R89" s="1" t="n">
        <f aca="false">PERCENTILE(G89:P89,0.9)</f>
        <v>0.0136416908</v>
      </c>
      <c r="S89" s="5" t="n">
        <f aca="false">spmv_1!R$18/R89</f>
        <v>5.68395295984864</v>
      </c>
      <c r="T89" s="6" t="n">
        <f aca="false">S89/16</f>
        <v>0.35524705999054</v>
      </c>
    </row>
    <row r="90" customFormat="false" ht="15" hidden="false" customHeight="false" outlineLevel="0" collapsed="false">
      <c r="A90" s="1" t="s">
        <v>19</v>
      </c>
      <c r="B90" s="1" t="n">
        <v>12</v>
      </c>
      <c r="D90" s="1" t="n">
        <v>2326561</v>
      </c>
      <c r="E90" s="1" t="n">
        <v>0.364323</v>
      </c>
      <c r="G90" s="1" t="n">
        <v>0.013768435</v>
      </c>
      <c r="H90" s="1" t="n">
        <v>0.012259483</v>
      </c>
      <c r="I90" s="1" t="n">
        <v>0.01269412</v>
      </c>
      <c r="J90" s="1" t="n">
        <v>0.012606621</v>
      </c>
      <c r="K90" s="1" t="n">
        <v>0.012064457</v>
      </c>
      <c r="L90" s="1" t="n">
        <v>0.0121665</v>
      </c>
      <c r="M90" s="1" t="n">
        <v>0.012944698</v>
      </c>
      <c r="N90" s="1" t="n">
        <v>0.012666702</v>
      </c>
      <c r="O90" s="1" t="n">
        <v>0.013124228</v>
      </c>
      <c r="P90" s="1" t="n">
        <v>0.013424397</v>
      </c>
      <c r="R90" s="1" t="n">
        <f aca="false">PERCENTILE(G90:P90,0.9)</f>
        <v>0.0134588008</v>
      </c>
      <c r="S90" s="5" t="n">
        <f aca="false">spmv_1!R$18/R90</f>
        <v>5.76119150229194</v>
      </c>
      <c r="T90" s="6" t="n">
        <f aca="false">S90/16</f>
        <v>0.360074468893246</v>
      </c>
    </row>
    <row r="91" customFormat="false" ht="15" hidden="false" customHeight="false" outlineLevel="0" collapsed="false">
      <c r="A91" s="1" t="s">
        <v>19</v>
      </c>
      <c r="B91" s="1" t="n">
        <v>13</v>
      </c>
      <c r="D91" s="1" t="n">
        <v>2296349</v>
      </c>
      <c r="E91" s="1" t="n">
        <v>0.355382</v>
      </c>
      <c r="G91" s="1" t="n">
        <v>0.013810158</v>
      </c>
      <c r="H91" s="1" t="n">
        <v>0.012424707</v>
      </c>
      <c r="I91" s="1" t="n">
        <v>0.012595177</v>
      </c>
      <c r="J91" s="1" t="n">
        <v>0.012520075</v>
      </c>
      <c r="K91" s="1" t="n">
        <v>0.012135744</v>
      </c>
      <c r="L91" s="1" t="n">
        <v>0.012225389</v>
      </c>
      <c r="M91" s="1" t="n">
        <v>0.013184547</v>
      </c>
      <c r="N91" s="1" t="n">
        <v>0.013074398</v>
      </c>
      <c r="O91" s="1" t="n">
        <v>0.01362443</v>
      </c>
      <c r="P91" s="1" t="n">
        <v>0.013638258</v>
      </c>
      <c r="R91" s="1" t="n">
        <f aca="false">PERCENTILE(G91:P91,0.9)</f>
        <v>0.013655448</v>
      </c>
      <c r="S91" s="5" t="n">
        <f aca="false">spmv_1!R$18/R91</f>
        <v>5.67822665356713</v>
      </c>
      <c r="T91" s="6" t="n">
        <f aca="false">S91/16</f>
        <v>0.354889165847946</v>
      </c>
    </row>
    <row r="92" customFormat="false" ht="15" hidden="false" customHeight="false" outlineLevel="0" collapsed="false">
      <c r="A92" s="1" t="s">
        <v>19</v>
      </c>
      <c r="B92" s="1" t="n">
        <v>14</v>
      </c>
      <c r="D92" s="1" t="n">
        <v>2286553</v>
      </c>
      <c r="E92" s="1" t="n">
        <v>0.353521</v>
      </c>
      <c r="G92" s="1" t="n">
        <v>0.013865232</v>
      </c>
      <c r="H92" s="1" t="n">
        <v>0.012463093</v>
      </c>
      <c r="I92" s="1" t="n">
        <v>0.012635708</v>
      </c>
      <c r="J92" s="1" t="n">
        <v>0.01255703</v>
      </c>
      <c r="K92" s="1" t="n">
        <v>0.012096167</v>
      </c>
      <c r="L92" s="1" t="n">
        <v>0.012166977</v>
      </c>
      <c r="M92" s="1" t="n">
        <v>0.013377428</v>
      </c>
      <c r="N92" s="1" t="n">
        <v>0.01305294</v>
      </c>
      <c r="O92" s="1" t="n">
        <v>0.013611555</v>
      </c>
      <c r="P92" s="1" t="n">
        <v>0.013532639</v>
      </c>
      <c r="R92" s="1" t="n">
        <f aca="false">PERCENTILE(G92:P92,0.9)</f>
        <v>0.0136369227</v>
      </c>
      <c r="S92" s="5" t="n">
        <f aca="false">spmv_1!R$18/R92</f>
        <v>5.68594033315156</v>
      </c>
      <c r="T92" s="6" t="n">
        <f aca="false">S92/16</f>
        <v>0.355371270821972</v>
      </c>
    </row>
    <row r="93" customFormat="false" ht="15" hidden="false" customHeight="false" outlineLevel="0" collapsed="false">
      <c r="A93" s="1" t="s">
        <v>19</v>
      </c>
      <c r="B93" s="1" t="n">
        <v>15</v>
      </c>
      <c r="D93" s="1" t="n">
        <v>2379648</v>
      </c>
      <c r="E93" s="1" t="n">
        <v>0.42079</v>
      </c>
      <c r="G93" s="1" t="n">
        <v>0.011868715</v>
      </c>
      <c r="H93" s="1" t="n">
        <v>0.010627031</v>
      </c>
      <c r="I93" s="1" t="n">
        <v>0.010601282</v>
      </c>
      <c r="J93" s="1" t="n">
        <v>0.010989428</v>
      </c>
      <c r="K93" s="1" t="n">
        <v>0.010864496</v>
      </c>
      <c r="L93" s="1" t="n">
        <v>0.010816813</v>
      </c>
      <c r="M93" s="1" t="n">
        <v>0.011622667</v>
      </c>
      <c r="N93" s="1" t="n">
        <v>0.011206388</v>
      </c>
      <c r="O93" s="1" t="n">
        <v>0.012236834</v>
      </c>
      <c r="P93" s="1" t="n">
        <v>0.012270212</v>
      </c>
      <c r="R93" s="1" t="n">
        <f aca="false">PERCENTILE(G93:P93,0.9)</f>
        <v>0.0122401718</v>
      </c>
      <c r="S93" s="5" t="n">
        <f aca="false">spmv_1!R$18/R93</f>
        <v>6.33477454948794</v>
      </c>
      <c r="T93" s="6" t="n">
        <f aca="false">S93/16</f>
        <v>0.395923409342996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73"/>
  <sheetViews>
    <sheetView showFormulas="false" showGridLines="true" showRowColHeaders="true" showZeros="true" rightToLeft="false" tabSelected="false" showOutlineSymbols="true" defaultGridColor="true" view="normal" topLeftCell="A156" colorId="64" zoomScale="100" zoomScaleNormal="100" zoomScalePageLayoutView="100" workbookViewId="0">
      <selection pane="topLeft" activeCell="U141" activeCellId="0" sqref="U141"/>
    </sheetView>
  </sheetViews>
  <sheetFormatPr defaultColWidth="8.6171875" defaultRowHeight="15" customHeight="true" zeroHeight="false" outlineLevelRow="0" outlineLevelCol="0"/>
  <cols>
    <col collapsed="false" customWidth="true" hidden="false" outlineLevel="0" max="1" min="1" style="1" width="13.34"/>
    <col collapsed="false" customWidth="true" hidden="false" outlineLevel="0" max="3" min="3" style="1" width="6.25"/>
    <col collapsed="false" customWidth="true" hidden="false" outlineLevel="0" max="5" min="4" style="1" width="13.34"/>
    <col collapsed="false" customWidth="true" hidden="false" outlineLevel="0" max="6" min="6" style="1" width="6.25"/>
    <col collapsed="false" customWidth="true" hidden="false" outlineLevel="0" max="16" min="7" style="1" width="13.34"/>
    <col collapsed="false" customWidth="true" hidden="false" outlineLevel="0" max="17" min="17" style="1" width="6.25"/>
    <col collapsed="false" customWidth="true" hidden="false" outlineLevel="0" max="18" min="18" style="1" width="13.34"/>
    <col collapsed="false" customWidth="true" hidden="false" outlineLevel="0" max="19" min="19" style="5" width="13.34"/>
    <col collapsed="false" customWidth="true" hidden="false" outlineLevel="0" max="20" min="20" style="6" width="13.34"/>
    <col collapsed="false" customWidth="true" hidden="false" outlineLevel="0" max="16384" min="16384" style="1" width="10.49"/>
  </cols>
  <sheetData>
    <row r="1" customFormat="false" ht="15" hidden="false" customHeight="false" outlineLevel="0" collapsed="false">
      <c r="A1" s="2" t="s">
        <v>0</v>
      </c>
      <c r="B1" s="2" t="s">
        <v>1</v>
      </c>
      <c r="C1" s="3"/>
      <c r="D1" s="2" t="s">
        <v>2</v>
      </c>
      <c r="E1" s="2" t="s">
        <v>3</v>
      </c>
      <c r="F1" s="3"/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R1" s="4" t="s">
        <v>14</v>
      </c>
      <c r="S1" s="7" t="s">
        <v>20</v>
      </c>
      <c r="T1" s="8" t="s">
        <v>21</v>
      </c>
    </row>
    <row r="2" customFormat="false" ht="15" hidden="false" customHeight="false" outlineLevel="0" collapsed="false">
      <c r="A2" s="1" t="s">
        <v>15</v>
      </c>
      <c r="B2" s="1" t="n">
        <v>0</v>
      </c>
      <c r="D2" s="1" t="n">
        <v>334767</v>
      </c>
      <c r="E2" s="1" t="n">
        <v>0.3082</v>
      </c>
      <c r="G2" s="1" t="n">
        <v>0.003142118</v>
      </c>
      <c r="H2" s="1" t="n">
        <v>0.002468586</v>
      </c>
      <c r="I2" s="1" t="n">
        <v>0.00225687</v>
      </c>
      <c r="J2" s="1" t="n">
        <v>0.002562523</v>
      </c>
      <c r="K2" s="1" t="n">
        <v>0.002287388</v>
      </c>
      <c r="L2" s="1" t="n">
        <v>0.001948595</v>
      </c>
      <c r="M2" s="1" t="n">
        <v>0.001868486</v>
      </c>
      <c r="N2" s="1" t="n">
        <v>0.001846552</v>
      </c>
      <c r="O2" s="1" t="n">
        <v>0.00170064</v>
      </c>
      <c r="P2" s="1" t="n">
        <v>0.001642227</v>
      </c>
      <c r="R2" s="1" t="n">
        <f aca="false">PERCENTILE(G2:P2,0.9)</f>
        <v>0.0026204825</v>
      </c>
      <c r="S2" s="5" t="n">
        <f aca="false">spmv_1!R$2/R2</f>
        <v>6.64887035116624</v>
      </c>
      <c r="T2" s="6" t="n">
        <f aca="false">S2/32</f>
        <v>0.207777198473945</v>
      </c>
    </row>
    <row r="3" customFormat="false" ht="15" hidden="false" customHeight="false" outlineLevel="0" collapsed="false">
      <c r="A3" s="1" t="s">
        <v>15</v>
      </c>
      <c r="B3" s="1" t="n">
        <v>1</v>
      </c>
      <c r="D3" s="1" t="n">
        <v>335777</v>
      </c>
      <c r="E3" s="1" t="n">
        <v>0.309885</v>
      </c>
      <c r="G3" s="1" t="n">
        <v>0.003232956</v>
      </c>
      <c r="H3" s="1" t="n">
        <v>0.002453804</v>
      </c>
      <c r="I3" s="1" t="n">
        <v>0.002284288</v>
      </c>
      <c r="J3" s="1" t="n">
        <v>0.002555132</v>
      </c>
      <c r="K3" s="1" t="n">
        <v>0.002288342</v>
      </c>
      <c r="L3" s="1" t="n">
        <v>0.001928329</v>
      </c>
      <c r="M3" s="1" t="n">
        <v>0.001856565</v>
      </c>
      <c r="N3" s="1" t="n">
        <v>0.001803875</v>
      </c>
      <c r="O3" s="1" t="n">
        <v>0.001657248</v>
      </c>
      <c r="P3" s="1" t="n">
        <v>0.001610518</v>
      </c>
      <c r="R3" s="1" t="n">
        <f aca="false">PERCENTILE(G3:P3,0.9)</f>
        <v>0.0026229144</v>
      </c>
      <c r="S3" s="5" t="n">
        <f aca="false">spmv_1!R$2/R3</f>
        <v>6.64270568646846</v>
      </c>
      <c r="T3" s="6" t="n">
        <f aca="false">S3/32</f>
        <v>0.207584552702139</v>
      </c>
    </row>
    <row r="4" customFormat="false" ht="15" hidden="false" customHeight="false" outlineLevel="0" collapsed="false">
      <c r="A4" s="1" t="s">
        <v>15</v>
      </c>
      <c r="B4" s="1" t="n">
        <v>2</v>
      </c>
      <c r="D4" s="1" t="n">
        <v>334221</v>
      </c>
      <c r="E4" s="1" t="n">
        <v>0.305119</v>
      </c>
      <c r="G4" s="1" t="n">
        <v>0.003208876</v>
      </c>
      <c r="H4" s="1" t="n">
        <v>0.002468109</v>
      </c>
      <c r="I4" s="1" t="n">
        <v>0.002327681</v>
      </c>
      <c r="J4" s="1" t="n">
        <v>0.002563715</v>
      </c>
      <c r="K4" s="1" t="n">
        <v>0.00229454</v>
      </c>
      <c r="L4" s="1" t="n">
        <v>0.001962662</v>
      </c>
      <c r="M4" s="1" t="n">
        <v>0.001888037</v>
      </c>
      <c r="N4" s="1" t="n">
        <v>0.001859903</v>
      </c>
      <c r="O4" s="1" t="n">
        <v>0.001700401</v>
      </c>
      <c r="P4" s="1" t="n">
        <v>0.001633644</v>
      </c>
      <c r="R4" s="1" t="n">
        <f aca="false">PERCENTILE(G4:P4,0.9)</f>
        <v>0.0026282311</v>
      </c>
      <c r="S4" s="5" t="n">
        <f aca="false">spmv_1!R$2/R4</f>
        <v>6.62926802745771</v>
      </c>
      <c r="T4" s="6" t="n">
        <f aca="false">S4/32</f>
        <v>0.207164625858053</v>
      </c>
    </row>
    <row r="5" customFormat="false" ht="15" hidden="false" customHeight="false" outlineLevel="0" collapsed="false">
      <c r="A5" s="1" t="s">
        <v>15</v>
      </c>
      <c r="B5" s="1" t="n">
        <v>3</v>
      </c>
      <c r="D5" s="1" t="n">
        <v>332836</v>
      </c>
      <c r="E5" s="1" t="n">
        <v>0.309185</v>
      </c>
      <c r="G5" s="1" t="n">
        <v>0.003132343</v>
      </c>
      <c r="H5" s="1" t="n">
        <v>0.002407551</v>
      </c>
      <c r="I5" s="1" t="n">
        <v>0.002344847</v>
      </c>
      <c r="J5" s="1" t="n">
        <v>0.002476931</v>
      </c>
      <c r="K5" s="1" t="n">
        <v>0.002249718</v>
      </c>
      <c r="L5" s="1" t="n">
        <v>0.001920223</v>
      </c>
      <c r="M5" s="1" t="n">
        <v>0.001866579</v>
      </c>
      <c r="N5" s="1" t="n">
        <v>0.001827002</v>
      </c>
      <c r="O5" s="1" t="n">
        <v>0.001681805</v>
      </c>
      <c r="P5" s="1" t="n">
        <v>0.001622915</v>
      </c>
      <c r="R5" s="1" t="n">
        <f aca="false">PERCENTILE(G5:P5,0.9)</f>
        <v>0.0025424722</v>
      </c>
      <c r="S5" s="5" t="n">
        <f aca="false">spmv_1!R$2/R5</f>
        <v>6.85287666075562</v>
      </c>
      <c r="T5" s="6" t="n">
        <f aca="false">S5/32</f>
        <v>0.214152395648613</v>
      </c>
    </row>
    <row r="6" customFormat="false" ht="15" hidden="false" customHeight="false" outlineLevel="0" collapsed="false">
      <c r="A6" s="1" t="s">
        <v>15</v>
      </c>
      <c r="B6" s="1" t="n">
        <v>4</v>
      </c>
      <c r="D6" s="1" t="n">
        <v>331435</v>
      </c>
      <c r="E6" s="1" t="n">
        <v>0.311743</v>
      </c>
      <c r="G6" s="1" t="n">
        <v>0.003157854</v>
      </c>
      <c r="H6" s="1" t="n">
        <v>0.00236392</v>
      </c>
      <c r="I6" s="1" t="n">
        <v>0.002364635</v>
      </c>
      <c r="J6" s="1" t="n">
        <v>0.002455235</v>
      </c>
      <c r="K6" s="1" t="n">
        <v>0.002170324</v>
      </c>
      <c r="L6" s="1" t="n">
        <v>0.001869917</v>
      </c>
      <c r="M6" s="1" t="n">
        <v>0.001818895</v>
      </c>
      <c r="N6" s="1" t="n">
        <v>0.001765966</v>
      </c>
      <c r="O6" s="1" t="n">
        <v>0.001638889</v>
      </c>
      <c r="P6" s="1" t="n">
        <v>0.001657724</v>
      </c>
      <c r="R6" s="1" t="n">
        <f aca="false">PERCENTILE(G6:P6,0.9)</f>
        <v>0.0025254969</v>
      </c>
      <c r="S6" s="5" t="n">
        <f aca="false">spmv_1!R$2/R6</f>
        <v>6.89893873954072</v>
      </c>
      <c r="T6" s="6" t="n">
        <f aca="false">S6/32</f>
        <v>0.215591835610648</v>
      </c>
    </row>
    <row r="7" customFormat="false" ht="15" hidden="false" customHeight="false" outlineLevel="0" collapsed="false">
      <c r="A7" s="1" t="s">
        <v>15</v>
      </c>
      <c r="B7" s="1" t="n">
        <v>5</v>
      </c>
      <c r="D7" s="1" t="n">
        <v>331788</v>
      </c>
      <c r="E7" s="1" t="n">
        <v>0.312692</v>
      </c>
      <c r="G7" s="1" t="n">
        <v>0.003153801</v>
      </c>
      <c r="H7" s="1" t="n">
        <v>0.002295971</v>
      </c>
      <c r="I7" s="1" t="n">
        <v>0.00239563</v>
      </c>
      <c r="J7" s="1" t="n">
        <v>0.002475977</v>
      </c>
      <c r="K7" s="1" t="n">
        <v>0.002182961</v>
      </c>
      <c r="L7" s="1" t="n">
        <v>0.001874447</v>
      </c>
      <c r="M7" s="1" t="n">
        <v>0.00178051</v>
      </c>
      <c r="N7" s="1" t="n">
        <v>0.001720428</v>
      </c>
      <c r="O7" s="1" t="n">
        <v>0.001674891</v>
      </c>
      <c r="P7" s="1" t="n">
        <v>0.001666784</v>
      </c>
      <c r="R7" s="1" t="n">
        <f aca="false">PERCENTILE(G7:P7,0.9)</f>
        <v>0.0025437594</v>
      </c>
      <c r="S7" s="5" t="n">
        <f aca="false">spmv_1!R$2/R7</f>
        <v>6.84940894960428</v>
      </c>
      <c r="T7" s="6" t="n">
        <f aca="false">S7/32</f>
        <v>0.214044029675134</v>
      </c>
    </row>
    <row r="8" customFormat="false" ht="15" hidden="false" customHeight="false" outlineLevel="0" collapsed="false">
      <c r="A8" s="1" t="s">
        <v>15</v>
      </c>
      <c r="B8" s="1" t="n">
        <v>6</v>
      </c>
      <c r="D8" s="1" t="n">
        <v>331215</v>
      </c>
      <c r="E8" s="1" t="n">
        <v>0.317455</v>
      </c>
      <c r="G8" s="1" t="n">
        <v>0.003110886</v>
      </c>
      <c r="H8" s="1" t="n">
        <v>0.002251863</v>
      </c>
      <c r="I8" s="1" t="n">
        <v>0.002389669</v>
      </c>
      <c r="J8" s="1" t="n">
        <v>0.002447367</v>
      </c>
      <c r="K8" s="1" t="n">
        <v>0.002167225</v>
      </c>
      <c r="L8" s="1" t="n">
        <v>0.001829147</v>
      </c>
      <c r="M8" s="1" t="n">
        <v>0.001746655</v>
      </c>
      <c r="N8" s="1" t="n">
        <v>0.001678944</v>
      </c>
      <c r="O8" s="1" t="n">
        <v>0.001637459</v>
      </c>
      <c r="P8" s="1" t="n">
        <v>0.001607656</v>
      </c>
      <c r="R8" s="1" t="n">
        <f aca="false">PERCENTILE(G8:P8,0.9)</f>
        <v>0.0025137189</v>
      </c>
      <c r="S8" s="5" t="n">
        <f aca="false">spmv_1!R$2/R8</f>
        <v>6.93126363492752</v>
      </c>
      <c r="T8" s="6" t="n">
        <f aca="false">S8/32</f>
        <v>0.216601988591485</v>
      </c>
    </row>
    <row r="9" customFormat="false" ht="15" hidden="false" customHeight="false" outlineLevel="0" collapsed="false">
      <c r="A9" s="1" t="s">
        <v>15</v>
      </c>
      <c r="B9" s="1" t="n">
        <v>7</v>
      </c>
      <c r="D9" s="1" t="n">
        <v>331506</v>
      </c>
      <c r="E9" s="1" t="n">
        <v>0.32393</v>
      </c>
      <c r="G9" s="1" t="n">
        <v>0.003127813</v>
      </c>
      <c r="H9" s="1" t="n">
        <v>0.002154827</v>
      </c>
      <c r="I9" s="1" t="n">
        <v>0.002283573</v>
      </c>
      <c r="J9" s="1" t="n">
        <v>0.002417088</v>
      </c>
      <c r="K9" s="1" t="n">
        <v>0.00209713</v>
      </c>
      <c r="L9" s="1" t="n">
        <v>0.00179863</v>
      </c>
      <c r="M9" s="1" t="n">
        <v>0.001713753</v>
      </c>
      <c r="N9" s="1" t="n">
        <v>0.001655817</v>
      </c>
      <c r="O9" s="1" t="n">
        <v>0.001613379</v>
      </c>
      <c r="P9" s="1" t="n">
        <v>0.001605749</v>
      </c>
      <c r="R9" s="1" t="n">
        <f aca="false">PERCENTILE(G9:P9,0.9)</f>
        <v>0.0024881605</v>
      </c>
      <c r="S9" s="5" t="n">
        <f aca="false">spmv_1!R$2/R9</f>
        <v>7.00246161772924</v>
      </c>
      <c r="T9" s="6" t="n">
        <f aca="false">S9/32</f>
        <v>0.218826925554039</v>
      </c>
    </row>
    <row r="10" customFormat="false" ht="15" hidden="false" customHeight="false" outlineLevel="0" collapsed="false">
      <c r="A10" s="1" t="s">
        <v>15</v>
      </c>
      <c r="B10" s="1" t="n">
        <v>8</v>
      </c>
      <c r="D10" s="1" t="n">
        <v>330876</v>
      </c>
      <c r="E10" s="1" t="n">
        <v>0.326705</v>
      </c>
      <c r="G10" s="1" t="n">
        <v>0.003057241</v>
      </c>
      <c r="H10" s="1" t="n">
        <v>0.002120256</v>
      </c>
      <c r="I10" s="1" t="n">
        <v>0.002291918</v>
      </c>
      <c r="J10" s="1" t="n">
        <v>0.002417088</v>
      </c>
      <c r="K10" s="1" t="n">
        <v>0.002101183</v>
      </c>
      <c r="L10" s="1" t="n">
        <v>0.001801729</v>
      </c>
      <c r="M10" s="1" t="n">
        <v>0.00169301</v>
      </c>
      <c r="N10" s="1" t="n">
        <v>0.001636028</v>
      </c>
      <c r="O10" s="1" t="n">
        <v>0.001580238</v>
      </c>
      <c r="P10" s="1" t="n">
        <v>0.001556635</v>
      </c>
      <c r="R10" s="1" t="n">
        <f aca="false">PERCENTILE(G10:P10,0.9)</f>
        <v>0.0024811033</v>
      </c>
      <c r="S10" s="5" t="n">
        <f aca="false">spmv_1!R$2/R10</f>
        <v>7.02237927779952</v>
      </c>
      <c r="T10" s="6" t="n">
        <f aca="false">S10/32</f>
        <v>0.219449352431235</v>
      </c>
    </row>
    <row r="11" customFormat="false" ht="15" hidden="false" customHeight="false" outlineLevel="0" collapsed="false">
      <c r="A11" s="1" t="s">
        <v>15</v>
      </c>
      <c r="B11" s="1" t="n">
        <v>9</v>
      </c>
      <c r="D11" s="1" t="n">
        <v>332319</v>
      </c>
      <c r="E11" s="1" t="n">
        <v>0.344717</v>
      </c>
      <c r="G11" s="1" t="n">
        <v>0.002894163</v>
      </c>
      <c r="H11" s="1" t="n">
        <v>0.002004623</v>
      </c>
      <c r="I11" s="1" t="n">
        <v>0.00224781</v>
      </c>
      <c r="J11" s="1" t="n">
        <v>0.00222826</v>
      </c>
      <c r="K11" s="1" t="n">
        <v>0.001960278</v>
      </c>
      <c r="L11" s="1" t="n">
        <v>0.001750946</v>
      </c>
      <c r="M11" s="1" t="n">
        <v>0.001614571</v>
      </c>
      <c r="N11" s="1" t="n">
        <v>0.001588583</v>
      </c>
      <c r="O11" s="1" t="n">
        <v>0.001483917</v>
      </c>
      <c r="P11" s="1" t="n">
        <v>0.001507521</v>
      </c>
      <c r="R11" s="1" t="n">
        <f aca="false">PERCENTILE(G11:P11,0.9)</f>
        <v>0.0023124453</v>
      </c>
      <c r="S11" s="5" t="n">
        <f aca="false">spmv_1!R$2/R11</f>
        <v>7.53455590927924</v>
      </c>
      <c r="T11" s="6" t="n">
        <f aca="false">S11/32</f>
        <v>0.235454872164976</v>
      </c>
    </row>
    <row r="12" customFormat="false" ht="15" hidden="false" customHeight="false" outlineLevel="0" collapsed="false">
      <c r="A12" s="1" t="s">
        <v>15</v>
      </c>
      <c r="B12" s="1" t="n">
        <v>10</v>
      </c>
      <c r="D12" s="1" t="n">
        <v>333354</v>
      </c>
      <c r="E12" s="1" t="n">
        <v>0.337112</v>
      </c>
      <c r="G12" s="1" t="n">
        <v>0.002963543</v>
      </c>
      <c r="H12" s="1" t="n">
        <v>0.002032757</v>
      </c>
      <c r="I12" s="1" t="n">
        <v>0.002365351</v>
      </c>
      <c r="J12" s="1" t="n">
        <v>0.002259016</v>
      </c>
      <c r="K12" s="1" t="n">
        <v>0.002002716</v>
      </c>
      <c r="L12" s="1" t="n">
        <v>0.001818419</v>
      </c>
      <c r="M12" s="1" t="n">
        <v>0.001657248</v>
      </c>
      <c r="N12" s="1" t="n">
        <v>0.001609802</v>
      </c>
      <c r="O12" s="1" t="n">
        <v>0.001564026</v>
      </c>
      <c r="P12" s="1" t="n">
        <v>0.001504183</v>
      </c>
      <c r="R12" s="1" t="n">
        <f aca="false">PERCENTILE(G12:P12,0.9)</f>
        <v>0.0024251702</v>
      </c>
      <c r="S12" s="5" t="n">
        <f aca="false">spmv_1!R$2/R12</f>
        <v>7.18434046402187</v>
      </c>
      <c r="T12" s="6" t="n">
        <f aca="false">S12/32</f>
        <v>0.224510639500683</v>
      </c>
    </row>
    <row r="13" customFormat="false" ht="15" hidden="false" customHeight="false" outlineLevel="0" collapsed="false">
      <c r="A13" s="1" t="s">
        <v>15</v>
      </c>
      <c r="B13" s="1" t="n">
        <v>11</v>
      </c>
      <c r="D13" s="1" t="n">
        <v>335328</v>
      </c>
      <c r="E13" s="1" t="n">
        <v>0.343724</v>
      </c>
      <c r="G13" s="1" t="n">
        <v>0.002942801</v>
      </c>
      <c r="H13" s="1" t="n">
        <v>0.002038479</v>
      </c>
      <c r="I13" s="1" t="n">
        <v>0.002389908</v>
      </c>
      <c r="J13" s="1" t="n">
        <v>0.002181292</v>
      </c>
      <c r="K13" s="1" t="n">
        <v>0.00195384</v>
      </c>
      <c r="L13" s="1" t="n">
        <v>0.001770973</v>
      </c>
      <c r="M13" s="1" t="n">
        <v>0.001647711</v>
      </c>
      <c r="N13" s="1" t="n">
        <v>0.001559496</v>
      </c>
      <c r="O13" s="1" t="n">
        <v>0.001538754</v>
      </c>
      <c r="P13" s="1" t="n">
        <v>0.001488209</v>
      </c>
      <c r="R13" s="1" t="n">
        <f aca="false">PERCENTILE(G13:P13,0.9)</f>
        <v>0.0024451973</v>
      </c>
      <c r="S13" s="5" t="n">
        <f aca="false">spmv_1!R$2/R13</f>
        <v>7.12549797106352</v>
      </c>
      <c r="T13" s="6" t="n">
        <f aca="false">S13/32</f>
        <v>0.222671811595735</v>
      </c>
    </row>
    <row r="14" customFormat="false" ht="15" hidden="false" customHeight="false" outlineLevel="0" collapsed="false">
      <c r="A14" s="1" t="s">
        <v>15</v>
      </c>
      <c r="B14" s="1" t="n">
        <v>12</v>
      </c>
      <c r="D14" s="1" t="n">
        <v>335205</v>
      </c>
      <c r="E14" s="1" t="n">
        <v>0.355191</v>
      </c>
      <c r="G14" s="1" t="n">
        <v>0.002804756</v>
      </c>
      <c r="H14" s="1" t="n">
        <v>0.002053738</v>
      </c>
      <c r="I14" s="1" t="n">
        <v>0.002340317</v>
      </c>
      <c r="J14" s="1" t="n">
        <v>0.002098083</v>
      </c>
      <c r="K14" s="1" t="n">
        <v>0.001850843</v>
      </c>
      <c r="L14" s="1" t="n">
        <v>0.001713276</v>
      </c>
      <c r="M14" s="1" t="n">
        <v>0.001580715</v>
      </c>
      <c r="N14" s="1" t="n">
        <v>0.001531363</v>
      </c>
      <c r="O14" s="1" t="n">
        <v>0.001446962</v>
      </c>
      <c r="P14" s="1" t="n">
        <v>0.001454592</v>
      </c>
      <c r="R14" s="1" t="n">
        <f aca="false">PERCENTILE(G14:P14,0.9)</f>
        <v>0.0023867609</v>
      </c>
      <c r="S14" s="5" t="n">
        <f aca="false">spmv_1!R$2/R14</f>
        <v>7.29995551711946</v>
      </c>
      <c r="T14" s="6" t="n">
        <f aca="false">S14/32</f>
        <v>0.228123609909983</v>
      </c>
    </row>
    <row r="15" customFormat="false" ht="15" hidden="false" customHeight="false" outlineLevel="0" collapsed="false">
      <c r="A15" s="1" t="s">
        <v>15</v>
      </c>
      <c r="B15" s="1" t="n">
        <v>13</v>
      </c>
      <c r="D15" s="1" t="n">
        <v>334347</v>
      </c>
      <c r="E15" s="1" t="n">
        <v>0.355422</v>
      </c>
      <c r="G15" s="1" t="n">
        <v>0.002773285</v>
      </c>
      <c r="H15" s="1" t="n">
        <v>0.00204277</v>
      </c>
      <c r="I15" s="1" t="n">
        <v>0.002412558</v>
      </c>
      <c r="J15" s="1" t="n">
        <v>0.002025366</v>
      </c>
      <c r="K15" s="1" t="n">
        <v>0.001820326</v>
      </c>
      <c r="L15" s="1" t="n">
        <v>0.001745701</v>
      </c>
      <c r="M15" s="1" t="n">
        <v>0.001592875</v>
      </c>
      <c r="N15" s="1" t="n">
        <v>0.001524925</v>
      </c>
      <c r="O15" s="1" t="n">
        <v>0.001445055</v>
      </c>
      <c r="P15" s="1" t="n">
        <v>0.001431227</v>
      </c>
      <c r="R15" s="1" t="n">
        <f aca="false">PERCENTILE(G15:P15,0.9)</f>
        <v>0.0024486307</v>
      </c>
      <c r="S15" s="5" t="n">
        <f aca="false">spmv_1!R$2/R15</f>
        <v>7.11550680141354</v>
      </c>
      <c r="T15" s="6" t="n">
        <f aca="false">S15/32</f>
        <v>0.222359587544173</v>
      </c>
    </row>
    <row r="16" customFormat="false" ht="15" hidden="false" customHeight="false" outlineLevel="0" collapsed="false">
      <c r="A16" s="1" t="s">
        <v>15</v>
      </c>
      <c r="B16" s="1" t="n">
        <v>14</v>
      </c>
      <c r="D16" s="1" t="n">
        <v>332426</v>
      </c>
      <c r="E16" s="1" t="n">
        <v>0.348818</v>
      </c>
      <c r="G16" s="1" t="n">
        <v>0.002793074</v>
      </c>
      <c r="H16" s="1" t="n">
        <v>0.002057314</v>
      </c>
      <c r="I16" s="1" t="n">
        <v>0.002429247</v>
      </c>
      <c r="J16" s="1" t="n">
        <v>0.002023697</v>
      </c>
      <c r="K16" s="1" t="n">
        <v>0.001804829</v>
      </c>
      <c r="L16" s="1" t="n">
        <v>0.001879454</v>
      </c>
      <c r="M16" s="1" t="n">
        <v>0.001600027</v>
      </c>
      <c r="N16" s="1" t="n">
        <v>0.001563787</v>
      </c>
      <c r="O16" s="1" t="n">
        <v>0.001472473</v>
      </c>
      <c r="P16" s="1" t="n">
        <v>0.001436234</v>
      </c>
      <c r="R16" s="1" t="n">
        <f aca="false">PERCENTILE(G16:P16,0.9)</f>
        <v>0.0024656297</v>
      </c>
      <c r="S16" s="5" t="n">
        <f aca="false">spmv_1!R$2/R16</f>
        <v>7.06644975926434</v>
      </c>
      <c r="T16" s="6" t="n">
        <f aca="false">S16/32</f>
        <v>0.220826554977011</v>
      </c>
    </row>
    <row r="17" customFormat="false" ht="15" hidden="false" customHeight="false" outlineLevel="0" collapsed="false">
      <c r="A17" s="1" t="s">
        <v>15</v>
      </c>
      <c r="B17" s="1" t="n">
        <v>15</v>
      </c>
      <c r="D17" s="1" t="n">
        <v>331944</v>
      </c>
      <c r="E17" s="1" t="n">
        <v>0.351553</v>
      </c>
      <c r="G17" s="1" t="n">
        <v>0.002857685</v>
      </c>
      <c r="H17" s="1" t="n">
        <v>0.002016783</v>
      </c>
      <c r="I17" s="1" t="n">
        <v>0.002412081</v>
      </c>
      <c r="J17" s="1" t="n">
        <v>0.001996756</v>
      </c>
      <c r="K17" s="1" t="n">
        <v>0.001784801</v>
      </c>
      <c r="L17" s="1" t="n">
        <v>0.001854181</v>
      </c>
      <c r="M17" s="1" t="n">
        <v>0.001563549</v>
      </c>
      <c r="N17" s="1" t="n">
        <v>0.001531363</v>
      </c>
      <c r="O17" s="1" t="n">
        <v>0.001441002</v>
      </c>
      <c r="P17" s="1" t="n">
        <v>0.00142622</v>
      </c>
      <c r="R17" s="1" t="n">
        <f aca="false">PERCENTILE(G17:P17,0.9)</f>
        <v>0.0024566414</v>
      </c>
      <c r="S17" s="5" t="n">
        <f aca="false">spmv_1!R$2/R17</f>
        <v>7.09230431433745</v>
      </c>
      <c r="T17" s="6" t="n">
        <f aca="false">S17/32</f>
        <v>0.221634509823045</v>
      </c>
    </row>
    <row r="18" customFormat="false" ht="15" hidden="false" customHeight="false" outlineLevel="0" collapsed="false">
      <c r="A18" s="1" t="s">
        <v>15</v>
      </c>
      <c r="B18" s="1" t="n">
        <v>16</v>
      </c>
      <c r="D18" s="1" t="n">
        <v>331685</v>
      </c>
      <c r="E18" s="1" t="n">
        <v>0.26606</v>
      </c>
      <c r="G18" s="1" t="n">
        <v>0.003926516</v>
      </c>
      <c r="H18" s="1" t="n">
        <v>0.002644539</v>
      </c>
      <c r="I18" s="1" t="n">
        <v>0.002636433</v>
      </c>
      <c r="J18" s="1" t="n">
        <v>0.002715349</v>
      </c>
      <c r="K18" s="1" t="n">
        <v>0.002563</v>
      </c>
      <c r="L18" s="1" t="n">
        <v>0.002267599</v>
      </c>
      <c r="M18" s="1" t="n">
        <v>0.002110481</v>
      </c>
      <c r="N18" s="1" t="n">
        <v>0.002007246</v>
      </c>
      <c r="O18" s="1" t="n">
        <v>0.002011061</v>
      </c>
      <c r="P18" s="1" t="n">
        <v>0.002050877</v>
      </c>
      <c r="R18" s="1" t="n">
        <f aca="false">PERCENTILE(G18:P18,0.9)</f>
        <v>0.0028364657</v>
      </c>
      <c r="S18" s="5" t="n">
        <f aca="false">spmv_1!R$2/R18</f>
        <v>6.14259090106395</v>
      </c>
      <c r="T18" s="6" t="n">
        <f aca="false">S18/32</f>
        <v>0.191955965658249</v>
      </c>
    </row>
    <row r="19" customFormat="false" ht="15" hidden="false" customHeight="false" outlineLevel="0" collapsed="false">
      <c r="A19" s="1" t="s">
        <v>15</v>
      </c>
      <c r="B19" s="1" t="n">
        <v>17</v>
      </c>
      <c r="D19" s="1" t="n">
        <v>331569</v>
      </c>
      <c r="E19" s="1" t="n">
        <v>0.312184</v>
      </c>
      <c r="G19" s="1" t="n">
        <v>0.003308535</v>
      </c>
      <c r="H19" s="1" t="n">
        <v>0.002100468</v>
      </c>
      <c r="I19" s="1" t="n">
        <v>0.002348661</v>
      </c>
      <c r="J19" s="1" t="n">
        <v>0.002342224</v>
      </c>
      <c r="K19" s="1" t="n">
        <v>0.002165079</v>
      </c>
      <c r="L19" s="1" t="n">
        <v>0.001955509</v>
      </c>
      <c r="M19" s="1" t="n">
        <v>0.001767159</v>
      </c>
      <c r="N19" s="1" t="n">
        <v>0.001738548</v>
      </c>
      <c r="O19" s="1" t="n">
        <v>0.001736403</v>
      </c>
      <c r="P19" s="1" t="n">
        <v>0.001779318</v>
      </c>
      <c r="R19" s="1" t="n">
        <f aca="false">PERCENTILE(G19:P19,0.9)</f>
        <v>0.0024446484</v>
      </c>
      <c r="S19" s="5" t="n">
        <f aca="false">spmv_1!R$2/R19</f>
        <v>7.12709786814333</v>
      </c>
      <c r="T19" s="6" t="n">
        <f aca="false">S19/32</f>
        <v>0.222721808379479</v>
      </c>
    </row>
    <row r="20" customFormat="false" ht="15" hidden="false" customHeight="false" outlineLevel="0" collapsed="false">
      <c r="A20" s="1" t="s">
        <v>15</v>
      </c>
      <c r="B20" s="1" t="n">
        <v>18</v>
      </c>
      <c r="D20" s="1" t="n">
        <v>330867</v>
      </c>
      <c r="E20" s="1" t="n">
        <v>0.267525</v>
      </c>
      <c r="G20" s="1" t="n">
        <v>0.003865957</v>
      </c>
      <c r="H20" s="1" t="n">
        <v>0.002702713</v>
      </c>
      <c r="I20" s="1" t="n">
        <v>0.002573729</v>
      </c>
      <c r="J20" s="1" t="n">
        <v>0.002770424</v>
      </c>
      <c r="K20" s="1" t="n">
        <v>0.002613783</v>
      </c>
      <c r="L20" s="1" t="n">
        <v>0.002239466</v>
      </c>
      <c r="M20" s="1" t="n">
        <v>0.00204587</v>
      </c>
      <c r="N20" s="1" t="n">
        <v>0.001964092</v>
      </c>
      <c r="O20" s="1" t="n">
        <v>0.001964569</v>
      </c>
      <c r="P20" s="1" t="n">
        <v>0.001994848</v>
      </c>
      <c r="R20" s="1" t="n">
        <f aca="false">PERCENTILE(G20:P20,0.9)</f>
        <v>0.0028799773</v>
      </c>
      <c r="S20" s="5" t="n">
        <f aca="false">spmv_1!R$2/R20</f>
        <v>6.04978671186054</v>
      </c>
      <c r="T20" s="6" t="n">
        <f aca="false">S20/32</f>
        <v>0.189055834745642</v>
      </c>
    </row>
    <row r="21" customFormat="false" ht="15" hidden="false" customHeight="false" outlineLevel="0" collapsed="false">
      <c r="A21" s="1" t="s">
        <v>15</v>
      </c>
      <c r="B21" s="1" t="n">
        <v>19</v>
      </c>
      <c r="D21" s="1" t="n">
        <v>330539</v>
      </c>
      <c r="E21" s="1" t="n">
        <v>0.292899</v>
      </c>
      <c r="G21" s="1" t="n">
        <v>0.00345993</v>
      </c>
      <c r="H21" s="1" t="n">
        <v>0.002364874</v>
      </c>
      <c r="I21" s="1" t="n">
        <v>0.00241828</v>
      </c>
      <c r="J21" s="1" t="n">
        <v>0.002497673</v>
      </c>
      <c r="K21" s="1" t="n">
        <v>0.00238061</v>
      </c>
      <c r="L21" s="1" t="n">
        <v>0.002033472</v>
      </c>
      <c r="M21" s="1" t="n">
        <v>0.001860619</v>
      </c>
      <c r="N21" s="1" t="n">
        <v>0.001823425</v>
      </c>
      <c r="O21" s="1" t="n">
        <v>0.001834393</v>
      </c>
      <c r="P21" s="1" t="n">
        <v>0.001896858</v>
      </c>
      <c r="R21" s="1" t="n">
        <f aca="false">PERCENTILE(G21:P21,0.9)</f>
        <v>0.0025938987</v>
      </c>
      <c r="S21" s="5" t="n">
        <f aca="false">spmv_1!R$2/R21</f>
        <v>6.71701188639325</v>
      </c>
      <c r="T21" s="6" t="n">
        <f aca="false">S21/32</f>
        <v>0.209906621449789</v>
      </c>
    </row>
    <row r="22" customFormat="false" ht="15" hidden="false" customHeight="false" outlineLevel="0" collapsed="false">
      <c r="A22" s="1" t="s">
        <v>15</v>
      </c>
      <c r="B22" s="1" t="n">
        <v>20</v>
      </c>
      <c r="D22" s="1" t="n">
        <v>331263</v>
      </c>
      <c r="E22" s="1" t="n">
        <v>0.317364</v>
      </c>
      <c r="G22" s="1" t="n">
        <v>0.003310442</v>
      </c>
      <c r="H22" s="1" t="n">
        <v>0.002162457</v>
      </c>
      <c r="I22" s="1" t="n">
        <v>0.002165318</v>
      </c>
      <c r="J22" s="1" t="n">
        <v>0.002362251</v>
      </c>
      <c r="K22" s="1" t="n">
        <v>0.002215624</v>
      </c>
      <c r="L22" s="1" t="n">
        <v>0.001887321</v>
      </c>
      <c r="M22" s="1" t="n">
        <v>0.001692772</v>
      </c>
      <c r="N22" s="1" t="n">
        <v>0.001673698</v>
      </c>
      <c r="O22" s="1" t="n">
        <v>0.001681328</v>
      </c>
      <c r="P22" s="1" t="n">
        <v>0.00172472</v>
      </c>
      <c r="R22" s="1" t="n">
        <f aca="false">PERCENTILE(G22:P22,0.9)</f>
        <v>0.0024570701</v>
      </c>
      <c r="S22" s="5" t="n">
        <f aca="false">spmv_1!R$2/R22</f>
        <v>7.09106687676514</v>
      </c>
      <c r="T22" s="6" t="n">
        <f aca="false">S22/32</f>
        <v>0.221595839898911</v>
      </c>
    </row>
    <row r="23" customFormat="false" ht="15" hidden="false" customHeight="false" outlineLevel="0" collapsed="false">
      <c r="A23" s="1" t="s">
        <v>15</v>
      </c>
      <c r="B23" s="1" t="n">
        <v>21</v>
      </c>
      <c r="D23" s="1" t="n">
        <v>333806</v>
      </c>
      <c r="E23" s="1" t="n">
        <v>0.276137</v>
      </c>
      <c r="G23" s="1" t="n">
        <v>0.003753424</v>
      </c>
      <c r="H23" s="1" t="n">
        <v>0.002703905</v>
      </c>
      <c r="I23" s="1" t="n">
        <v>0.002356768</v>
      </c>
      <c r="J23" s="1" t="n">
        <v>0.002770185</v>
      </c>
      <c r="K23" s="1" t="n">
        <v>0.002625704</v>
      </c>
      <c r="L23" s="1" t="n">
        <v>0.002186298</v>
      </c>
      <c r="M23" s="1" t="n">
        <v>0.001993418</v>
      </c>
      <c r="N23" s="1" t="n">
        <v>0.001897097</v>
      </c>
      <c r="O23" s="1" t="n">
        <v>0.001931429</v>
      </c>
      <c r="P23" s="1" t="n">
        <v>0.001958609</v>
      </c>
      <c r="R23" s="1" t="n">
        <f aca="false">PERCENTILE(G23:P23,0.9)</f>
        <v>0.0028685089</v>
      </c>
      <c r="S23" s="5" t="n">
        <f aca="false">spmv_1!R$2/R23</f>
        <v>6.07397397302829</v>
      </c>
      <c r="T23" s="6" t="n">
        <f aca="false">S23/32</f>
        <v>0.189811686657134</v>
      </c>
    </row>
    <row r="24" customFormat="false" ht="15" hidden="false" customHeight="false" outlineLevel="0" collapsed="false">
      <c r="A24" s="1" t="s">
        <v>15</v>
      </c>
      <c r="B24" s="1" t="n">
        <v>22</v>
      </c>
      <c r="D24" s="1" t="n">
        <v>334497</v>
      </c>
      <c r="E24" s="1" t="n">
        <v>0.316589</v>
      </c>
      <c r="G24" s="1" t="n">
        <v>0.003326178</v>
      </c>
      <c r="H24" s="1" t="n">
        <v>0.002289295</v>
      </c>
      <c r="I24" s="1" t="n">
        <v>0.002046824</v>
      </c>
      <c r="J24" s="1" t="n">
        <v>0.002430916</v>
      </c>
      <c r="K24" s="1" t="n">
        <v>0.002274752</v>
      </c>
      <c r="L24" s="1" t="n">
        <v>0.001955032</v>
      </c>
      <c r="M24" s="1" t="n">
        <v>0.001692533</v>
      </c>
      <c r="N24" s="1" t="n">
        <v>0.001687288</v>
      </c>
      <c r="O24" s="1" t="n">
        <v>0.00169754</v>
      </c>
      <c r="P24" s="1" t="n">
        <v>0.001730919</v>
      </c>
      <c r="R24" s="1" t="n">
        <f aca="false">PERCENTILE(G24:P24,0.9)</f>
        <v>0.0025204422</v>
      </c>
      <c r="S24" s="5" t="n">
        <f aca="false">spmv_1!R$2/R24</f>
        <v>6.91277443299434</v>
      </c>
      <c r="T24" s="6" t="n">
        <f aca="false">S24/32</f>
        <v>0.216024201031073</v>
      </c>
    </row>
    <row r="25" customFormat="false" ht="15" hidden="false" customHeight="false" outlineLevel="0" collapsed="false">
      <c r="A25" s="1" t="s">
        <v>15</v>
      </c>
      <c r="B25" s="1" t="n">
        <v>23</v>
      </c>
      <c r="D25" s="1" t="n">
        <v>335059</v>
      </c>
      <c r="E25" s="1" t="n">
        <v>0.278406</v>
      </c>
      <c r="G25" s="1" t="n">
        <v>0.003805399</v>
      </c>
      <c r="H25" s="1" t="n">
        <v>0.002785206</v>
      </c>
      <c r="I25" s="1" t="n">
        <v>0.002272367</v>
      </c>
      <c r="J25" s="1" t="n">
        <v>0.002760887</v>
      </c>
      <c r="K25" s="1" t="n">
        <v>0.002622128</v>
      </c>
      <c r="L25" s="1" t="n">
        <v>0.002179623</v>
      </c>
      <c r="M25" s="1" t="n">
        <v>0.001967907</v>
      </c>
      <c r="N25" s="1" t="n">
        <v>0.001867294</v>
      </c>
      <c r="O25" s="1" t="n">
        <v>0.00188899</v>
      </c>
      <c r="P25" s="1" t="n">
        <v>0.001919985</v>
      </c>
      <c r="R25" s="1" t="n">
        <f aca="false">PERCENTILE(G25:P25,0.9)</f>
        <v>0.0028872253</v>
      </c>
      <c r="S25" s="5" t="n">
        <f aca="false">spmv_1!R$2/R25</f>
        <v>6.03459951670554</v>
      </c>
      <c r="T25" s="6" t="n">
        <f aca="false">S25/32</f>
        <v>0.188581234897048</v>
      </c>
    </row>
    <row r="26" customFormat="false" ht="15" hidden="false" customHeight="false" outlineLevel="0" collapsed="false">
      <c r="A26" s="1" t="s">
        <v>15</v>
      </c>
      <c r="B26" s="1" t="n">
        <v>24</v>
      </c>
      <c r="D26" s="1" t="n">
        <v>332316</v>
      </c>
      <c r="E26" s="1" t="n">
        <v>0.278658</v>
      </c>
      <c r="G26" s="1" t="n">
        <v>0.003828287</v>
      </c>
      <c r="H26" s="1" t="n">
        <v>0.002784014</v>
      </c>
      <c r="I26" s="1" t="n">
        <v>0.00221777</v>
      </c>
      <c r="J26" s="1" t="n">
        <v>0.002761126</v>
      </c>
      <c r="K26" s="1" t="n">
        <v>0.00262022</v>
      </c>
      <c r="L26" s="1" t="n">
        <v>0.002055407</v>
      </c>
      <c r="M26" s="1" t="n">
        <v>0.001953125</v>
      </c>
      <c r="N26" s="1" t="n">
        <v>0.00184989</v>
      </c>
      <c r="O26" s="1" t="n">
        <v>0.001871586</v>
      </c>
      <c r="P26" s="1" t="n">
        <v>0.001909733</v>
      </c>
      <c r="R26" s="1" t="n">
        <f aca="false">PERCENTILE(G26:P26,0.9)</f>
        <v>0.0028884413</v>
      </c>
      <c r="S26" s="5" t="n">
        <f aca="false">spmv_1!R$2/R26</f>
        <v>6.03205902089823</v>
      </c>
      <c r="T26" s="6" t="n">
        <f aca="false">S26/32</f>
        <v>0.18850184440307</v>
      </c>
    </row>
    <row r="27" customFormat="false" ht="15" hidden="false" customHeight="false" outlineLevel="0" collapsed="false">
      <c r="A27" s="1" t="s">
        <v>15</v>
      </c>
      <c r="B27" s="1" t="n">
        <v>25</v>
      </c>
      <c r="D27" s="1" t="n">
        <v>332419</v>
      </c>
      <c r="E27" s="1" t="n">
        <v>0.282767</v>
      </c>
      <c r="G27" s="1" t="n">
        <v>0.003581285</v>
      </c>
      <c r="H27" s="1" t="n">
        <v>0.00279355</v>
      </c>
      <c r="I27" s="1" t="n">
        <v>0.002266645</v>
      </c>
      <c r="J27" s="1" t="n">
        <v>0.002833605</v>
      </c>
      <c r="K27" s="1" t="n">
        <v>0.002556801</v>
      </c>
      <c r="L27" s="1" t="n">
        <v>0.00200963</v>
      </c>
      <c r="M27" s="1" t="n">
        <v>0.001976967</v>
      </c>
      <c r="N27" s="1" t="n">
        <v>0.001815796</v>
      </c>
      <c r="O27" s="1" t="n">
        <v>0.001823187</v>
      </c>
      <c r="P27" s="1" t="n">
        <v>0.00185442</v>
      </c>
      <c r="R27" s="1" t="n">
        <f aca="false">PERCENTILE(G27:P27,0.9)</f>
        <v>0.002908373</v>
      </c>
      <c r="S27" s="5" t="n">
        <f aca="false">spmv_1!R$2/R27</f>
        <v>5.99072003487861</v>
      </c>
      <c r="T27" s="6" t="n">
        <f aca="false">S27/32</f>
        <v>0.187210001089956</v>
      </c>
    </row>
    <row r="28" customFormat="false" ht="15" hidden="false" customHeight="false" outlineLevel="0" collapsed="false">
      <c r="A28" s="1" t="s">
        <v>15</v>
      </c>
      <c r="B28" s="1" t="n">
        <v>26</v>
      </c>
      <c r="D28" s="1" t="n">
        <v>331237</v>
      </c>
      <c r="E28" s="1" t="n">
        <v>0.320682</v>
      </c>
      <c r="G28" s="1" t="n">
        <v>0.003144979</v>
      </c>
      <c r="H28" s="1" t="n">
        <v>0.002449036</v>
      </c>
      <c r="I28" s="1" t="n">
        <v>0.002125025</v>
      </c>
      <c r="J28" s="1" t="n">
        <v>0.002531528</v>
      </c>
      <c r="K28" s="1" t="n">
        <v>0.002177715</v>
      </c>
      <c r="L28" s="1" t="n">
        <v>0.001755476</v>
      </c>
      <c r="M28" s="1" t="n">
        <v>0.001643419</v>
      </c>
      <c r="N28" s="1" t="n">
        <v>0.001605272</v>
      </c>
      <c r="O28" s="1" t="n">
        <v>0.001609325</v>
      </c>
      <c r="P28" s="1" t="n">
        <v>0.001616478</v>
      </c>
      <c r="R28" s="1" t="n">
        <f aca="false">PERCENTILE(G28:P28,0.9)</f>
        <v>0.0025928731</v>
      </c>
      <c r="S28" s="5" t="n">
        <f aca="false">spmv_1!R$2/R28</f>
        <v>6.71966877206601</v>
      </c>
      <c r="T28" s="6" t="n">
        <f aca="false">S28/32</f>
        <v>0.209989649127063</v>
      </c>
    </row>
    <row r="29" customFormat="false" ht="15" hidden="false" customHeight="false" outlineLevel="0" collapsed="false">
      <c r="A29" s="1" t="s">
        <v>15</v>
      </c>
      <c r="B29" s="1" t="n">
        <v>27</v>
      </c>
      <c r="D29" s="1" t="n">
        <v>332357</v>
      </c>
      <c r="E29" s="1" t="n">
        <v>0.277754</v>
      </c>
      <c r="G29" s="1" t="n">
        <v>0.003620625</v>
      </c>
      <c r="H29" s="1" t="n">
        <v>0.002893209</v>
      </c>
      <c r="I29" s="1" t="n">
        <v>0.002429724</v>
      </c>
      <c r="J29" s="1" t="n">
        <v>0.002902031</v>
      </c>
      <c r="K29" s="1" t="n">
        <v>0.002532482</v>
      </c>
      <c r="L29" s="1" t="n">
        <v>0.002061605</v>
      </c>
      <c r="M29" s="1" t="n">
        <v>0.001992941</v>
      </c>
      <c r="N29" s="1" t="n">
        <v>0.001815557</v>
      </c>
      <c r="O29" s="1" t="n">
        <v>0.001820564</v>
      </c>
      <c r="P29" s="1" t="n">
        <v>0.001863003</v>
      </c>
      <c r="R29" s="1" t="n">
        <f aca="false">PERCENTILE(G29:P29,0.9)</f>
        <v>0.0029738904</v>
      </c>
      <c r="S29" s="5" t="n">
        <f aca="false">spmv_1!R$2/R29</f>
        <v>5.85873924607309</v>
      </c>
      <c r="T29" s="6" t="n">
        <f aca="false">S29/32</f>
        <v>0.183085601439784</v>
      </c>
    </row>
    <row r="30" customFormat="false" ht="15" hidden="false" customHeight="false" outlineLevel="0" collapsed="false">
      <c r="A30" s="1" t="s">
        <v>15</v>
      </c>
      <c r="B30" s="1" t="n">
        <v>28</v>
      </c>
      <c r="D30" s="1" t="n">
        <v>331252</v>
      </c>
      <c r="E30" s="1" t="n">
        <v>0.336186</v>
      </c>
      <c r="G30" s="1" t="n">
        <v>0.00306344</v>
      </c>
      <c r="H30" s="1" t="n">
        <v>0.002346277</v>
      </c>
      <c r="I30" s="1" t="n">
        <v>0.002023697</v>
      </c>
      <c r="J30" s="1" t="n">
        <v>0.002410412</v>
      </c>
      <c r="K30" s="1" t="n">
        <v>0.002096415</v>
      </c>
      <c r="L30" s="1" t="n">
        <v>0.001649141</v>
      </c>
      <c r="M30" s="1" t="n">
        <v>0.001613855</v>
      </c>
      <c r="N30" s="1" t="n">
        <v>0.0014925</v>
      </c>
      <c r="O30" s="1" t="n">
        <v>0.001482248</v>
      </c>
      <c r="P30" s="1" t="n">
        <v>0.001528502</v>
      </c>
      <c r="R30" s="1" t="n">
        <f aca="false">PERCENTILE(G30:P30,0.9)</f>
        <v>0.0024757148</v>
      </c>
      <c r="S30" s="5" t="n">
        <f aca="false">spmv_1!R$2/R30</f>
        <v>7.03766378906003</v>
      </c>
      <c r="T30" s="6" t="n">
        <f aca="false">S30/32</f>
        <v>0.219926993408126</v>
      </c>
    </row>
    <row r="31" customFormat="false" ht="15" hidden="false" customHeight="false" outlineLevel="0" collapsed="false">
      <c r="A31" s="1" t="s">
        <v>15</v>
      </c>
      <c r="B31" s="1" t="n">
        <v>29</v>
      </c>
      <c r="D31" s="1" t="n">
        <v>331479</v>
      </c>
      <c r="E31" s="1" t="n">
        <v>0.343846</v>
      </c>
      <c r="G31" s="1" t="n">
        <v>0.002913952</v>
      </c>
      <c r="H31" s="1" t="n">
        <v>0.002308369</v>
      </c>
      <c r="I31" s="1" t="n">
        <v>0.002012491</v>
      </c>
      <c r="J31" s="1" t="n">
        <v>0.002404451</v>
      </c>
      <c r="K31" s="1" t="n">
        <v>0.002061605</v>
      </c>
      <c r="L31" s="1" t="n">
        <v>0.001612902</v>
      </c>
      <c r="M31" s="1" t="n">
        <v>0.001602173</v>
      </c>
      <c r="N31" s="1" t="n">
        <v>0.001447201</v>
      </c>
      <c r="O31" s="1" t="n">
        <v>0.001433611</v>
      </c>
      <c r="P31" s="1" t="n">
        <v>0.001483917</v>
      </c>
      <c r="R31" s="1" t="n">
        <f aca="false">PERCENTILE(G31:P31,0.9)</f>
        <v>0.0024554011</v>
      </c>
      <c r="S31" s="5" t="n">
        <f aca="false">spmv_1!R$2/R31</f>
        <v>7.09588685938114</v>
      </c>
      <c r="T31" s="6" t="n">
        <f aca="false">S31/32</f>
        <v>0.221746464355661</v>
      </c>
    </row>
    <row r="32" customFormat="false" ht="15" hidden="false" customHeight="false" outlineLevel="0" collapsed="false">
      <c r="A32" s="1" t="s">
        <v>15</v>
      </c>
      <c r="B32" s="1" t="n">
        <v>30</v>
      </c>
      <c r="D32" s="1" t="n">
        <v>331236</v>
      </c>
      <c r="E32" s="1" t="n">
        <v>0.285513</v>
      </c>
      <c r="G32" s="1" t="n">
        <v>0.003480673</v>
      </c>
      <c r="H32" s="1" t="n">
        <v>0.002879381</v>
      </c>
      <c r="I32" s="1" t="n">
        <v>0.002394676</v>
      </c>
      <c r="J32" s="1" t="n">
        <v>0.002836466</v>
      </c>
      <c r="K32" s="1" t="n">
        <v>0.002568245</v>
      </c>
      <c r="L32" s="1" t="n">
        <v>0.001926661</v>
      </c>
      <c r="M32" s="1" t="n">
        <v>0.001993179</v>
      </c>
      <c r="N32" s="1" t="n">
        <v>0.001704454</v>
      </c>
      <c r="O32" s="1" t="n">
        <v>0.001703501</v>
      </c>
      <c r="P32" s="1" t="n">
        <v>0.00171566</v>
      </c>
      <c r="R32" s="1" t="n">
        <f aca="false">PERCENTILE(G32:P32,0.9)</f>
        <v>0.0029395102</v>
      </c>
      <c r="S32" s="5" t="n">
        <f aca="false">spmv_1!R$2/R32</f>
        <v>5.92726243984457</v>
      </c>
      <c r="T32" s="6" t="n">
        <f aca="false">S32/32</f>
        <v>0.185226951245143</v>
      </c>
    </row>
    <row r="33" customFormat="false" ht="15" hidden="false" customHeight="false" outlineLevel="0" collapsed="false">
      <c r="A33" s="1" t="s">
        <v>15</v>
      </c>
      <c r="B33" s="1" t="n">
        <v>31</v>
      </c>
      <c r="D33" s="1" t="n">
        <v>333077</v>
      </c>
      <c r="E33" s="1" t="n">
        <v>0.328681</v>
      </c>
      <c r="G33" s="1" t="n">
        <v>0.003069162</v>
      </c>
      <c r="H33" s="1" t="n">
        <v>0.002462149</v>
      </c>
      <c r="I33" s="1" t="n">
        <v>0.002114058</v>
      </c>
      <c r="J33" s="1" t="n">
        <v>0.002503157</v>
      </c>
      <c r="K33" s="1" t="n">
        <v>0.002234221</v>
      </c>
      <c r="L33" s="1" t="n">
        <v>0.00165844</v>
      </c>
      <c r="M33" s="1" t="n">
        <v>0.001713276</v>
      </c>
      <c r="N33" s="1" t="n">
        <v>0.001500368</v>
      </c>
      <c r="O33" s="1" t="n">
        <v>0.001505613</v>
      </c>
      <c r="P33" s="1" t="n">
        <v>0.001507044</v>
      </c>
      <c r="R33" s="1" t="n">
        <f aca="false">PERCENTILE(G33:P33,0.9)</f>
        <v>0.0025597575</v>
      </c>
      <c r="S33" s="5" t="n">
        <f aca="false">spmv_1!R$2/R33</f>
        <v>6.80660117218135</v>
      </c>
      <c r="T33" s="6" t="n">
        <f aca="false">S33/32</f>
        <v>0.212706286630667</v>
      </c>
    </row>
    <row r="36" customFormat="false" ht="15" hidden="false" customHeight="false" outlineLevel="0" collapsed="false">
      <c r="A36" s="2" t="s">
        <v>0</v>
      </c>
      <c r="B36" s="2" t="s">
        <v>1</v>
      </c>
      <c r="C36" s="3"/>
      <c r="D36" s="2" t="s">
        <v>2</v>
      </c>
      <c r="E36" s="2" t="s">
        <v>3</v>
      </c>
      <c r="F36" s="3"/>
      <c r="G36" s="2" t="s">
        <v>4</v>
      </c>
      <c r="H36" s="2" t="s">
        <v>5</v>
      </c>
      <c r="I36" s="2" t="s">
        <v>6</v>
      </c>
      <c r="J36" s="2" t="s">
        <v>7</v>
      </c>
      <c r="K36" s="2" t="s">
        <v>8</v>
      </c>
      <c r="L36" s="2" t="s">
        <v>9</v>
      </c>
      <c r="M36" s="2" t="s">
        <v>10</v>
      </c>
      <c r="N36" s="2" t="s">
        <v>11</v>
      </c>
      <c r="O36" s="2" t="s">
        <v>12</v>
      </c>
      <c r="P36" s="2" t="s">
        <v>13</v>
      </c>
      <c r="R36" s="4" t="s">
        <v>14</v>
      </c>
      <c r="S36" s="7" t="s">
        <v>20</v>
      </c>
      <c r="T36" s="8" t="s">
        <v>21</v>
      </c>
    </row>
    <row r="37" customFormat="false" ht="15" hidden="false" customHeight="false" outlineLevel="0" collapsed="false">
      <c r="A37" s="1" t="s">
        <v>16</v>
      </c>
      <c r="B37" s="1" t="n">
        <v>0</v>
      </c>
      <c r="D37" s="1" t="n">
        <v>3465310</v>
      </c>
      <c r="E37" s="1" t="n">
        <v>0.275724</v>
      </c>
      <c r="G37" s="1" t="n">
        <v>0.025449991</v>
      </c>
      <c r="H37" s="1" t="n">
        <v>0.024714947</v>
      </c>
      <c r="I37" s="1" t="n">
        <v>0.024677992</v>
      </c>
      <c r="J37" s="1" t="n">
        <v>0.025755644</v>
      </c>
      <c r="K37" s="1" t="n">
        <v>0.025396585</v>
      </c>
      <c r="L37" s="1" t="n">
        <v>0.025112391</v>
      </c>
      <c r="M37" s="1" t="n">
        <v>0.024916172</v>
      </c>
      <c r="N37" s="1" t="n">
        <v>0.025058031</v>
      </c>
      <c r="O37" s="1" t="n">
        <v>0.025285959</v>
      </c>
      <c r="P37" s="1" t="n">
        <v>0.024993181</v>
      </c>
      <c r="R37" s="1" t="n">
        <f aca="false">PERCENTILE(G37:P37,0.9)</f>
        <v>0.0254805563</v>
      </c>
      <c r="S37" s="5" t="n">
        <f aca="false">spmv_1!R$6/R37</f>
        <v>6.60247008029413</v>
      </c>
      <c r="T37" s="6" t="n">
        <f aca="false">S37/32</f>
        <v>0.206327190009191</v>
      </c>
    </row>
    <row r="38" customFormat="false" ht="15" hidden="false" customHeight="false" outlineLevel="0" collapsed="false">
      <c r="A38" s="1" t="s">
        <v>16</v>
      </c>
      <c r="B38" s="1" t="n">
        <v>1</v>
      </c>
      <c r="D38" s="1" t="n">
        <v>3465328</v>
      </c>
      <c r="E38" s="1" t="n">
        <v>0.274757</v>
      </c>
      <c r="G38" s="1" t="n">
        <v>0.025564671</v>
      </c>
      <c r="H38" s="1" t="n">
        <v>0.024665594</v>
      </c>
      <c r="I38" s="1" t="n">
        <v>0.024906158</v>
      </c>
      <c r="J38" s="1" t="n">
        <v>0.025967836</v>
      </c>
      <c r="K38" s="1" t="n">
        <v>0.025454283</v>
      </c>
      <c r="L38" s="1" t="n">
        <v>0.025279045</v>
      </c>
      <c r="M38" s="1" t="n">
        <v>0.024907351</v>
      </c>
      <c r="N38" s="1" t="n">
        <v>0.025200129</v>
      </c>
      <c r="O38" s="1" t="n">
        <v>0.025217772</v>
      </c>
      <c r="P38" s="1" t="n">
        <v>0.025084019</v>
      </c>
      <c r="R38" s="1" t="n">
        <f aca="false">PERCENTILE(G38:P38,0.9)</f>
        <v>0.0256049875</v>
      </c>
      <c r="S38" s="5" t="n">
        <f aca="false">spmv_1!R$6/R38</f>
        <v>6.57038440655361</v>
      </c>
      <c r="T38" s="6" t="n">
        <f aca="false">S38/32</f>
        <v>0.2053245127048</v>
      </c>
    </row>
    <row r="39" customFormat="false" ht="15" hidden="false" customHeight="false" outlineLevel="0" collapsed="false">
      <c r="A39" s="1" t="s">
        <v>16</v>
      </c>
      <c r="B39" s="1" t="n">
        <v>2</v>
      </c>
      <c r="D39" s="1" t="n">
        <v>3464502</v>
      </c>
      <c r="E39" s="1" t="n">
        <v>0.291994</v>
      </c>
      <c r="G39" s="1" t="n">
        <v>0.024166346</v>
      </c>
      <c r="H39" s="1" t="n">
        <v>0.023402452</v>
      </c>
      <c r="I39" s="1" t="n">
        <v>0.02349925</v>
      </c>
      <c r="J39" s="1" t="n">
        <v>0.024950504</v>
      </c>
      <c r="K39" s="1" t="n">
        <v>0.023993492</v>
      </c>
      <c r="L39" s="1" t="n">
        <v>0.023687124</v>
      </c>
      <c r="M39" s="1" t="n">
        <v>0.023321629</v>
      </c>
      <c r="N39" s="1" t="n">
        <v>0.023346901</v>
      </c>
      <c r="O39" s="1" t="n">
        <v>0.023481131</v>
      </c>
      <c r="P39" s="1" t="n">
        <v>0.023450613</v>
      </c>
      <c r="R39" s="1" t="n">
        <f aca="false">PERCENTILE(G39:P39,0.9)</f>
        <v>0.0242447618</v>
      </c>
      <c r="S39" s="5" t="n">
        <f aca="false">spmv_1!R$6/R39</f>
        <v>6.93900859855014</v>
      </c>
      <c r="T39" s="6" t="n">
        <f aca="false">S39/32</f>
        <v>0.216844018704692</v>
      </c>
    </row>
    <row r="40" customFormat="false" ht="15" hidden="false" customHeight="false" outlineLevel="0" collapsed="false">
      <c r="A40" s="1" t="s">
        <v>16</v>
      </c>
      <c r="B40" s="1" t="n">
        <v>3</v>
      </c>
      <c r="D40" s="1" t="n">
        <v>3464516</v>
      </c>
      <c r="E40" s="1" t="n">
        <v>0.278067</v>
      </c>
      <c r="G40" s="1" t="n">
        <v>0.025303364</v>
      </c>
      <c r="H40" s="1" t="n">
        <v>0.024379253</v>
      </c>
      <c r="I40" s="1" t="n">
        <v>0.024574995</v>
      </c>
      <c r="J40" s="1" t="n">
        <v>0.02565527</v>
      </c>
      <c r="K40" s="1" t="n">
        <v>0.025155067</v>
      </c>
      <c r="L40" s="1" t="n">
        <v>0.024960041</v>
      </c>
      <c r="M40" s="1" t="n">
        <v>0.024606943</v>
      </c>
      <c r="N40" s="1" t="n">
        <v>0.024806261</v>
      </c>
      <c r="O40" s="1" t="n">
        <v>0.024904013</v>
      </c>
      <c r="P40" s="1" t="n">
        <v>0.024840117</v>
      </c>
      <c r="R40" s="1" t="n">
        <f aca="false">PERCENTILE(G40:P40,0.9)</f>
        <v>0.0253385546</v>
      </c>
      <c r="S40" s="5" t="n">
        <f aca="false">spmv_1!R$6/R40</f>
        <v>6.63947147956103</v>
      </c>
      <c r="T40" s="6" t="n">
        <f aca="false">S40/32</f>
        <v>0.207483483736282</v>
      </c>
    </row>
    <row r="41" customFormat="false" ht="15" hidden="false" customHeight="false" outlineLevel="0" collapsed="false">
      <c r="A41" s="1" t="s">
        <v>16</v>
      </c>
      <c r="B41" s="1" t="n">
        <v>4</v>
      </c>
      <c r="D41" s="1" t="n">
        <v>3463708</v>
      </c>
      <c r="E41" s="1" t="n">
        <v>0.282123</v>
      </c>
      <c r="G41" s="1" t="n">
        <v>0.02487874</v>
      </c>
      <c r="H41" s="1" t="n">
        <v>0.024183989</v>
      </c>
      <c r="I41" s="1" t="n">
        <v>0.023803473</v>
      </c>
      <c r="J41" s="1" t="n">
        <v>0.025298119</v>
      </c>
      <c r="K41" s="1" t="n">
        <v>0.024808407</v>
      </c>
      <c r="L41" s="1" t="n">
        <v>0.024643421</v>
      </c>
      <c r="M41" s="1" t="n">
        <v>0.02428937</v>
      </c>
      <c r="N41" s="1" t="n">
        <v>0.024475813</v>
      </c>
      <c r="O41" s="1" t="n">
        <v>0.024632692</v>
      </c>
      <c r="P41" s="1" t="n">
        <v>0.02453208</v>
      </c>
      <c r="R41" s="1" t="n">
        <f aca="false">PERCENTILE(G41:P41,0.9)</f>
        <v>0.0249206779</v>
      </c>
      <c r="S41" s="5" t="n">
        <f aca="false">spmv_1!R$6/R41</f>
        <v>6.75080394181412</v>
      </c>
      <c r="T41" s="6" t="n">
        <f aca="false">S41/32</f>
        <v>0.210962623181691</v>
      </c>
    </row>
    <row r="42" customFormat="false" ht="15" hidden="false" customHeight="false" outlineLevel="0" collapsed="false">
      <c r="A42" s="1" t="s">
        <v>16</v>
      </c>
      <c r="B42" s="1" t="n">
        <v>5</v>
      </c>
      <c r="D42" s="1" t="n">
        <v>3463690</v>
      </c>
      <c r="E42" s="1" t="n">
        <v>0.289157</v>
      </c>
      <c r="G42" s="1" t="n">
        <v>0.02439785</v>
      </c>
      <c r="H42" s="1" t="n">
        <v>0.023705482</v>
      </c>
      <c r="I42" s="1" t="n">
        <v>0.023097515</v>
      </c>
      <c r="J42" s="1" t="n">
        <v>0.024694204</v>
      </c>
      <c r="K42" s="1" t="n">
        <v>0.024186373</v>
      </c>
      <c r="L42" s="1" t="n">
        <v>0.024190664</v>
      </c>
      <c r="M42" s="1" t="n">
        <v>0.023639679</v>
      </c>
      <c r="N42" s="1" t="n">
        <v>0.023783922</v>
      </c>
      <c r="O42" s="1" t="n">
        <v>0.024064302</v>
      </c>
      <c r="P42" s="1" t="n">
        <v>0.02381134</v>
      </c>
      <c r="R42" s="1" t="n">
        <f aca="false">PERCENTILE(G42:P42,0.9)</f>
        <v>0.0244274854</v>
      </c>
      <c r="S42" s="5" t="n">
        <f aca="false">spmv_1!R$6/R42</f>
        <v>6.88710310722364</v>
      </c>
      <c r="T42" s="6" t="n">
        <f aca="false">S42/32</f>
        <v>0.215221972100739</v>
      </c>
    </row>
    <row r="43" customFormat="false" ht="15" hidden="false" customHeight="false" outlineLevel="0" collapsed="false">
      <c r="A43" s="1" t="s">
        <v>16</v>
      </c>
      <c r="B43" s="1" t="n">
        <v>6</v>
      </c>
      <c r="D43" s="1" t="n">
        <v>3464254</v>
      </c>
      <c r="E43" s="1" t="n">
        <v>0.317922</v>
      </c>
      <c r="G43" s="1" t="n">
        <v>0.022207975</v>
      </c>
      <c r="H43" s="1" t="n">
        <v>0.021520376</v>
      </c>
      <c r="I43" s="1" t="n">
        <v>0.021128416</v>
      </c>
      <c r="J43" s="1" t="n">
        <v>0.02298665</v>
      </c>
      <c r="K43" s="1" t="n">
        <v>0.022011518</v>
      </c>
      <c r="L43" s="1" t="n">
        <v>0.021905184</v>
      </c>
      <c r="M43" s="1" t="n">
        <v>0.021451473</v>
      </c>
      <c r="N43" s="1" t="n">
        <v>0.021406412</v>
      </c>
      <c r="O43" s="1" t="n">
        <v>0.021695852</v>
      </c>
      <c r="P43" s="1" t="n">
        <v>0.021616936</v>
      </c>
      <c r="R43" s="1" t="n">
        <f aca="false">PERCENTILE(G43:P43,0.9)</f>
        <v>0.0222858425</v>
      </c>
      <c r="S43" s="5" t="n">
        <f aca="false">spmv_1!R$6/R43</f>
        <v>7.54894550654749</v>
      </c>
      <c r="T43" s="6" t="n">
        <f aca="false">S43/32</f>
        <v>0.235904547079609</v>
      </c>
    </row>
    <row r="44" customFormat="false" ht="15" hidden="false" customHeight="false" outlineLevel="0" collapsed="false">
      <c r="A44" s="1" t="s">
        <v>16</v>
      </c>
      <c r="B44" s="1" t="n">
        <v>7</v>
      </c>
      <c r="D44" s="1" t="n">
        <v>3464266</v>
      </c>
      <c r="E44" s="1" t="n">
        <v>0.303037</v>
      </c>
      <c r="G44" s="1" t="n">
        <v>0.023140669</v>
      </c>
      <c r="H44" s="1" t="n">
        <v>0.022600651</v>
      </c>
      <c r="I44" s="1" t="n">
        <v>0.022077084</v>
      </c>
      <c r="J44" s="1" t="n">
        <v>0.023708105</v>
      </c>
      <c r="K44" s="1" t="n">
        <v>0.023398399</v>
      </c>
      <c r="L44" s="1" t="n">
        <v>0.022859097</v>
      </c>
      <c r="M44" s="1" t="n">
        <v>0.022610903</v>
      </c>
      <c r="N44" s="1" t="n">
        <v>0.022639513</v>
      </c>
      <c r="O44" s="1" t="n">
        <v>0.022885323</v>
      </c>
      <c r="P44" s="1" t="n">
        <v>0.022716761</v>
      </c>
      <c r="R44" s="1" t="n">
        <f aca="false">PERCENTILE(G44:P44,0.9)</f>
        <v>0.0234293696</v>
      </c>
      <c r="S44" s="5" t="n">
        <f aca="false">spmv_1!R$6/R44</f>
        <v>7.18050094698237</v>
      </c>
      <c r="T44" s="6" t="n">
        <f aca="false">S44/32</f>
        <v>0.224390654593199</v>
      </c>
    </row>
    <row r="45" customFormat="false" ht="15" hidden="false" customHeight="false" outlineLevel="0" collapsed="false">
      <c r="A45" s="1" t="s">
        <v>16</v>
      </c>
      <c r="B45" s="1" t="n">
        <v>8</v>
      </c>
      <c r="D45" s="1" t="n">
        <v>3465672</v>
      </c>
      <c r="E45" s="1" t="n">
        <v>0.334094</v>
      </c>
      <c r="G45" s="1" t="n">
        <v>0.02082634</v>
      </c>
      <c r="H45" s="1" t="n">
        <v>0.020307064</v>
      </c>
      <c r="I45" s="1" t="n">
        <v>0.020744562</v>
      </c>
      <c r="J45" s="1" t="n">
        <v>0.021627426</v>
      </c>
      <c r="K45" s="1" t="n">
        <v>0.020782948</v>
      </c>
      <c r="L45" s="1" t="n">
        <v>0.02058959</v>
      </c>
      <c r="M45" s="1" t="n">
        <v>0.0202384</v>
      </c>
      <c r="N45" s="1" t="n">
        <v>0.020846128</v>
      </c>
      <c r="O45" s="1" t="n">
        <v>0.02089119</v>
      </c>
      <c r="P45" s="1" t="n">
        <v>0.020612955</v>
      </c>
      <c r="R45" s="1" t="n">
        <f aca="false">PERCENTILE(G45:P45,0.9)</f>
        <v>0.0209648136</v>
      </c>
      <c r="S45" s="5" t="n">
        <f aca="false">spmv_1!R$6/R45</f>
        <v>8.02461752390682</v>
      </c>
      <c r="T45" s="6" t="n">
        <f aca="false">S45/32</f>
        <v>0.250769297622088</v>
      </c>
    </row>
    <row r="46" customFormat="false" ht="15" hidden="false" customHeight="false" outlineLevel="0" collapsed="false">
      <c r="A46" s="1" t="s">
        <v>16</v>
      </c>
      <c r="B46" s="1" t="n">
        <v>9</v>
      </c>
      <c r="D46" s="1" t="n">
        <v>3465682</v>
      </c>
      <c r="E46" s="1" t="n">
        <v>0.325589</v>
      </c>
      <c r="G46" s="1" t="n">
        <v>0.0213902</v>
      </c>
      <c r="H46" s="1" t="n">
        <v>0.020137548</v>
      </c>
      <c r="I46" s="1" t="n">
        <v>0.021661758</v>
      </c>
      <c r="J46" s="1" t="n">
        <v>0.0216465</v>
      </c>
      <c r="K46" s="1" t="n">
        <v>0.020842314</v>
      </c>
      <c r="L46" s="1" t="n">
        <v>0.021402359</v>
      </c>
      <c r="M46" s="1" t="n">
        <v>0.021044731</v>
      </c>
      <c r="N46" s="1" t="n">
        <v>0.021622658</v>
      </c>
      <c r="O46" s="1" t="n">
        <v>0.021667719</v>
      </c>
      <c r="P46" s="1" t="n">
        <v>0.021471262</v>
      </c>
      <c r="R46" s="1" t="n">
        <f aca="false">PERCENTILE(G46:P46,0.9)</f>
        <v>0.0216623541</v>
      </c>
      <c r="S46" s="5" t="n">
        <f aca="false">spmv_1!R$6/R46</f>
        <v>7.76622013578847</v>
      </c>
      <c r="T46" s="6" t="n">
        <f aca="false">S46/32</f>
        <v>0.24269437924339</v>
      </c>
    </row>
    <row r="47" customFormat="false" ht="15" hidden="false" customHeight="false" outlineLevel="0" collapsed="false">
      <c r="A47" s="1" t="s">
        <v>16</v>
      </c>
      <c r="B47" s="1" t="n">
        <v>10</v>
      </c>
      <c r="D47" s="1" t="n">
        <v>3465536</v>
      </c>
      <c r="E47" s="1" t="n">
        <v>0.319453</v>
      </c>
      <c r="G47" s="1" t="n">
        <v>0.021897793</v>
      </c>
      <c r="H47" s="1" t="n">
        <v>0.020413876</v>
      </c>
      <c r="I47" s="1" t="n">
        <v>0.022202253</v>
      </c>
      <c r="J47" s="1" t="n">
        <v>0.021332502</v>
      </c>
      <c r="K47" s="1" t="n">
        <v>0.021251202</v>
      </c>
      <c r="L47" s="1" t="n">
        <v>0.021950483</v>
      </c>
      <c r="M47" s="1" t="n">
        <v>0.021529436</v>
      </c>
      <c r="N47" s="1" t="n">
        <v>0.022118568</v>
      </c>
      <c r="O47" s="1" t="n">
        <v>0.022225142</v>
      </c>
      <c r="P47" s="1" t="n">
        <v>0.022045374</v>
      </c>
      <c r="R47" s="1" t="n">
        <f aca="false">PERCENTILE(G47:P47,0.9)</f>
        <v>0.0222045419</v>
      </c>
      <c r="S47" s="5" t="n">
        <f aca="false">spmv_1!R$6/R47</f>
        <v>7.57658551829885</v>
      </c>
      <c r="T47" s="6" t="n">
        <f aca="false">S47/32</f>
        <v>0.236768297446839</v>
      </c>
    </row>
    <row r="48" customFormat="false" ht="15" hidden="false" customHeight="false" outlineLevel="0" collapsed="false">
      <c r="A48" s="1" t="s">
        <v>16</v>
      </c>
      <c r="B48" s="1" t="n">
        <v>11</v>
      </c>
      <c r="D48" s="1" t="n">
        <v>3465508</v>
      </c>
      <c r="E48" s="1" t="n">
        <v>0.289355</v>
      </c>
      <c r="G48" s="1" t="n">
        <v>0.023923159</v>
      </c>
      <c r="H48" s="1" t="n">
        <v>0.022293568</v>
      </c>
      <c r="I48" s="1" t="n">
        <v>0.024637222</v>
      </c>
      <c r="J48" s="1" t="n">
        <v>0.023131132</v>
      </c>
      <c r="K48" s="1" t="n">
        <v>0.02331543</v>
      </c>
      <c r="L48" s="1" t="n">
        <v>0.024288654</v>
      </c>
      <c r="M48" s="1" t="n">
        <v>0.023952484</v>
      </c>
      <c r="N48" s="1" t="n">
        <v>0.024776936</v>
      </c>
      <c r="O48" s="1" t="n">
        <v>0.024798632</v>
      </c>
      <c r="P48" s="1" t="n">
        <v>0.024416447</v>
      </c>
      <c r="R48" s="1" t="n">
        <f aca="false">PERCENTILE(G48:P48,0.9)</f>
        <v>0.0247791056</v>
      </c>
      <c r="S48" s="5" t="n">
        <f aca="false">spmv_1!R$6/R48</f>
        <v>6.7893738101669</v>
      </c>
      <c r="T48" s="6" t="n">
        <f aca="false">S48/32</f>
        <v>0.212167931567716</v>
      </c>
    </row>
    <row r="49" customFormat="false" ht="15" hidden="false" customHeight="false" outlineLevel="0" collapsed="false">
      <c r="A49" s="1" t="s">
        <v>16</v>
      </c>
      <c r="B49" s="1" t="n">
        <v>12</v>
      </c>
      <c r="D49" s="1" t="n">
        <v>3465696</v>
      </c>
      <c r="E49" s="1" t="n">
        <v>0.305867</v>
      </c>
      <c r="G49" s="1" t="n">
        <v>0.022867441</v>
      </c>
      <c r="H49" s="1" t="n">
        <v>0.021260738</v>
      </c>
      <c r="I49" s="1" t="n">
        <v>0.023484945</v>
      </c>
      <c r="J49" s="1" t="n">
        <v>0.022154808</v>
      </c>
      <c r="K49" s="1" t="n">
        <v>0.022040606</v>
      </c>
      <c r="L49" s="1" t="n">
        <v>0.022837162</v>
      </c>
      <c r="M49" s="1" t="n">
        <v>0.022409439</v>
      </c>
      <c r="N49" s="1" t="n">
        <v>0.023424149</v>
      </c>
      <c r="O49" s="1" t="n">
        <v>0.023133993</v>
      </c>
      <c r="P49" s="1" t="n">
        <v>0.023001432</v>
      </c>
      <c r="R49" s="1" t="n">
        <f aca="false">PERCENTILE(G49:P49,0.9)</f>
        <v>0.0234302286</v>
      </c>
      <c r="S49" s="5" t="n">
        <f aca="false">spmv_1!R$6/R49</f>
        <v>7.18023769516274</v>
      </c>
      <c r="T49" s="6" t="n">
        <f aca="false">S49/32</f>
        <v>0.224382427973835</v>
      </c>
    </row>
    <row r="50" customFormat="false" ht="15" hidden="false" customHeight="false" outlineLevel="0" collapsed="false">
      <c r="A50" s="1" t="s">
        <v>16</v>
      </c>
      <c r="B50" s="1" t="n">
        <v>13</v>
      </c>
      <c r="D50" s="1" t="n">
        <v>3465706</v>
      </c>
      <c r="E50" s="1" t="n">
        <v>0.279568</v>
      </c>
      <c r="G50" s="1" t="n">
        <v>0.024821758</v>
      </c>
      <c r="H50" s="1" t="n">
        <v>0.023328304</v>
      </c>
      <c r="I50" s="1" t="n">
        <v>0.025344372</v>
      </c>
      <c r="J50" s="1" t="n">
        <v>0.024018764</v>
      </c>
      <c r="K50" s="1" t="n">
        <v>0.024302244</v>
      </c>
      <c r="L50" s="1" t="n">
        <v>0.025112867</v>
      </c>
      <c r="M50" s="1" t="n">
        <v>0.024642229</v>
      </c>
      <c r="N50" s="1" t="n">
        <v>0.025657892</v>
      </c>
      <c r="O50" s="1" t="n">
        <v>0.02539444</v>
      </c>
      <c r="P50" s="1" t="n">
        <v>0.025309801</v>
      </c>
      <c r="R50" s="1" t="n">
        <f aca="false">PERCENTILE(G50:P50,0.9)</f>
        <v>0.0254207852</v>
      </c>
      <c r="S50" s="5" t="n">
        <f aca="false">spmv_1!R$6/R50</f>
        <v>6.61799426242743</v>
      </c>
      <c r="T50" s="6" t="n">
        <f aca="false">S50/32</f>
        <v>0.206812320700857</v>
      </c>
    </row>
    <row r="51" customFormat="false" ht="15" hidden="false" customHeight="false" outlineLevel="0" collapsed="false">
      <c r="A51" s="1" t="s">
        <v>16</v>
      </c>
      <c r="B51" s="1" t="n">
        <v>14</v>
      </c>
      <c r="D51" s="1" t="n">
        <v>3465490</v>
      </c>
      <c r="E51" s="1" t="n">
        <v>0.292264</v>
      </c>
      <c r="G51" s="1" t="n">
        <v>0.023562431</v>
      </c>
      <c r="H51" s="1" t="n">
        <v>0.022228003</v>
      </c>
      <c r="I51" s="1" t="n">
        <v>0.024508476</v>
      </c>
      <c r="J51" s="1" t="n">
        <v>0.023090601</v>
      </c>
      <c r="K51" s="1" t="n">
        <v>0.02312398</v>
      </c>
      <c r="L51" s="1" t="n">
        <v>0.023955584</v>
      </c>
      <c r="M51" s="1" t="n">
        <v>0.023390055</v>
      </c>
      <c r="N51" s="1" t="n">
        <v>0.024663925</v>
      </c>
      <c r="O51" s="1" t="n">
        <v>0.024057865</v>
      </c>
      <c r="P51" s="1" t="n">
        <v>0.024566889</v>
      </c>
      <c r="R51" s="1" t="n">
        <f aca="false">PERCENTILE(G51:P51,0.9)</f>
        <v>0.0245765926</v>
      </c>
      <c r="S51" s="5" t="n">
        <f aca="false">spmv_1!R$6/R51</f>
        <v>6.84531876888418</v>
      </c>
      <c r="T51" s="6" t="n">
        <f aca="false">S51/32</f>
        <v>0.213916211527631</v>
      </c>
    </row>
    <row r="52" customFormat="false" ht="15" hidden="false" customHeight="false" outlineLevel="0" collapsed="false">
      <c r="A52" s="1" t="s">
        <v>16</v>
      </c>
      <c r="B52" s="1" t="n">
        <v>15</v>
      </c>
      <c r="D52" s="1" t="n">
        <v>3465498</v>
      </c>
      <c r="E52" s="1" t="n">
        <v>0.28926</v>
      </c>
      <c r="G52" s="1" t="n">
        <v>0.023683786</v>
      </c>
      <c r="H52" s="1" t="n">
        <v>0.022417545</v>
      </c>
      <c r="I52" s="1" t="n">
        <v>0.024842739</v>
      </c>
      <c r="J52" s="1" t="n">
        <v>0.023371696</v>
      </c>
      <c r="K52" s="1" t="n">
        <v>0.023260355</v>
      </c>
      <c r="L52" s="1" t="n">
        <v>0.024178505</v>
      </c>
      <c r="M52" s="1" t="n">
        <v>0.023592949</v>
      </c>
      <c r="N52" s="1" t="n">
        <v>0.024851561</v>
      </c>
      <c r="O52" s="1" t="n">
        <v>0.024505377</v>
      </c>
      <c r="P52" s="1" t="n">
        <v>0.024906874</v>
      </c>
      <c r="R52" s="1" t="n">
        <f aca="false">PERCENTILE(G52:P52,0.9)</f>
        <v>0.0248570923</v>
      </c>
      <c r="S52" s="5" t="n">
        <f aca="false">spmv_1!R$6/R52</f>
        <v>6.76807281276419</v>
      </c>
      <c r="T52" s="6" t="n">
        <f aca="false">S52/32</f>
        <v>0.211502275398881</v>
      </c>
    </row>
    <row r="53" customFormat="false" ht="15" hidden="false" customHeight="false" outlineLevel="0" collapsed="false">
      <c r="A53" s="1" t="s">
        <v>16</v>
      </c>
      <c r="B53" s="1" t="n">
        <v>16</v>
      </c>
      <c r="D53" s="1" t="n">
        <v>3465388</v>
      </c>
      <c r="E53" s="1" t="n">
        <v>0.19029</v>
      </c>
      <c r="G53" s="1" t="n">
        <v>0.032384396</v>
      </c>
      <c r="H53" s="1" t="n">
        <v>0.036829472</v>
      </c>
      <c r="I53" s="1" t="n">
        <v>0.036105394</v>
      </c>
      <c r="J53" s="1" t="n">
        <v>0.035149813</v>
      </c>
      <c r="K53" s="1" t="n">
        <v>0.039396048</v>
      </c>
      <c r="L53" s="1" t="n">
        <v>0.037716627</v>
      </c>
      <c r="M53" s="1" t="n">
        <v>0.036079168</v>
      </c>
      <c r="N53" s="1" t="n">
        <v>0.038630962</v>
      </c>
      <c r="O53" s="1" t="n">
        <v>0.035983801</v>
      </c>
      <c r="P53" s="1" t="n">
        <v>0.035945177</v>
      </c>
      <c r="R53" s="1" t="n">
        <f aca="false">PERCENTILE(G53:P53,0.9)</f>
        <v>0.0387074706</v>
      </c>
      <c r="S53" s="5" t="n">
        <f aca="false">spmv_1!R$6/R53</f>
        <v>4.34630855471088</v>
      </c>
      <c r="T53" s="6" t="n">
        <f aca="false">S53/32</f>
        <v>0.135822142334715</v>
      </c>
    </row>
    <row r="54" customFormat="false" ht="15" hidden="false" customHeight="false" outlineLevel="0" collapsed="false">
      <c r="A54" s="1" t="s">
        <v>16</v>
      </c>
      <c r="B54" s="1" t="n">
        <v>17</v>
      </c>
      <c r="D54" s="1" t="n">
        <v>3465394</v>
      </c>
      <c r="E54" s="1" t="n">
        <v>0.191072</v>
      </c>
      <c r="G54" s="1" t="n">
        <v>0.0320611</v>
      </c>
      <c r="H54" s="1" t="n">
        <v>0.036653042</v>
      </c>
      <c r="I54" s="1" t="n">
        <v>0.035946608</v>
      </c>
      <c r="J54" s="1" t="n">
        <v>0.034914017</v>
      </c>
      <c r="K54" s="1" t="n">
        <v>0.039223909</v>
      </c>
      <c r="L54" s="1" t="n">
        <v>0.037646532</v>
      </c>
      <c r="M54" s="1" t="n">
        <v>0.035986662</v>
      </c>
      <c r="N54" s="1" t="n">
        <v>0.038528442</v>
      </c>
      <c r="O54" s="1" t="n">
        <v>0.035953999</v>
      </c>
      <c r="P54" s="1" t="n">
        <v>0.035817862</v>
      </c>
      <c r="R54" s="1" t="n">
        <f aca="false">PERCENTILE(G54:P54,0.9)</f>
        <v>0.0385979887</v>
      </c>
      <c r="S54" s="5" t="n">
        <f aca="false">spmv_1!R$6/R54</f>
        <v>4.35863671310935</v>
      </c>
      <c r="T54" s="6" t="n">
        <f aca="false">S54/32</f>
        <v>0.136207397284667</v>
      </c>
    </row>
    <row r="55" customFormat="false" ht="15" hidden="false" customHeight="false" outlineLevel="0" collapsed="false">
      <c r="A55" s="1" t="s">
        <v>16</v>
      </c>
      <c r="B55" s="1" t="n">
        <v>18</v>
      </c>
      <c r="D55" s="1" t="n">
        <v>3464752</v>
      </c>
      <c r="E55" s="1" t="n">
        <v>0.300385</v>
      </c>
      <c r="G55" s="1" t="n">
        <v>0.022627115</v>
      </c>
      <c r="H55" s="1" t="n">
        <v>0.021627426</v>
      </c>
      <c r="I55" s="1" t="n">
        <v>0.023836851</v>
      </c>
      <c r="J55" s="1" t="n">
        <v>0.022251129</v>
      </c>
      <c r="K55" s="1" t="n">
        <v>0.022497892</v>
      </c>
      <c r="L55" s="1" t="n">
        <v>0.02349472</v>
      </c>
      <c r="M55" s="1" t="n">
        <v>0.023069859</v>
      </c>
      <c r="N55" s="1" t="n">
        <v>0.023938417</v>
      </c>
      <c r="O55" s="1" t="n">
        <v>0.0234375</v>
      </c>
      <c r="P55" s="1" t="n">
        <v>0.023906231</v>
      </c>
      <c r="R55" s="1" t="n">
        <f aca="false">PERCENTILE(G55:P55,0.9)</f>
        <v>0.0239094496</v>
      </c>
      <c r="S55" s="5" t="n">
        <f aca="false">spmv_1!R$6/R55</f>
        <v>7.0363230193304</v>
      </c>
      <c r="T55" s="6" t="n">
        <f aca="false">S55/32</f>
        <v>0.219885094354075</v>
      </c>
    </row>
    <row r="56" customFormat="false" ht="15" hidden="false" customHeight="false" outlineLevel="0" collapsed="false">
      <c r="A56" s="1" t="s">
        <v>16</v>
      </c>
      <c r="B56" s="1" t="n">
        <v>19</v>
      </c>
      <c r="D56" s="1" t="n">
        <v>3464720</v>
      </c>
      <c r="E56" s="1" t="n">
        <v>0.189848</v>
      </c>
      <c r="G56" s="1" t="n">
        <v>0.037463665</v>
      </c>
      <c r="H56" s="1" t="n">
        <v>0.036414385</v>
      </c>
      <c r="I56" s="1" t="n">
        <v>0.035736322</v>
      </c>
      <c r="J56" s="1" t="n">
        <v>0.034501076</v>
      </c>
      <c r="K56" s="1" t="n">
        <v>0.038570642</v>
      </c>
      <c r="L56" s="1" t="n">
        <v>0.037346363</v>
      </c>
      <c r="M56" s="1" t="n">
        <v>0.035727501</v>
      </c>
      <c r="N56" s="1" t="n">
        <v>0.038160086</v>
      </c>
      <c r="O56" s="1" t="n">
        <v>0.035588503</v>
      </c>
      <c r="P56" s="1" t="n">
        <v>0.035490274</v>
      </c>
      <c r="R56" s="1" t="n">
        <f aca="false">PERCENTILE(G56:P56,0.9)</f>
        <v>0.0382011416</v>
      </c>
      <c r="S56" s="5" t="n">
        <f aca="false">spmv_1!R$6/R56</f>
        <v>4.40391578768944</v>
      </c>
      <c r="T56" s="6" t="n">
        <f aca="false">S56/32</f>
        <v>0.137622368365295</v>
      </c>
    </row>
    <row r="57" customFormat="false" ht="15" hidden="false" customHeight="false" outlineLevel="0" collapsed="false">
      <c r="A57" s="1" t="s">
        <v>16</v>
      </c>
      <c r="B57" s="1" t="n">
        <v>20</v>
      </c>
      <c r="D57" s="1" t="n">
        <v>3464336</v>
      </c>
      <c r="E57" s="1" t="n">
        <v>0.190783</v>
      </c>
      <c r="G57" s="1" t="n">
        <v>0.037669659</v>
      </c>
      <c r="H57" s="1" t="n">
        <v>0.036603451</v>
      </c>
      <c r="I57" s="1" t="n">
        <v>0.035474539</v>
      </c>
      <c r="J57" s="1" t="n">
        <v>0.034033537</v>
      </c>
      <c r="K57" s="1" t="n">
        <v>0.038281202</v>
      </c>
      <c r="L57" s="1" t="n">
        <v>0.037186861</v>
      </c>
      <c r="M57" s="1" t="n">
        <v>0.035329103</v>
      </c>
      <c r="N57" s="1" t="n">
        <v>0.037806273</v>
      </c>
      <c r="O57" s="1" t="n">
        <v>0.035480022</v>
      </c>
      <c r="P57" s="1" t="n">
        <v>0.035305738</v>
      </c>
      <c r="R57" s="1" t="n">
        <f aca="false">PERCENTILE(G57:P57,0.9)</f>
        <v>0.0378537659</v>
      </c>
      <c r="S57" s="5" t="n">
        <f aca="false">spmv_1!R$6/R57</f>
        <v>4.44432955612482</v>
      </c>
      <c r="T57" s="6" t="n">
        <f aca="false">S57/32</f>
        <v>0.138885298628901</v>
      </c>
    </row>
    <row r="58" customFormat="false" ht="15" hidden="false" customHeight="false" outlineLevel="0" collapsed="false">
      <c r="A58" s="1" t="s">
        <v>16</v>
      </c>
      <c r="B58" s="1" t="n">
        <v>21</v>
      </c>
      <c r="D58" s="1" t="n">
        <v>3464336</v>
      </c>
      <c r="E58" s="1" t="n">
        <v>0.289546</v>
      </c>
      <c r="G58" s="1" t="n">
        <v>0.031162024</v>
      </c>
      <c r="H58" s="1" t="n">
        <v>0.022694349</v>
      </c>
      <c r="I58" s="1" t="n">
        <v>0.023430347</v>
      </c>
      <c r="J58" s="1" t="n">
        <v>0.02238512</v>
      </c>
      <c r="K58" s="1" t="n">
        <v>0.023411036</v>
      </c>
      <c r="L58" s="1" t="n">
        <v>0.023782015</v>
      </c>
      <c r="M58" s="1" t="n">
        <v>0.022882462</v>
      </c>
      <c r="N58" s="1" t="n">
        <v>0.023518562</v>
      </c>
      <c r="O58" s="1" t="n">
        <v>0.022922516</v>
      </c>
      <c r="P58" s="1" t="n">
        <v>0.023106098</v>
      </c>
      <c r="R58" s="1" t="n">
        <f aca="false">PERCENTILE(G58:P58,0.9)</f>
        <v>0.0245200159</v>
      </c>
      <c r="S58" s="5" t="n">
        <f aca="false">spmv_1!R$6/R58</f>
        <v>6.86111343834814</v>
      </c>
      <c r="T58" s="6" t="n">
        <f aca="false">S58/32</f>
        <v>0.214409794948379</v>
      </c>
    </row>
    <row r="59" customFormat="false" ht="15" hidden="false" customHeight="false" outlineLevel="0" collapsed="false">
      <c r="A59" s="1" t="s">
        <v>16</v>
      </c>
      <c r="B59" s="1" t="n">
        <v>22</v>
      </c>
      <c r="D59" s="1" t="n">
        <v>3465402</v>
      </c>
      <c r="E59" s="1" t="n">
        <v>0.192684</v>
      </c>
      <c r="G59" s="1" t="n">
        <v>0.038048029</v>
      </c>
      <c r="H59" s="1" t="n">
        <v>0.036348104</v>
      </c>
      <c r="I59" s="1" t="n">
        <v>0.03478384</v>
      </c>
      <c r="J59" s="1" t="n">
        <v>0.033683062</v>
      </c>
      <c r="K59" s="1" t="n">
        <v>0.037411213</v>
      </c>
      <c r="L59" s="1" t="n">
        <v>0.036795378</v>
      </c>
      <c r="M59" s="1" t="n">
        <v>0.035121918</v>
      </c>
      <c r="N59" s="1" t="n">
        <v>0.037334919</v>
      </c>
      <c r="O59" s="1" t="n">
        <v>0.034991741</v>
      </c>
      <c r="P59" s="1" t="n">
        <v>0.035179377</v>
      </c>
      <c r="R59" s="1" t="n">
        <f aca="false">PERCENTILE(G59:P59,0.9)</f>
        <v>0.0374748946</v>
      </c>
      <c r="S59" s="5" t="n">
        <f aca="false">spmv_1!R$6/R59</f>
        <v>4.4892617416461</v>
      </c>
      <c r="T59" s="6" t="n">
        <f aca="false">S59/32</f>
        <v>0.140289429426441</v>
      </c>
    </row>
    <row r="60" customFormat="false" ht="15" hidden="false" customHeight="false" outlineLevel="0" collapsed="false">
      <c r="A60" s="1" t="s">
        <v>16</v>
      </c>
      <c r="B60" s="1" t="n">
        <v>23</v>
      </c>
      <c r="D60" s="1" t="n">
        <v>3465402</v>
      </c>
      <c r="E60" s="1" t="n">
        <v>0.194059</v>
      </c>
      <c r="G60" s="1" t="n">
        <v>0.03809762</v>
      </c>
      <c r="H60" s="1" t="n">
        <v>0.036466122</v>
      </c>
      <c r="I60" s="1" t="n">
        <v>0.034430027</v>
      </c>
      <c r="J60" s="1" t="n">
        <v>0.033974409</v>
      </c>
      <c r="K60" s="1" t="n">
        <v>0.037120581</v>
      </c>
      <c r="L60" s="1" t="n">
        <v>0.036893368</v>
      </c>
      <c r="M60" s="1" t="n">
        <v>0.034022808</v>
      </c>
      <c r="N60" s="1" t="n">
        <v>0.0367589</v>
      </c>
      <c r="O60" s="1" t="n">
        <v>0.034235716</v>
      </c>
      <c r="P60" s="1" t="n">
        <v>0.035149574</v>
      </c>
      <c r="R60" s="1" t="n">
        <f aca="false">PERCENTILE(G60:P60,0.9)</f>
        <v>0.0372182849</v>
      </c>
      <c r="S60" s="5" t="n">
        <f aca="false">spmv_1!R$6/R60</f>
        <v>4.52021394999854</v>
      </c>
      <c r="T60" s="6" t="n">
        <f aca="false">S60/32</f>
        <v>0.141256685937454</v>
      </c>
    </row>
    <row r="61" customFormat="false" ht="15" hidden="false" customHeight="false" outlineLevel="0" collapsed="false">
      <c r="A61" s="1" t="s">
        <v>16</v>
      </c>
      <c r="B61" s="1" t="n">
        <v>24</v>
      </c>
      <c r="D61" s="1" t="n">
        <v>3465624</v>
      </c>
      <c r="E61" s="1" t="n">
        <v>0.296672</v>
      </c>
      <c r="G61" s="1" t="n">
        <v>0.031668425</v>
      </c>
      <c r="H61" s="1" t="n">
        <v>0.022474051</v>
      </c>
      <c r="I61" s="1" t="n">
        <v>0.022379398</v>
      </c>
      <c r="J61" s="1" t="n">
        <v>0.022639036</v>
      </c>
      <c r="K61" s="1" t="n">
        <v>0.022516251</v>
      </c>
      <c r="L61" s="1" t="n">
        <v>0.023484707</v>
      </c>
      <c r="M61" s="1" t="n">
        <v>0.021539927</v>
      </c>
      <c r="N61" s="1" t="n">
        <v>0.022440434</v>
      </c>
      <c r="O61" s="1" t="n">
        <v>0.021598101</v>
      </c>
      <c r="P61" s="1" t="n">
        <v>0.022892952</v>
      </c>
      <c r="R61" s="1" t="n">
        <f aca="false">PERCENTILE(G61:P61,0.9)</f>
        <v>0.0243030788</v>
      </c>
      <c r="S61" s="5" t="n">
        <f aca="false">spmv_1!R$6/R61</f>
        <v>6.9223579442124</v>
      </c>
      <c r="T61" s="6" t="n">
        <f aca="false">S61/32</f>
        <v>0.216323685756638</v>
      </c>
    </row>
    <row r="62" customFormat="false" ht="15" hidden="false" customHeight="false" outlineLevel="0" collapsed="false">
      <c r="A62" s="1" t="s">
        <v>16</v>
      </c>
      <c r="B62" s="1" t="n">
        <v>25</v>
      </c>
      <c r="D62" s="1" t="n">
        <v>3465624</v>
      </c>
      <c r="E62" s="1" t="n">
        <v>0.193205</v>
      </c>
      <c r="G62" s="1" t="n">
        <v>0.037920713</v>
      </c>
      <c r="H62" s="1" t="n">
        <v>0.036439657</v>
      </c>
      <c r="I62" s="1" t="n">
        <v>0.034230471</v>
      </c>
      <c r="J62" s="1" t="n">
        <v>0.034820557</v>
      </c>
      <c r="K62" s="1" t="n">
        <v>0.038358212</v>
      </c>
      <c r="L62" s="1" t="n">
        <v>0.037077665</v>
      </c>
      <c r="M62" s="1" t="n">
        <v>0.034687042</v>
      </c>
      <c r="N62" s="1" t="n">
        <v>0.036248446</v>
      </c>
      <c r="O62" s="1" t="n">
        <v>0.034066439</v>
      </c>
      <c r="P62" s="1" t="n">
        <v>0.034901857</v>
      </c>
      <c r="R62" s="1" t="n">
        <f aca="false">PERCENTILE(G62:P62,0.9)</f>
        <v>0.0379644629</v>
      </c>
      <c r="S62" s="5" t="n">
        <f aca="false">spmv_1!R$6/R62</f>
        <v>4.43137075435881</v>
      </c>
      <c r="T62" s="6" t="n">
        <f aca="false">S62/32</f>
        <v>0.138480336073713</v>
      </c>
    </row>
    <row r="63" customFormat="false" ht="15" hidden="false" customHeight="false" outlineLevel="0" collapsed="false">
      <c r="A63" s="1" t="s">
        <v>16</v>
      </c>
      <c r="B63" s="1" t="n">
        <v>26</v>
      </c>
      <c r="D63" s="1" t="n">
        <v>3465222</v>
      </c>
      <c r="E63" s="1" t="n">
        <v>0.312599</v>
      </c>
      <c r="G63" s="1" t="n">
        <v>0.028948784</v>
      </c>
      <c r="H63" s="1" t="n">
        <v>0.021517277</v>
      </c>
      <c r="I63" s="1" t="n">
        <v>0.020759821</v>
      </c>
      <c r="J63" s="1" t="n">
        <v>0.022364378</v>
      </c>
      <c r="K63" s="1" t="n">
        <v>0.021644831</v>
      </c>
      <c r="L63" s="1" t="n">
        <v>0.022177458</v>
      </c>
      <c r="M63" s="1" t="n">
        <v>0.021068096</v>
      </c>
      <c r="N63" s="1" t="n">
        <v>0.020690918</v>
      </c>
      <c r="O63" s="1" t="n">
        <v>0.020902634</v>
      </c>
      <c r="P63" s="1" t="n">
        <v>0.021630049</v>
      </c>
      <c r="R63" s="1" t="n">
        <f aca="false">PERCENTILE(G63:P63,0.9)</f>
        <v>0.0230228186</v>
      </c>
      <c r="S63" s="5" t="n">
        <f aca="false">spmv_1!R$6/R63</f>
        <v>7.30729862068235</v>
      </c>
      <c r="T63" s="6" t="n">
        <f aca="false">S63/32</f>
        <v>0.228353081896324</v>
      </c>
    </row>
    <row r="64" customFormat="false" ht="15" hidden="false" customHeight="false" outlineLevel="0" collapsed="false">
      <c r="A64" s="1" t="s">
        <v>16</v>
      </c>
      <c r="B64" s="1" t="n">
        <v>27</v>
      </c>
      <c r="D64" s="1" t="n">
        <v>3465222</v>
      </c>
      <c r="E64" s="1" t="n">
        <v>0.291566</v>
      </c>
      <c r="G64" s="1" t="n">
        <v>0.030949593</v>
      </c>
      <c r="H64" s="1" t="n">
        <v>0.022927761</v>
      </c>
      <c r="I64" s="1" t="n">
        <v>0.022386074</v>
      </c>
      <c r="J64" s="1" t="n">
        <v>0.023954391</v>
      </c>
      <c r="K64" s="1" t="n">
        <v>0.024142027</v>
      </c>
      <c r="L64" s="1" t="n">
        <v>0.023501635</v>
      </c>
      <c r="M64" s="1" t="n">
        <v>0.022612572</v>
      </c>
      <c r="N64" s="1" t="n">
        <v>0.022578001</v>
      </c>
      <c r="O64" s="1" t="n">
        <v>0.022271156</v>
      </c>
      <c r="P64" s="1" t="n">
        <v>0.022373676</v>
      </c>
      <c r="R64" s="1" t="n">
        <f aca="false">PERCENTILE(G64:P64,0.9)</f>
        <v>0.0248227836</v>
      </c>
      <c r="S64" s="5" t="n">
        <f aca="false">spmv_1!R$6/R64</f>
        <v>6.77742727451405</v>
      </c>
      <c r="T64" s="6" t="n">
        <f aca="false">S64/32</f>
        <v>0.211794602328564</v>
      </c>
    </row>
    <row r="65" customFormat="false" ht="15" hidden="false" customHeight="false" outlineLevel="0" collapsed="false">
      <c r="A65" s="1" t="s">
        <v>16</v>
      </c>
      <c r="B65" s="1" t="n">
        <v>28</v>
      </c>
      <c r="D65" s="1" t="n">
        <v>3464924</v>
      </c>
      <c r="E65" s="1" t="n">
        <v>0.191635</v>
      </c>
      <c r="G65" s="1" t="n">
        <v>0.037307739</v>
      </c>
      <c r="H65" s="1" t="n">
        <v>0.036658287</v>
      </c>
      <c r="I65" s="1" t="n">
        <v>0.034351826</v>
      </c>
      <c r="J65" s="1" t="n">
        <v>0.035286427</v>
      </c>
      <c r="K65" s="1" t="n">
        <v>0.038911819</v>
      </c>
      <c r="L65" s="1" t="n">
        <v>0.036999464</v>
      </c>
      <c r="M65" s="1" t="n">
        <v>0.035313606</v>
      </c>
      <c r="N65" s="1" t="n">
        <v>0.036923409</v>
      </c>
      <c r="O65" s="1" t="n">
        <v>0.034874916</v>
      </c>
      <c r="P65" s="1" t="n">
        <v>0.034990311</v>
      </c>
      <c r="R65" s="1" t="n">
        <f aca="false">PERCENTILE(G65:P65,0.9)</f>
        <v>0.037468147</v>
      </c>
      <c r="S65" s="5" t="n">
        <f aca="false">spmv_1!R$6/R65</f>
        <v>4.49007020816909</v>
      </c>
      <c r="T65" s="6" t="n">
        <f aca="false">S65/32</f>
        <v>0.140314694005284</v>
      </c>
    </row>
    <row r="66" customFormat="false" ht="15" hidden="false" customHeight="false" outlineLevel="0" collapsed="false">
      <c r="A66" s="1" t="s">
        <v>16</v>
      </c>
      <c r="B66" s="1" t="n">
        <v>29</v>
      </c>
      <c r="D66" s="1" t="n">
        <v>3464924</v>
      </c>
      <c r="E66" s="1" t="n">
        <v>0.191785</v>
      </c>
      <c r="G66" s="1" t="n">
        <v>0.03230691</v>
      </c>
      <c r="H66" s="1" t="n">
        <v>0.036942959</v>
      </c>
      <c r="I66" s="1" t="n">
        <v>0.035270691</v>
      </c>
      <c r="J66" s="1" t="n">
        <v>0.035586596</v>
      </c>
      <c r="K66" s="1" t="n">
        <v>0.039466619</v>
      </c>
      <c r="L66" s="1" t="n">
        <v>0.037313938</v>
      </c>
      <c r="M66" s="1" t="n">
        <v>0.035878897</v>
      </c>
      <c r="N66" s="1" t="n">
        <v>0.037752151</v>
      </c>
      <c r="O66" s="1" t="n">
        <v>0.035443306</v>
      </c>
      <c r="P66" s="1" t="n">
        <v>0.035372972</v>
      </c>
      <c r="R66" s="1" t="n">
        <f aca="false">PERCENTILE(G66:P66,0.9)</f>
        <v>0.0379235978</v>
      </c>
      <c r="S66" s="5" t="n">
        <f aca="false">spmv_1!R$6/R66</f>
        <v>4.43614583951737</v>
      </c>
      <c r="T66" s="6" t="n">
        <f aca="false">S66/32</f>
        <v>0.138629557484918</v>
      </c>
    </row>
    <row r="67" customFormat="false" ht="15" hidden="false" customHeight="false" outlineLevel="0" collapsed="false">
      <c r="A67" s="1" t="s">
        <v>16</v>
      </c>
      <c r="B67" s="1" t="n">
        <v>30</v>
      </c>
      <c r="D67" s="1" t="n">
        <v>3464170</v>
      </c>
      <c r="E67" s="1" t="n">
        <v>0.19192</v>
      </c>
      <c r="G67" s="1" t="n">
        <v>0.032102346</v>
      </c>
      <c r="H67" s="1" t="n">
        <v>0.036961317</v>
      </c>
      <c r="I67" s="1" t="n">
        <v>0.035268784</v>
      </c>
      <c r="J67" s="1" t="n">
        <v>0.035522699</v>
      </c>
      <c r="K67" s="1" t="n">
        <v>0.039533377</v>
      </c>
      <c r="L67" s="1" t="n">
        <v>0.037378073</v>
      </c>
      <c r="M67" s="1" t="n">
        <v>0.035826445</v>
      </c>
      <c r="N67" s="1" t="n">
        <v>0.037689447</v>
      </c>
      <c r="O67" s="1" t="n">
        <v>0.035446882</v>
      </c>
      <c r="P67" s="1" t="n">
        <v>0.035271168</v>
      </c>
      <c r="R67" s="1" t="n">
        <f aca="false">PERCENTILE(G67:P67,0.9)</f>
        <v>0.03787384</v>
      </c>
      <c r="S67" s="5" t="n">
        <f aca="false">spmv_1!R$6/R67</f>
        <v>4.44197394824502</v>
      </c>
      <c r="T67" s="6" t="n">
        <f aca="false">S67/32</f>
        <v>0.138811685882657</v>
      </c>
    </row>
    <row r="68" customFormat="false" ht="15" hidden="false" customHeight="false" outlineLevel="0" collapsed="false">
      <c r="A68" s="1" t="s">
        <v>16</v>
      </c>
      <c r="B68" s="1" t="n">
        <v>31</v>
      </c>
      <c r="D68" s="1" t="n">
        <v>3464170</v>
      </c>
      <c r="E68" s="1" t="n">
        <v>0.245881</v>
      </c>
      <c r="G68" s="1" t="n">
        <v>0.025979757</v>
      </c>
      <c r="H68" s="1" t="n">
        <v>0.028027534</v>
      </c>
      <c r="I68" s="1" t="n">
        <v>0.028077126</v>
      </c>
      <c r="J68" s="1" t="n">
        <v>0.029185534</v>
      </c>
      <c r="K68" s="1" t="n">
        <v>0.029381514</v>
      </c>
      <c r="L68" s="1" t="n">
        <v>0.028688431</v>
      </c>
      <c r="M68" s="1" t="n">
        <v>0.028104782</v>
      </c>
      <c r="N68" s="1" t="n">
        <v>0.02828455</v>
      </c>
      <c r="O68" s="1" t="n">
        <v>0.027893066</v>
      </c>
      <c r="P68" s="1" t="n">
        <v>0.028154135</v>
      </c>
      <c r="R68" s="1" t="n">
        <f aca="false">PERCENTILE(G68:P68,0.9)</f>
        <v>0.029205132</v>
      </c>
      <c r="S68" s="5" t="n">
        <f aca="false">spmv_1!R$6/R68</f>
        <v>5.76044684886204</v>
      </c>
      <c r="T68" s="6" t="n">
        <f aca="false">S68/32</f>
        <v>0.180013964026939</v>
      </c>
    </row>
    <row r="71" customFormat="false" ht="15" hidden="false" customHeight="false" outlineLevel="0" collapsed="false">
      <c r="A71" s="2" t="s">
        <v>0</v>
      </c>
      <c r="B71" s="2" t="s">
        <v>1</v>
      </c>
      <c r="C71" s="3"/>
      <c r="D71" s="2" t="s">
        <v>2</v>
      </c>
      <c r="E71" s="2" t="s">
        <v>3</v>
      </c>
      <c r="F71" s="3"/>
      <c r="G71" s="2" t="s">
        <v>4</v>
      </c>
      <c r="H71" s="2" t="s">
        <v>5</v>
      </c>
      <c r="I71" s="2" t="s">
        <v>6</v>
      </c>
      <c r="J71" s="2" t="s">
        <v>7</v>
      </c>
      <c r="K71" s="2" t="s">
        <v>8</v>
      </c>
      <c r="L71" s="2" t="s">
        <v>9</v>
      </c>
      <c r="M71" s="2" t="s">
        <v>10</v>
      </c>
      <c r="N71" s="2" t="s">
        <v>11</v>
      </c>
      <c r="O71" s="2" t="s">
        <v>12</v>
      </c>
      <c r="P71" s="2" t="s">
        <v>13</v>
      </c>
      <c r="R71" s="4" t="s">
        <v>14</v>
      </c>
      <c r="S71" s="7" t="s">
        <v>20</v>
      </c>
      <c r="T71" s="8" t="s">
        <v>21</v>
      </c>
    </row>
    <row r="72" customFormat="false" ht="15" hidden="false" customHeight="false" outlineLevel="0" collapsed="false">
      <c r="A72" s="1" t="s">
        <v>17</v>
      </c>
      <c r="B72" s="1" t="n">
        <v>0</v>
      </c>
      <c r="D72" s="1" t="n">
        <v>633662</v>
      </c>
      <c r="E72" s="1" t="n">
        <v>0.220009</v>
      </c>
      <c r="G72" s="1" t="n">
        <v>0.008855343</v>
      </c>
      <c r="H72" s="1" t="n">
        <v>0.005824327</v>
      </c>
      <c r="I72" s="1" t="n">
        <v>0.005285501</v>
      </c>
      <c r="J72" s="1" t="n">
        <v>0.00551486</v>
      </c>
      <c r="K72" s="1" t="n">
        <v>0.005412579</v>
      </c>
      <c r="L72" s="1" t="n">
        <v>0.005459785</v>
      </c>
      <c r="M72" s="1" t="n">
        <v>0.00526619</v>
      </c>
      <c r="N72" s="1" t="n">
        <v>0.005033016</v>
      </c>
      <c r="O72" s="1" t="n">
        <v>0.005560398</v>
      </c>
      <c r="P72" s="1" t="n">
        <v>0.005391359</v>
      </c>
      <c r="R72" s="1" t="n">
        <f aca="false">PERCENTILE(G72:P72,0.9)</f>
        <v>0.0061274286</v>
      </c>
      <c r="S72" s="5" t="n">
        <f aca="false">spmv_1!R$10/R72</f>
        <v>5.7171982877124</v>
      </c>
      <c r="T72" s="6" t="n">
        <f aca="false">S72/32</f>
        <v>0.178662446491013</v>
      </c>
    </row>
    <row r="73" customFormat="false" ht="15" hidden="false" customHeight="false" outlineLevel="0" collapsed="false">
      <c r="A73" s="1" t="s">
        <v>17</v>
      </c>
      <c r="B73" s="1" t="n">
        <v>1</v>
      </c>
      <c r="D73" s="1" t="n">
        <v>633672</v>
      </c>
      <c r="E73" s="1" t="n">
        <v>0.220819</v>
      </c>
      <c r="G73" s="1" t="n">
        <v>0.008861065</v>
      </c>
      <c r="H73" s="1" t="n">
        <v>0.005828619</v>
      </c>
      <c r="I73" s="1" t="n">
        <v>0.005256653</v>
      </c>
      <c r="J73" s="1" t="n">
        <v>0.005457401</v>
      </c>
      <c r="K73" s="1" t="n">
        <v>0.005354643</v>
      </c>
      <c r="L73" s="1" t="n">
        <v>0.005422831</v>
      </c>
      <c r="M73" s="1" t="n">
        <v>0.005236387</v>
      </c>
      <c r="N73" s="1" t="n">
        <v>0.004993439</v>
      </c>
      <c r="O73" s="1" t="n">
        <v>0.005603552</v>
      </c>
      <c r="P73" s="1" t="n">
        <v>0.005378246</v>
      </c>
      <c r="R73" s="1" t="n">
        <f aca="false">PERCENTILE(G73:P73,0.9)</f>
        <v>0.0061318636</v>
      </c>
      <c r="S73" s="5" t="n">
        <f aca="false">spmv_1!R$10/R73</f>
        <v>5.71306320316714</v>
      </c>
      <c r="T73" s="6" t="n">
        <f aca="false">S73/32</f>
        <v>0.178533225098973</v>
      </c>
    </row>
    <row r="74" customFormat="false" ht="15" hidden="false" customHeight="false" outlineLevel="0" collapsed="false">
      <c r="A74" s="1" t="s">
        <v>17</v>
      </c>
      <c r="B74" s="1" t="n">
        <v>2</v>
      </c>
      <c r="D74" s="1" t="n">
        <v>632774</v>
      </c>
      <c r="E74" s="1" t="n">
        <v>0.228849</v>
      </c>
      <c r="G74" s="1" t="n">
        <v>0.008602619</v>
      </c>
      <c r="H74" s="1" t="n">
        <v>0.005541563</v>
      </c>
      <c r="I74" s="1" t="n">
        <v>0.005072117</v>
      </c>
      <c r="J74" s="1" t="n">
        <v>0.005251884</v>
      </c>
      <c r="K74" s="1" t="n">
        <v>0.005137205</v>
      </c>
      <c r="L74" s="1" t="n">
        <v>0.005294085</v>
      </c>
      <c r="M74" s="1" t="n">
        <v>0.004957199</v>
      </c>
      <c r="N74" s="1" t="n">
        <v>0.004755259</v>
      </c>
      <c r="O74" s="1" t="n">
        <v>0.005567789</v>
      </c>
      <c r="P74" s="1" t="n">
        <v>0.005120754</v>
      </c>
      <c r="R74" s="1" t="n">
        <f aca="false">PERCENTILE(G74:P74,0.9)</f>
        <v>0.005871272</v>
      </c>
      <c r="S74" s="5" t="n">
        <f aca="false">spmv_1!R$10/R74</f>
        <v>5.96663283526977</v>
      </c>
      <c r="T74" s="6" t="n">
        <f aca="false">S74/32</f>
        <v>0.18645727610218</v>
      </c>
    </row>
    <row r="75" customFormat="false" ht="15" hidden="false" customHeight="false" outlineLevel="0" collapsed="false">
      <c r="A75" s="1" t="s">
        <v>17</v>
      </c>
      <c r="B75" s="1" t="n">
        <v>3</v>
      </c>
      <c r="D75" s="1" t="n">
        <v>633655</v>
      </c>
      <c r="E75" s="1" t="n">
        <v>0.24088</v>
      </c>
      <c r="G75" s="1" t="n">
        <v>0.00826335</v>
      </c>
      <c r="H75" s="1" t="n">
        <v>0.005200148</v>
      </c>
      <c r="I75" s="1" t="n">
        <v>0.004876614</v>
      </c>
      <c r="J75" s="1" t="n">
        <v>0.004992962</v>
      </c>
      <c r="K75" s="1" t="n">
        <v>0.005031824</v>
      </c>
      <c r="L75" s="1" t="n">
        <v>0.004986763</v>
      </c>
      <c r="M75" s="1" t="n">
        <v>0.004705906</v>
      </c>
      <c r="N75" s="1" t="n">
        <v>0.004421949</v>
      </c>
      <c r="O75" s="1" t="n">
        <v>0.005223274</v>
      </c>
      <c r="P75" s="1" t="n">
        <v>0.0049088</v>
      </c>
      <c r="R75" s="1" t="n">
        <f aca="false">PERCENTILE(G75:P75,0.9)</f>
        <v>0.0055272816</v>
      </c>
      <c r="S75" s="5" t="n">
        <f aca="false">spmv_1!R$10/R75</f>
        <v>6.33796626175153</v>
      </c>
      <c r="T75" s="6" t="n">
        <f aca="false">S75/32</f>
        <v>0.198061445679735</v>
      </c>
    </row>
    <row r="76" customFormat="false" ht="15" hidden="false" customHeight="false" outlineLevel="0" collapsed="false">
      <c r="A76" s="1" t="s">
        <v>17</v>
      </c>
      <c r="B76" s="1" t="n">
        <v>4</v>
      </c>
      <c r="D76" s="1" t="n">
        <v>629153</v>
      </c>
      <c r="E76" s="1" t="n">
        <v>0.230488</v>
      </c>
      <c r="G76" s="1" t="n">
        <v>0.008281231</v>
      </c>
      <c r="H76" s="1" t="n">
        <v>0.005484104</v>
      </c>
      <c r="I76" s="1" t="n">
        <v>0.005018234</v>
      </c>
      <c r="J76" s="1" t="n">
        <v>0.005206585</v>
      </c>
      <c r="K76" s="1" t="n">
        <v>0.005093336</v>
      </c>
      <c r="L76" s="1" t="n">
        <v>0.005283594</v>
      </c>
      <c r="M76" s="1" t="n">
        <v>0.004939556</v>
      </c>
      <c r="N76" s="1" t="n">
        <v>0.004715443</v>
      </c>
      <c r="O76" s="1" t="n">
        <v>0.005477905</v>
      </c>
      <c r="P76" s="1" t="n">
        <v>0.005093098</v>
      </c>
      <c r="R76" s="1" t="n">
        <f aca="false">PERCENTILE(G76:P76,0.9)</f>
        <v>0.0057638167</v>
      </c>
      <c r="S76" s="5" t="n">
        <f aca="false">spmv_1!R$10/R76</f>
        <v>6.07786925285116</v>
      </c>
      <c r="T76" s="6" t="n">
        <f aca="false">S76/32</f>
        <v>0.189933414151599</v>
      </c>
    </row>
    <row r="77" customFormat="false" ht="15" hidden="false" customHeight="false" outlineLevel="0" collapsed="false">
      <c r="A77" s="1" t="s">
        <v>17</v>
      </c>
      <c r="B77" s="1" t="n">
        <v>5</v>
      </c>
      <c r="D77" s="1" t="n">
        <v>629935</v>
      </c>
      <c r="E77" s="1" t="n">
        <v>0.231526</v>
      </c>
      <c r="G77" s="1" t="n">
        <v>0.008283854</v>
      </c>
      <c r="H77" s="1" t="n">
        <v>0.005470753</v>
      </c>
      <c r="I77" s="1" t="n">
        <v>0.004982948</v>
      </c>
      <c r="J77" s="1" t="n">
        <v>0.005188942</v>
      </c>
      <c r="K77" s="1" t="n">
        <v>0.005069017</v>
      </c>
      <c r="L77" s="1" t="n">
        <v>0.005258799</v>
      </c>
      <c r="M77" s="1" t="n">
        <v>0.004903555</v>
      </c>
      <c r="N77" s="1" t="n">
        <v>0.004716873</v>
      </c>
      <c r="O77" s="1" t="n">
        <v>0.005448818</v>
      </c>
      <c r="P77" s="1" t="n">
        <v>0.005092382</v>
      </c>
      <c r="R77" s="1" t="n">
        <f aca="false">PERCENTILE(G77:P77,0.9)</f>
        <v>0.0057520631</v>
      </c>
      <c r="S77" s="5" t="n">
        <f aca="false">spmv_1!R$10/R77</f>
        <v>6.09028859575619</v>
      </c>
      <c r="T77" s="6" t="n">
        <f aca="false">S77/32</f>
        <v>0.190321518617381</v>
      </c>
    </row>
    <row r="78" customFormat="false" ht="15" hidden="false" customHeight="false" outlineLevel="0" collapsed="false">
      <c r="A78" s="1" t="s">
        <v>17</v>
      </c>
      <c r="B78" s="1" t="n">
        <v>6</v>
      </c>
      <c r="D78" s="1" t="n">
        <v>629646</v>
      </c>
      <c r="E78" s="1" t="n">
        <v>0.249798</v>
      </c>
      <c r="G78" s="1" t="n">
        <v>0.007662058</v>
      </c>
      <c r="H78" s="1" t="n">
        <v>0.00514698</v>
      </c>
      <c r="I78" s="1" t="n">
        <v>0.004625082</v>
      </c>
      <c r="J78" s="1" t="n">
        <v>0.00474143</v>
      </c>
      <c r="K78" s="1" t="n">
        <v>0.004675627</v>
      </c>
      <c r="L78" s="1" t="n">
        <v>0.004704952</v>
      </c>
      <c r="M78" s="1" t="n">
        <v>0.004611731</v>
      </c>
      <c r="N78" s="1" t="n">
        <v>0.0042243</v>
      </c>
      <c r="O78" s="1" t="n">
        <v>0.005099773</v>
      </c>
      <c r="P78" s="1" t="n">
        <v>0.004920483</v>
      </c>
      <c r="R78" s="1" t="n">
        <f aca="false">PERCENTILE(G78:P78,0.9)</f>
        <v>0.0053984878</v>
      </c>
      <c r="S78" s="5" t="n">
        <f aca="false">spmv_1!R$10/R78</f>
        <v>6.48917356078864</v>
      </c>
      <c r="T78" s="6" t="n">
        <f aca="false">S78/32</f>
        <v>0.202786673774645</v>
      </c>
    </row>
    <row r="79" customFormat="false" ht="15" hidden="false" customHeight="false" outlineLevel="0" collapsed="false">
      <c r="A79" s="1" t="s">
        <v>17</v>
      </c>
      <c r="B79" s="1" t="n">
        <v>7</v>
      </c>
      <c r="D79" s="1" t="n">
        <v>630566</v>
      </c>
      <c r="E79" s="1" t="n">
        <v>0.249186</v>
      </c>
      <c r="G79" s="1" t="n">
        <v>0.007975578</v>
      </c>
      <c r="H79" s="1" t="n">
        <v>0.005164146</v>
      </c>
      <c r="I79" s="1" t="n">
        <v>0.00464344</v>
      </c>
      <c r="J79" s="1" t="n">
        <v>0.004761219</v>
      </c>
      <c r="K79" s="1" t="n">
        <v>0.004695892</v>
      </c>
      <c r="L79" s="1" t="n">
        <v>0.004669666</v>
      </c>
      <c r="M79" s="1" t="n">
        <v>0.004597664</v>
      </c>
      <c r="N79" s="1" t="n">
        <v>0.004151344</v>
      </c>
      <c r="O79" s="1" t="n">
        <v>0.005098581</v>
      </c>
      <c r="P79" s="1" t="n">
        <v>0.004852533</v>
      </c>
      <c r="R79" s="1" t="n">
        <f aca="false">PERCENTILE(G79:P79,0.9)</f>
        <v>0.0054452892</v>
      </c>
      <c r="S79" s="5" t="n">
        <f aca="false">spmv_1!R$10/R79</f>
        <v>6.43340013970241</v>
      </c>
      <c r="T79" s="6" t="n">
        <f aca="false">S79/32</f>
        <v>0.2010437543657</v>
      </c>
    </row>
    <row r="80" customFormat="false" ht="15" hidden="false" customHeight="false" outlineLevel="0" collapsed="false">
      <c r="A80" s="1" t="s">
        <v>17</v>
      </c>
      <c r="B80" s="1" t="n">
        <v>8</v>
      </c>
      <c r="D80" s="1" t="n">
        <v>633998</v>
      </c>
      <c r="E80" s="1" t="n">
        <v>0.252322</v>
      </c>
      <c r="G80" s="1" t="n">
        <v>0.008080959</v>
      </c>
      <c r="H80" s="1" t="n">
        <v>0.005097151</v>
      </c>
      <c r="I80" s="1" t="n">
        <v>0.004566193</v>
      </c>
      <c r="J80" s="1" t="n">
        <v>0.004705906</v>
      </c>
      <c r="K80" s="1" t="n">
        <v>0.004684687</v>
      </c>
      <c r="L80" s="1" t="n">
        <v>0.004622698</v>
      </c>
      <c r="M80" s="1" t="n">
        <v>0.004537344</v>
      </c>
      <c r="N80" s="1" t="n">
        <v>0.004156113</v>
      </c>
      <c r="O80" s="1" t="n">
        <v>0.005010366</v>
      </c>
      <c r="P80" s="1" t="n">
        <v>0.004791737</v>
      </c>
      <c r="R80" s="1" t="n">
        <f aca="false">PERCENTILE(G80:P80,0.9)</f>
        <v>0.0053955318</v>
      </c>
      <c r="S80" s="5" t="n">
        <f aca="false">spmv_1!R$10/R80</f>
        <v>6.49272872416395</v>
      </c>
      <c r="T80" s="6" t="n">
        <f aca="false">S80/32</f>
        <v>0.202897772630123</v>
      </c>
    </row>
    <row r="81" customFormat="false" ht="15" hidden="false" customHeight="false" outlineLevel="0" collapsed="false">
      <c r="A81" s="1" t="s">
        <v>17</v>
      </c>
      <c r="B81" s="1" t="n">
        <v>9</v>
      </c>
      <c r="D81" s="1" t="n">
        <v>634978</v>
      </c>
      <c r="E81" s="1" t="n">
        <v>0.250115</v>
      </c>
      <c r="G81" s="1" t="n">
        <v>0.008229971</v>
      </c>
      <c r="H81" s="1" t="n">
        <v>0.004961252</v>
      </c>
      <c r="I81" s="1" t="n">
        <v>0.004649401</v>
      </c>
      <c r="J81" s="1" t="n">
        <v>0.004820585</v>
      </c>
      <c r="K81" s="1" t="n">
        <v>0.004812956</v>
      </c>
      <c r="L81" s="1" t="n">
        <v>0.00474906</v>
      </c>
      <c r="M81" s="1" t="n">
        <v>0.004523039</v>
      </c>
      <c r="N81" s="1" t="n">
        <v>0.004346609</v>
      </c>
      <c r="O81" s="1" t="n">
        <v>0.00499773</v>
      </c>
      <c r="P81" s="1" t="n">
        <v>0.00468421</v>
      </c>
      <c r="R81" s="1" t="n">
        <f aca="false">PERCENTILE(G81:P81,0.9)</f>
        <v>0.0053209541</v>
      </c>
      <c r="S81" s="5" t="n">
        <f aca="false">spmv_1!R$10/R81</f>
        <v>6.58372984273629</v>
      </c>
      <c r="T81" s="6" t="n">
        <f aca="false">S81/32</f>
        <v>0.205741557585509</v>
      </c>
    </row>
    <row r="82" customFormat="false" ht="15" hidden="false" customHeight="false" outlineLevel="0" collapsed="false">
      <c r="A82" s="1" t="s">
        <v>17</v>
      </c>
      <c r="B82" s="1" t="n">
        <v>10</v>
      </c>
      <c r="D82" s="1" t="n">
        <v>633758</v>
      </c>
      <c r="E82" s="1" t="n">
        <v>0.249197</v>
      </c>
      <c r="G82" s="1" t="n">
        <v>0.008540154</v>
      </c>
      <c r="H82" s="1" t="n">
        <v>0.00508213</v>
      </c>
      <c r="I82" s="1" t="n">
        <v>0.004467964</v>
      </c>
      <c r="J82" s="1" t="n">
        <v>0.004618645</v>
      </c>
      <c r="K82" s="1" t="n">
        <v>0.00460124</v>
      </c>
      <c r="L82" s="1" t="n">
        <v>0.004573345</v>
      </c>
      <c r="M82" s="1" t="n">
        <v>0.004589319</v>
      </c>
      <c r="N82" s="1" t="n">
        <v>0.004600525</v>
      </c>
      <c r="O82" s="1" t="n">
        <v>0.005016804</v>
      </c>
      <c r="P82" s="1" t="n">
        <v>0.004773855</v>
      </c>
      <c r="R82" s="1" t="n">
        <f aca="false">PERCENTILE(G82:P82,0.9)</f>
        <v>0.0054279324</v>
      </c>
      <c r="S82" s="5" t="n">
        <f aca="false">spmv_1!R$10/R82</f>
        <v>6.45397210547427</v>
      </c>
      <c r="T82" s="6" t="n">
        <f aca="false">S82/32</f>
        <v>0.201686628296071</v>
      </c>
    </row>
    <row r="83" customFormat="false" ht="15" hidden="false" customHeight="false" outlineLevel="0" collapsed="false">
      <c r="A83" s="1" t="s">
        <v>17</v>
      </c>
      <c r="B83" s="1" t="n">
        <v>11</v>
      </c>
      <c r="D83" s="1" t="n">
        <v>634593</v>
      </c>
      <c r="E83" s="1" t="n">
        <v>0.250441</v>
      </c>
      <c r="G83" s="1" t="n">
        <v>0.008609533</v>
      </c>
      <c r="H83" s="1" t="n">
        <v>0.005104065</v>
      </c>
      <c r="I83" s="1" t="n">
        <v>0.004504204</v>
      </c>
      <c r="J83" s="1" t="n">
        <v>0.00457859</v>
      </c>
      <c r="K83" s="1" t="n">
        <v>0.004596472</v>
      </c>
      <c r="L83" s="1" t="n">
        <v>0.004480839</v>
      </c>
      <c r="M83" s="1" t="n">
        <v>0.004466295</v>
      </c>
      <c r="N83" s="1" t="n">
        <v>0.004613876</v>
      </c>
      <c r="O83" s="1" t="n">
        <v>0.004976273</v>
      </c>
      <c r="P83" s="1" t="n">
        <v>0.004747868</v>
      </c>
      <c r="R83" s="1" t="n">
        <f aca="false">PERCENTILE(G83:P83,0.9)</f>
        <v>0.0054546118</v>
      </c>
      <c r="S83" s="5" t="n">
        <f aca="false">spmv_1!R$10/R83</f>
        <v>6.42240467048453</v>
      </c>
      <c r="T83" s="6" t="n">
        <f aca="false">S83/32</f>
        <v>0.200700145952642</v>
      </c>
    </row>
    <row r="84" customFormat="false" ht="15" hidden="false" customHeight="false" outlineLevel="0" collapsed="false">
      <c r="A84" s="1" t="s">
        <v>17</v>
      </c>
      <c r="B84" s="1" t="n">
        <v>12</v>
      </c>
      <c r="D84" s="1" t="n">
        <v>630045</v>
      </c>
      <c r="E84" s="1" t="n">
        <v>0.249917</v>
      </c>
      <c r="G84" s="1" t="n">
        <v>0.008672476</v>
      </c>
      <c r="H84" s="1" t="n">
        <v>0.005181313</v>
      </c>
      <c r="I84" s="1" t="n">
        <v>0.004629612</v>
      </c>
      <c r="J84" s="1" t="n">
        <v>0.00464797</v>
      </c>
      <c r="K84" s="1" t="n">
        <v>0.004740953</v>
      </c>
      <c r="L84" s="1" t="n">
        <v>0.004487038</v>
      </c>
      <c r="M84" s="1" t="n">
        <v>0.004438162</v>
      </c>
      <c r="N84" s="1" t="n">
        <v>0.004365206</v>
      </c>
      <c r="O84" s="1" t="n">
        <v>0.004575014</v>
      </c>
      <c r="P84" s="1" t="n">
        <v>0.004682541</v>
      </c>
      <c r="R84" s="1" t="n">
        <f aca="false">PERCENTILE(G84:P84,0.9)</f>
        <v>0.0055304293</v>
      </c>
      <c r="S84" s="5" t="n">
        <f aca="false">spmv_1!R$10/R84</f>
        <v>6.33435894388886</v>
      </c>
      <c r="T84" s="6" t="n">
        <f aca="false">S84/32</f>
        <v>0.197948716996527</v>
      </c>
    </row>
    <row r="85" customFormat="false" ht="15" hidden="false" customHeight="false" outlineLevel="0" collapsed="false">
      <c r="A85" s="1" t="s">
        <v>17</v>
      </c>
      <c r="B85" s="1" t="n">
        <v>13</v>
      </c>
      <c r="D85" s="1" t="n">
        <v>630327</v>
      </c>
      <c r="E85" s="1" t="n">
        <v>0.248871</v>
      </c>
      <c r="G85" s="1" t="n">
        <v>0.008876801</v>
      </c>
      <c r="H85" s="1" t="n">
        <v>0.005141735</v>
      </c>
      <c r="I85" s="1" t="n">
        <v>0.004560947</v>
      </c>
      <c r="J85" s="1" t="n">
        <v>0.00459075</v>
      </c>
      <c r="K85" s="1" t="n">
        <v>0.004639387</v>
      </c>
      <c r="L85" s="1" t="n">
        <v>0.004475832</v>
      </c>
      <c r="M85" s="1" t="n">
        <v>0.004380703</v>
      </c>
      <c r="N85" s="1" t="n">
        <v>0.00465703</v>
      </c>
      <c r="O85" s="1" t="n">
        <v>0.004682779</v>
      </c>
      <c r="P85" s="1" t="n">
        <v>0.004648924</v>
      </c>
      <c r="R85" s="1" t="n">
        <f aca="false">PERCENTILE(G85:P85,0.9)</f>
        <v>0.0055152416</v>
      </c>
      <c r="S85" s="5" t="n">
        <f aca="false">spmv_1!R$10/R85</f>
        <v>6.35180230363798</v>
      </c>
      <c r="T85" s="6" t="n">
        <f aca="false">S85/32</f>
        <v>0.198493821988687</v>
      </c>
    </row>
    <row r="86" customFormat="false" ht="15" hidden="false" customHeight="false" outlineLevel="0" collapsed="false">
      <c r="A86" s="1" t="s">
        <v>17</v>
      </c>
      <c r="B86" s="1" t="n">
        <v>14</v>
      </c>
      <c r="D86" s="1" t="n">
        <v>629929</v>
      </c>
      <c r="E86" s="1" t="n">
        <v>0.234127</v>
      </c>
      <c r="G86" s="1" t="n">
        <v>0.009099007</v>
      </c>
      <c r="H86" s="1" t="n">
        <v>0.005676985</v>
      </c>
      <c r="I86" s="1" t="n">
        <v>0.004943132</v>
      </c>
      <c r="J86" s="1" t="n">
        <v>0.005027294</v>
      </c>
      <c r="K86" s="1" t="n">
        <v>0.005117178</v>
      </c>
      <c r="L86" s="1" t="n">
        <v>0.005012512</v>
      </c>
      <c r="M86" s="1" t="n">
        <v>0.00464797</v>
      </c>
      <c r="N86" s="1" t="n">
        <v>0.004859209</v>
      </c>
      <c r="O86" s="1" t="n">
        <v>0.004707336</v>
      </c>
      <c r="P86" s="1" t="n">
        <v>0.004720211</v>
      </c>
      <c r="R86" s="1" t="n">
        <f aca="false">PERCENTILE(G86:P86,0.9)</f>
        <v>0.0060191872</v>
      </c>
      <c r="S86" s="5" t="n">
        <f aca="false">spmv_1!R$10/R86</f>
        <v>5.82000910355471</v>
      </c>
      <c r="T86" s="6" t="n">
        <f aca="false">S86/32</f>
        <v>0.181875284486085</v>
      </c>
    </row>
    <row r="87" customFormat="false" ht="15" hidden="false" customHeight="false" outlineLevel="0" collapsed="false">
      <c r="A87" s="1" t="s">
        <v>17</v>
      </c>
      <c r="B87" s="1" t="n">
        <v>15</v>
      </c>
      <c r="D87" s="1" t="n">
        <v>630931</v>
      </c>
      <c r="E87" s="1" t="n">
        <v>0.240447</v>
      </c>
      <c r="G87" s="1" t="n">
        <v>0.009230375</v>
      </c>
      <c r="H87" s="1" t="n">
        <v>0.005414963</v>
      </c>
      <c r="I87" s="1" t="n">
        <v>0.004825354</v>
      </c>
      <c r="J87" s="1" t="n">
        <v>0.004865408</v>
      </c>
      <c r="K87" s="1" t="n">
        <v>0.005087376</v>
      </c>
      <c r="L87" s="1" t="n">
        <v>0.004801512</v>
      </c>
      <c r="M87" s="1" t="n">
        <v>0.0044806</v>
      </c>
      <c r="N87" s="1" t="n">
        <v>0.004616737</v>
      </c>
      <c r="O87" s="1" t="n">
        <v>0.004524231</v>
      </c>
      <c r="P87" s="1" t="n">
        <v>0.004633188</v>
      </c>
      <c r="R87" s="1" t="n">
        <f aca="false">PERCENTILE(G87:P87,0.9)</f>
        <v>0.0057965042</v>
      </c>
      <c r="S87" s="5" t="n">
        <f aca="false">spmv_1!R$10/R87</f>
        <v>6.04359508615555</v>
      </c>
      <c r="T87" s="6" t="n">
        <f aca="false">S87/32</f>
        <v>0.188862346442361</v>
      </c>
    </row>
    <row r="88" customFormat="false" ht="15" hidden="false" customHeight="false" outlineLevel="0" collapsed="false">
      <c r="A88" s="1" t="s">
        <v>17</v>
      </c>
      <c r="B88" s="1" t="n">
        <v>16</v>
      </c>
      <c r="D88" s="1" t="n">
        <v>634333</v>
      </c>
      <c r="E88" s="1" t="n">
        <v>0.222436</v>
      </c>
      <c r="G88" s="1" t="n">
        <v>0.009711504</v>
      </c>
      <c r="H88" s="1" t="n">
        <v>0.005849361</v>
      </c>
      <c r="I88" s="1" t="n">
        <v>0.005215645</v>
      </c>
      <c r="J88" s="1" t="n">
        <v>0.005353451</v>
      </c>
      <c r="K88" s="1" t="n">
        <v>0.005392551</v>
      </c>
      <c r="L88" s="1" t="n">
        <v>0.004900694</v>
      </c>
      <c r="M88" s="1" t="n">
        <v>0.005037546</v>
      </c>
      <c r="N88" s="1" t="n">
        <v>0.004881382</v>
      </c>
      <c r="O88" s="1" t="n">
        <v>0.005280972</v>
      </c>
      <c r="P88" s="1" t="n">
        <v>0.005412102</v>
      </c>
      <c r="R88" s="1" t="n">
        <f aca="false">PERCENTILE(G88:P88,0.9)</f>
        <v>0.0062355753</v>
      </c>
      <c r="S88" s="5" t="n">
        <f aca="false">spmv_1!R$10/R88</f>
        <v>5.61804205940709</v>
      </c>
      <c r="T88" s="6" t="n">
        <f aca="false">S88/32</f>
        <v>0.175563814356472</v>
      </c>
    </row>
    <row r="89" customFormat="false" ht="15" hidden="false" customHeight="false" outlineLevel="0" collapsed="false">
      <c r="A89" s="1" t="s">
        <v>17</v>
      </c>
      <c r="B89" s="1" t="n">
        <v>17</v>
      </c>
      <c r="D89" s="1" t="n">
        <v>635277</v>
      </c>
      <c r="E89" s="1" t="n">
        <v>0.118318</v>
      </c>
      <c r="G89" s="1" t="n">
        <v>0.014486074</v>
      </c>
      <c r="H89" s="1" t="n">
        <v>0.010366201</v>
      </c>
      <c r="I89" s="1" t="n">
        <v>0.009887457</v>
      </c>
      <c r="J89" s="1" t="n">
        <v>0.010680437</v>
      </c>
      <c r="K89" s="1" t="n">
        <v>0.010371923</v>
      </c>
      <c r="L89" s="1" t="n">
        <v>0.009940386</v>
      </c>
      <c r="M89" s="1" t="n">
        <v>0.009925365</v>
      </c>
      <c r="N89" s="1" t="n">
        <v>0.010389328</v>
      </c>
      <c r="O89" s="1" t="n">
        <v>0.010569572</v>
      </c>
      <c r="P89" s="1" t="n">
        <v>0.010768175</v>
      </c>
      <c r="R89" s="1" t="n">
        <f aca="false">PERCENTILE(G89:P89,0.9)</f>
        <v>0.0111399649</v>
      </c>
      <c r="S89" s="5" t="n">
        <f aca="false">spmv_1!R$10/R89</f>
        <v>3.14468892985471</v>
      </c>
      <c r="T89" s="6" t="n">
        <f aca="false">S89/32</f>
        <v>0.0982715290579596</v>
      </c>
    </row>
    <row r="90" customFormat="false" ht="15" hidden="false" customHeight="false" outlineLevel="0" collapsed="false">
      <c r="A90" s="1" t="s">
        <v>17</v>
      </c>
      <c r="B90" s="1" t="n">
        <v>18</v>
      </c>
      <c r="D90" s="1" t="n">
        <v>633480</v>
      </c>
      <c r="E90" s="1" t="n">
        <v>0.136411</v>
      </c>
      <c r="G90" s="1" t="n">
        <v>0.017440557</v>
      </c>
      <c r="H90" s="1" t="n">
        <v>0.008751869</v>
      </c>
      <c r="I90" s="1" t="n">
        <v>0.007966042</v>
      </c>
      <c r="J90" s="1" t="n">
        <v>0.008369684</v>
      </c>
      <c r="K90" s="1" t="n">
        <v>0.008407116</v>
      </c>
      <c r="L90" s="1" t="n">
        <v>0.007993937</v>
      </c>
      <c r="M90" s="1" t="n">
        <v>0.008365631</v>
      </c>
      <c r="N90" s="1" t="n">
        <v>0.008269072</v>
      </c>
      <c r="O90" s="1" t="n">
        <v>0.008546352</v>
      </c>
      <c r="P90" s="1" t="n">
        <v>0.008767843</v>
      </c>
      <c r="R90" s="1" t="n">
        <f aca="false">PERCENTILE(G90:P90,0.9)</f>
        <v>0.0096351144</v>
      </c>
      <c r="S90" s="5" t="n">
        <f aca="false">spmv_1!R$10/R90</f>
        <v>3.63583895796816</v>
      </c>
      <c r="T90" s="6" t="n">
        <f aca="false">S90/32</f>
        <v>0.113619967436505</v>
      </c>
    </row>
    <row r="91" customFormat="false" ht="15" hidden="false" customHeight="false" outlineLevel="0" collapsed="false">
      <c r="A91" s="1" t="s">
        <v>17</v>
      </c>
      <c r="B91" s="1" t="n">
        <v>19</v>
      </c>
      <c r="D91" s="1" t="n">
        <v>635084</v>
      </c>
      <c r="E91" s="1" t="n">
        <v>0.117922</v>
      </c>
      <c r="G91" s="1" t="n">
        <v>0.014545202</v>
      </c>
      <c r="H91" s="1" t="n">
        <v>0.01029706</v>
      </c>
      <c r="I91" s="1" t="n">
        <v>0.009921312</v>
      </c>
      <c r="J91" s="1" t="n">
        <v>0.010754585</v>
      </c>
      <c r="K91" s="1" t="n">
        <v>0.010415554</v>
      </c>
      <c r="L91" s="1" t="n">
        <v>0.010005951</v>
      </c>
      <c r="M91" s="1" t="n">
        <v>0.009953976</v>
      </c>
      <c r="N91" s="1" t="n">
        <v>0.010452747</v>
      </c>
      <c r="O91" s="1" t="n">
        <v>0.01053834</v>
      </c>
      <c r="P91" s="1" t="n">
        <v>0.010828018</v>
      </c>
      <c r="R91" s="1" t="n">
        <f aca="false">PERCENTILE(G91:P91,0.9)</f>
        <v>0.0111997364</v>
      </c>
      <c r="S91" s="5" t="n">
        <f aca="false">spmv_1!R$10/R91</f>
        <v>3.12790614429104</v>
      </c>
      <c r="T91" s="6" t="n">
        <f aca="false">S91/32</f>
        <v>0.097747067009095</v>
      </c>
    </row>
    <row r="92" customFormat="false" ht="15" hidden="false" customHeight="false" outlineLevel="0" collapsed="false">
      <c r="A92" s="1" t="s">
        <v>17</v>
      </c>
      <c r="B92" s="1" t="n">
        <v>20</v>
      </c>
      <c r="D92" s="1" t="n">
        <v>631138</v>
      </c>
      <c r="E92" s="1" t="n">
        <v>0.117223</v>
      </c>
      <c r="G92" s="1" t="n">
        <v>0.014586449</v>
      </c>
      <c r="H92" s="1" t="n">
        <v>0.010286808</v>
      </c>
      <c r="I92" s="1" t="n">
        <v>0.009909153</v>
      </c>
      <c r="J92" s="1" t="n">
        <v>0.010719538</v>
      </c>
      <c r="K92" s="1" t="n">
        <v>0.010421753</v>
      </c>
      <c r="L92" s="1" t="n">
        <v>0.00998497</v>
      </c>
      <c r="M92" s="1" t="n">
        <v>0.009932995</v>
      </c>
      <c r="N92" s="1" t="n">
        <v>0.010452986</v>
      </c>
      <c r="O92" s="1" t="n">
        <v>0.010596037</v>
      </c>
      <c r="P92" s="1" t="n">
        <v>0.010791063</v>
      </c>
      <c r="R92" s="1" t="n">
        <f aca="false">PERCENTILE(G92:P92,0.9)</f>
        <v>0.0111706016</v>
      </c>
      <c r="S92" s="5" t="n">
        <f aca="false">spmv_1!R$10/R92</f>
        <v>3.13606424742603</v>
      </c>
      <c r="T92" s="6" t="n">
        <f aca="false">S92/32</f>
        <v>0.0980020077320635</v>
      </c>
    </row>
    <row r="93" customFormat="false" ht="15" hidden="false" customHeight="false" outlineLevel="0" collapsed="false">
      <c r="A93" s="1" t="s">
        <v>17</v>
      </c>
      <c r="B93" s="1" t="n">
        <v>21</v>
      </c>
      <c r="D93" s="1" t="n">
        <v>631512</v>
      </c>
      <c r="E93" s="1" t="n">
        <v>0.116668</v>
      </c>
      <c r="G93" s="1" t="n">
        <v>0.014611006</v>
      </c>
      <c r="H93" s="1" t="n">
        <v>0.010359287</v>
      </c>
      <c r="I93" s="1" t="n">
        <v>0.00997901</v>
      </c>
      <c r="J93" s="1" t="n">
        <v>0.010791779</v>
      </c>
      <c r="K93" s="1" t="n">
        <v>0.010483742</v>
      </c>
      <c r="L93" s="1" t="n">
        <v>0.010038853</v>
      </c>
      <c r="M93" s="1" t="n">
        <v>0.009986877</v>
      </c>
      <c r="N93" s="1" t="n">
        <v>0.010483742</v>
      </c>
      <c r="O93" s="1" t="n">
        <v>0.010680437</v>
      </c>
      <c r="P93" s="1" t="n">
        <v>0.010843515</v>
      </c>
      <c r="R93" s="1" t="n">
        <f aca="false">PERCENTILE(G93:P93,0.9)</f>
        <v>0.0112202641</v>
      </c>
      <c r="S93" s="5" t="n">
        <f aca="false">spmv_1!R$10/R93</f>
        <v>3.12218357676626</v>
      </c>
      <c r="T93" s="6" t="n">
        <f aca="false">S93/32</f>
        <v>0.0975682367739455</v>
      </c>
    </row>
    <row r="94" customFormat="false" ht="15" hidden="false" customHeight="false" outlineLevel="0" collapsed="false">
      <c r="A94" s="1" t="s">
        <v>17</v>
      </c>
      <c r="B94" s="1" t="n">
        <v>22</v>
      </c>
      <c r="D94" s="1" t="n">
        <v>630840</v>
      </c>
      <c r="E94" s="1" t="n">
        <v>0.116266</v>
      </c>
      <c r="G94" s="1" t="n">
        <v>0.014588594</v>
      </c>
      <c r="H94" s="1" t="n">
        <v>0.010427237</v>
      </c>
      <c r="I94" s="1" t="n">
        <v>0.010007381</v>
      </c>
      <c r="J94" s="1" t="n">
        <v>0.010784626</v>
      </c>
      <c r="K94" s="1" t="n">
        <v>0.010537148</v>
      </c>
      <c r="L94" s="1" t="n">
        <v>0.010057926</v>
      </c>
      <c r="M94" s="1" t="n">
        <v>0.010000467</v>
      </c>
      <c r="N94" s="1" t="n">
        <v>0.010541201</v>
      </c>
      <c r="O94" s="1" t="n">
        <v>0.010716677</v>
      </c>
      <c r="P94" s="1" t="n">
        <v>0.010855198</v>
      </c>
      <c r="R94" s="1" t="n">
        <f aca="false">PERCENTILE(G94:P94,0.9)</f>
        <v>0.0112285376</v>
      </c>
      <c r="S94" s="5" t="n">
        <f aca="false">spmv_1!R$10/R94</f>
        <v>3.11988306473677</v>
      </c>
      <c r="T94" s="6" t="n">
        <f aca="false">S94/32</f>
        <v>0.0974963457730239</v>
      </c>
    </row>
    <row r="95" customFormat="false" ht="15" hidden="false" customHeight="false" outlineLevel="0" collapsed="false">
      <c r="A95" s="1" t="s">
        <v>17</v>
      </c>
      <c r="B95" s="1" t="n">
        <v>23</v>
      </c>
      <c r="D95" s="1" t="n">
        <v>631524</v>
      </c>
      <c r="E95" s="1" t="n">
        <v>0.11662</v>
      </c>
      <c r="G95" s="1" t="n">
        <v>0.01459074</v>
      </c>
      <c r="H95" s="1" t="n">
        <v>0.010401249</v>
      </c>
      <c r="I95" s="1" t="n">
        <v>0.009936333</v>
      </c>
      <c r="J95" s="1" t="n">
        <v>0.010787725</v>
      </c>
      <c r="K95" s="1" t="n">
        <v>0.010492325</v>
      </c>
      <c r="L95" s="1" t="n">
        <v>0.010045052</v>
      </c>
      <c r="M95" s="1" t="n">
        <v>0.009988308</v>
      </c>
      <c r="N95" s="1" t="n">
        <v>0.01052475</v>
      </c>
      <c r="O95" s="1" t="n">
        <v>0.010710955</v>
      </c>
      <c r="P95" s="1" t="n">
        <v>0.010827541</v>
      </c>
      <c r="R95" s="1" t="n">
        <f aca="false">PERCENTILE(G95:P95,0.9)</f>
        <v>0.0112038609</v>
      </c>
      <c r="S95" s="5" t="n">
        <f aca="false">spmv_1!R$10/R95</f>
        <v>3.12675466186839</v>
      </c>
      <c r="T95" s="6" t="n">
        <f aca="false">S95/32</f>
        <v>0.0977110831833873</v>
      </c>
    </row>
    <row r="96" customFormat="false" ht="15" hidden="false" customHeight="false" outlineLevel="0" collapsed="false">
      <c r="A96" s="1" t="s">
        <v>17</v>
      </c>
      <c r="B96" s="1" t="n">
        <v>24</v>
      </c>
      <c r="D96" s="1" t="n">
        <v>635449</v>
      </c>
      <c r="E96" s="1" t="n">
        <v>0.117322</v>
      </c>
      <c r="G96" s="1" t="n">
        <v>0.014550447</v>
      </c>
      <c r="H96" s="1" t="n">
        <v>0.010406733</v>
      </c>
      <c r="I96" s="1" t="n">
        <v>0.009978056</v>
      </c>
      <c r="J96" s="1" t="n">
        <v>0.01078701</v>
      </c>
      <c r="K96" s="1" t="n">
        <v>0.010501862</v>
      </c>
      <c r="L96" s="1" t="n">
        <v>0.010068178</v>
      </c>
      <c r="M96" s="1" t="n">
        <v>0.00998044</v>
      </c>
      <c r="N96" s="1" t="n">
        <v>0.010522366</v>
      </c>
      <c r="O96" s="1" t="n">
        <v>0.010671854</v>
      </c>
      <c r="P96" s="1" t="n">
        <v>0.010859013</v>
      </c>
      <c r="R96" s="1" t="n">
        <f aca="false">PERCENTILE(G96:P96,0.9)</f>
        <v>0.0112281564</v>
      </c>
      <c r="S96" s="5" t="n">
        <f aca="false">spmv_1!R$10/R96</f>
        <v>3.11998898590333</v>
      </c>
      <c r="T96" s="6" t="n">
        <f aca="false">S96/32</f>
        <v>0.0974996558094791</v>
      </c>
    </row>
    <row r="97" customFormat="false" ht="15" hidden="false" customHeight="false" outlineLevel="0" collapsed="false">
      <c r="A97" s="1" t="s">
        <v>17</v>
      </c>
      <c r="B97" s="1" t="n">
        <v>25</v>
      </c>
      <c r="D97" s="1" t="n">
        <v>636618</v>
      </c>
      <c r="E97" s="1" t="n">
        <v>0.117757</v>
      </c>
      <c r="G97" s="1" t="n">
        <v>0.014584303</v>
      </c>
      <c r="H97" s="1" t="n">
        <v>0.010370493</v>
      </c>
      <c r="I97" s="1" t="n">
        <v>0.009925604</v>
      </c>
      <c r="J97" s="1" t="n">
        <v>0.010761976</v>
      </c>
      <c r="K97" s="1" t="n">
        <v>0.010481119</v>
      </c>
      <c r="L97" s="1" t="n">
        <v>0.010051727</v>
      </c>
      <c r="M97" s="1" t="n">
        <v>0.009976387</v>
      </c>
      <c r="N97" s="1" t="n">
        <v>0.010502338</v>
      </c>
      <c r="O97" s="1" t="n">
        <v>0.010677338</v>
      </c>
      <c r="P97" s="1" t="n">
        <v>0.010792732</v>
      </c>
      <c r="R97" s="1" t="n">
        <f aca="false">PERCENTILE(G97:P97,0.9)</f>
        <v>0.0111718891</v>
      </c>
      <c r="S97" s="5" t="n">
        <f aca="false">spmv_1!R$10/R97</f>
        <v>3.13570283292554</v>
      </c>
      <c r="T97" s="6" t="n">
        <f aca="false">S97/32</f>
        <v>0.0979907135289233</v>
      </c>
    </row>
    <row r="98" customFormat="false" ht="15" hidden="false" customHeight="false" outlineLevel="0" collapsed="false">
      <c r="A98" s="1" t="s">
        <v>17</v>
      </c>
      <c r="B98" s="1" t="n">
        <v>26</v>
      </c>
      <c r="D98" s="1" t="n">
        <v>635811</v>
      </c>
      <c r="E98" s="1" t="n">
        <v>0.199355</v>
      </c>
      <c r="G98" s="1" t="n">
        <v>0.010211468</v>
      </c>
      <c r="H98" s="1" t="n">
        <v>0.006612301</v>
      </c>
      <c r="I98" s="1" t="n">
        <v>0.005842924</v>
      </c>
      <c r="J98" s="1" t="n">
        <v>0.006128073</v>
      </c>
      <c r="K98" s="1" t="n">
        <v>0.00641346</v>
      </c>
      <c r="L98" s="1" t="n">
        <v>0.005964041</v>
      </c>
      <c r="M98" s="1" t="n">
        <v>0.005846262</v>
      </c>
      <c r="N98" s="1" t="n">
        <v>0.005396605</v>
      </c>
      <c r="O98" s="1" t="n">
        <v>0.005637884</v>
      </c>
      <c r="P98" s="1" t="n">
        <v>0.005733728</v>
      </c>
      <c r="R98" s="1" t="n">
        <f aca="false">PERCENTILE(G98:P98,0.9)</f>
        <v>0.0069722177</v>
      </c>
      <c r="S98" s="5" t="n">
        <f aca="false">spmv_1!R$10/R98</f>
        <v>5.02447367643153</v>
      </c>
      <c r="T98" s="6" t="n">
        <f aca="false">S98/32</f>
        <v>0.157014802388485</v>
      </c>
    </row>
    <row r="99" customFormat="false" ht="15" hidden="false" customHeight="false" outlineLevel="0" collapsed="false">
      <c r="A99" s="1" t="s">
        <v>17</v>
      </c>
      <c r="B99" s="1" t="n">
        <v>27</v>
      </c>
      <c r="D99" s="1" t="n">
        <v>636439</v>
      </c>
      <c r="E99" s="1" t="n">
        <v>0.219993</v>
      </c>
      <c r="G99" s="1" t="n">
        <v>0.009865761</v>
      </c>
      <c r="H99" s="1" t="n">
        <v>0.005843878</v>
      </c>
      <c r="I99" s="1" t="n">
        <v>0.005228758</v>
      </c>
      <c r="J99" s="1" t="n">
        <v>0.005391359</v>
      </c>
      <c r="K99" s="1" t="n">
        <v>0.005527735</v>
      </c>
      <c r="L99" s="1" t="n">
        <v>0.005161524</v>
      </c>
      <c r="M99" s="1" t="n">
        <v>0.005142927</v>
      </c>
      <c r="N99" s="1" t="n">
        <v>0.00499177</v>
      </c>
      <c r="O99" s="1" t="n">
        <v>0.00531888</v>
      </c>
      <c r="P99" s="1" t="n">
        <v>0.005387306</v>
      </c>
      <c r="R99" s="1" t="n">
        <f aca="false">PERCENTILE(G99:P99,0.9)</f>
        <v>0.0062460663</v>
      </c>
      <c r="S99" s="5" t="n">
        <f aca="false">spmv_1!R$10/R99</f>
        <v>5.60860589968442</v>
      </c>
      <c r="T99" s="6" t="n">
        <f aca="false">S99/32</f>
        <v>0.175268934365138</v>
      </c>
    </row>
    <row r="100" customFormat="false" ht="15" hidden="false" customHeight="false" outlineLevel="0" collapsed="false">
      <c r="A100" s="1" t="s">
        <v>17</v>
      </c>
      <c r="B100" s="1" t="n">
        <v>28</v>
      </c>
      <c r="D100" s="1" t="n">
        <v>630937</v>
      </c>
      <c r="E100" s="1" t="n">
        <v>0.119757</v>
      </c>
      <c r="G100" s="1" t="n">
        <v>0.014326096</v>
      </c>
      <c r="H100" s="1" t="n">
        <v>0.010048628</v>
      </c>
      <c r="I100" s="1" t="n">
        <v>0.009711027</v>
      </c>
      <c r="J100" s="1" t="n">
        <v>0.010450125</v>
      </c>
      <c r="K100" s="1" t="n">
        <v>0.01013279</v>
      </c>
      <c r="L100" s="1" t="n">
        <v>0.009855986</v>
      </c>
      <c r="M100" s="1" t="n">
        <v>0.009784937</v>
      </c>
      <c r="N100" s="1" t="n">
        <v>0.010108948</v>
      </c>
      <c r="O100" s="1" t="n">
        <v>0.010352612</v>
      </c>
      <c r="P100" s="1" t="n">
        <v>0.010598421</v>
      </c>
      <c r="R100" s="1" t="n">
        <f aca="false">PERCENTILE(G100:P100,0.9)</f>
        <v>0.0109711885</v>
      </c>
      <c r="S100" s="5" t="n">
        <f aca="false">spmv_1!R$10/R100</f>
        <v>3.19306557352469</v>
      </c>
      <c r="T100" s="6" t="n">
        <f aca="false">S100/32</f>
        <v>0.0997832991726466</v>
      </c>
    </row>
    <row r="101" customFormat="false" ht="15" hidden="false" customHeight="false" outlineLevel="0" collapsed="false">
      <c r="A101" s="1" t="s">
        <v>17</v>
      </c>
      <c r="B101" s="1" t="n">
        <v>29</v>
      </c>
      <c r="D101" s="1" t="n">
        <v>631473</v>
      </c>
      <c r="E101" s="1" t="n">
        <v>0.144764</v>
      </c>
      <c r="G101" s="1" t="n">
        <v>0.012954235</v>
      </c>
      <c r="H101" s="1" t="n">
        <v>0.008598566</v>
      </c>
      <c r="I101" s="1" t="n">
        <v>0.007944107</v>
      </c>
      <c r="J101" s="1" t="n">
        <v>0.008313656</v>
      </c>
      <c r="K101" s="1" t="n">
        <v>0.008161783</v>
      </c>
      <c r="L101" s="1" t="n">
        <v>0.007842779</v>
      </c>
      <c r="M101" s="1" t="n">
        <v>0.008389235</v>
      </c>
      <c r="N101" s="1" t="n">
        <v>0.008054018</v>
      </c>
      <c r="O101" s="1" t="n">
        <v>0.008399963</v>
      </c>
      <c r="P101" s="1" t="n">
        <v>0.008583307</v>
      </c>
      <c r="R101" s="1" t="n">
        <f aca="false">PERCENTILE(G101:P101,0.9)</f>
        <v>0.0090341329</v>
      </c>
      <c r="S101" s="5" t="n">
        <f aca="false">spmv_1!R$10/R101</f>
        <v>3.87770743332766</v>
      </c>
      <c r="T101" s="6" t="n">
        <f aca="false">S101/32</f>
        <v>0.12117835729149</v>
      </c>
    </row>
    <row r="102" customFormat="false" ht="15" hidden="false" customHeight="false" outlineLevel="0" collapsed="false">
      <c r="A102" s="1" t="s">
        <v>17</v>
      </c>
      <c r="B102" s="1" t="n">
        <v>30</v>
      </c>
      <c r="D102" s="1" t="n">
        <v>629619</v>
      </c>
      <c r="E102" s="1" t="n">
        <v>0.122525</v>
      </c>
      <c r="G102" s="1" t="n">
        <v>0.014071226</v>
      </c>
      <c r="H102" s="1" t="n">
        <v>0.009732723</v>
      </c>
      <c r="I102" s="1" t="n">
        <v>0.009429693</v>
      </c>
      <c r="J102" s="1" t="n">
        <v>0.010242939</v>
      </c>
      <c r="K102" s="1" t="n">
        <v>0.009910345</v>
      </c>
      <c r="L102" s="1" t="n">
        <v>0.009549856</v>
      </c>
      <c r="M102" s="1" t="n">
        <v>0.009593725</v>
      </c>
      <c r="N102" s="1" t="n">
        <v>0.009883404</v>
      </c>
      <c r="O102" s="1" t="n">
        <v>0.010120869</v>
      </c>
      <c r="P102" s="1" t="n">
        <v>0.010238886</v>
      </c>
      <c r="R102" s="1" t="n">
        <f aca="false">PERCENTILE(G102:P102,0.9)</f>
        <v>0.0106257677</v>
      </c>
      <c r="S102" s="5" t="n">
        <f aca="false">spmv_1!R$10/R102</f>
        <v>3.29686525143967</v>
      </c>
      <c r="T102" s="6" t="n">
        <f aca="false">S102/32</f>
        <v>0.10302703910749</v>
      </c>
    </row>
    <row r="103" customFormat="false" ht="15" hidden="false" customHeight="false" outlineLevel="0" collapsed="false">
      <c r="A103" s="1" t="s">
        <v>17</v>
      </c>
      <c r="B103" s="1" t="n">
        <v>31</v>
      </c>
      <c r="D103" s="1" t="n">
        <v>629779</v>
      </c>
      <c r="E103" s="1" t="n">
        <v>0.126456</v>
      </c>
      <c r="G103" s="1" t="n">
        <v>0.013514519</v>
      </c>
      <c r="H103" s="1" t="n">
        <v>0.009354115</v>
      </c>
      <c r="I103" s="1" t="n">
        <v>0.008913755</v>
      </c>
      <c r="J103" s="1" t="n">
        <v>0.009814501</v>
      </c>
      <c r="K103" s="1" t="n">
        <v>0.009658098</v>
      </c>
      <c r="L103" s="1" t="n">
        <v>0.009326696</v>
      </c>
      <c r="M103" s="1" t="n">
        <v>0.009371281</v>
      </c>
      <c r="N103" s="1" t="n">
        <v>0.009638786</v>
      </c>
      <c r="O103" s="1" t="n">
        <v>0.010008097</v>
      </c>
      <c r="P103" s="1" t="n">
        <v>0.01000452</v>
      </c>
      <c r="R103" s="1" t="n">
        <f aca="false">PERCENTILE(G103:P103,0.9)</f>
        <v>0.0103587392</v>
      </c>
      <c r="S103" s="5" t="n">
        <f aca="false">spmv_1!R$10/R103</f>
        <v>3.38185213698594</v>
      </c>
      <c r="T103" s="6" t="n">
        <f aca="false">S103/32</f>
        <v>0.105682879280811</v>
      </c>
    </row>
    <row r="106" customFormat="false" ht="15" hidden="false" customHeight="false" outlineLevel="0" collapsed="false">
      <c r="A106" s="2" t="s">
        <v>0</v>
      </c>
      <c r="B106" s="2" t="s">
        <v>1</v>
      </c>
      <c r="C106" s="3"/>
      <c r="D106" s="2" t="s">
        <v>2</v>
      </c>
      <c r="E106" s="2" t="s">
        <v>3</v>
      </c>
      <c r="F106" s="3"/>
      <c r="G106" s="2" t="s">
        <v>4</v>
      </c>
      <c r="H106" s="2" t="s">
        <v>5</v>
      </c>
      <c r="I106" s="2" t="s">
        <v>6</v>
      </c>
      <c r="J106" s="2" t="s">
        <v>7</v>
      </c>
      <c r="K106" s="2" t="s">
        <v>8</v>
      </c>
      <c r="L106" s="2" t="s">
        <v>9</v>
      </c>
      <c r="M106" s="2" t="s">
        <v>10</v>
      </c>
      <c r="N106" s="2" t="s">
        <v>11</v>
      </c>
      <c r="O106" s="2" t="s">
        <v>12</v>
      </c>
      <c r="P106" s="2" t="s">
        <v>13</v>
      </c>
      <c r="R106" s="4" t="s">
        <v>14</v>
      </c>
      <c r="S106" s="7" t="s">
        <v>20</v>
      </c>
      <c r="T106" s="8" t="s">
        <v>21</v>
      </c>
    </row>
    <row r="107" customFormat="false" ht="15" hidden="false" customHeight="false" outlineLevel="0" collapsed="false">
      <c r="A107" s="1" t="s">
        <v>18</v>
      </c>
      <c r="B107" s="1" t="n">
        <v>0</v>
      </c>
      <c r="D107" s="1" t="n">
        <v>24198312</v>
      </c>
      <c r="E107" s="1" t="n">
        <v>0.104633</v>
      </c>
      <c r="G107" s="1" t="n">
        <v>0.58387208</v>
      </c>
      <c r="H107" s="1" t="n">
        <v>0.543691874</v>
      </c>
      <c r="I107" s="1" t="n">
        <v>0.514486313</v>
      </c>
      <c r="J107" s="1" t="n">
        <v>0.509551525</v>
      </c>
      <c r="K107" s="1" t="n">
        <v>0.475655079</v>
      </c>
      <c r="L107" s="1" t="n">
        <v>0.405412197</v>
      </c>
      <c r="M107" s="1" t="n">
        <v>0.398323298</v>
      </c>
      <c r="N107" s="1" t="n">
        <v>0.396964073</v>
      </c>
      <c r="O107" s="1" t="n">
        <v>0.401932716</v>
      </c>
      <c r="P107" s="1" t="n">
        <v>0.39547801</v>
      </c>
      <c r="R107" s="1" t="n">
        <f aca="false">PERCENTILE(G107:P107,0.9)</f>
        <v>0.5477098946</v>
      </c>
      <c r="S107" s="5" t="n">
        <f aca="false">spmv_1!R$14/R107</f>
        <v>2.016659135776</v>
      </c>
      <c r="T107" s="6" t="n">
        <f aca="false">S107/32</f>
        <v>0.063020597993</v>
      </c>
    </row>
    <row r="108" customFormat="false" ht="15" hidden="false" customHeight="false" outlineLevel="0" collapsed="false">
      <c r="A108" s="1" t="s">
        <v>18</v>
      </c>
      <c r="B108" s="1" t="n">
        <v>1</v>
      </c>
      <c r="D108" s="1" t="n">
        <v>24201902</v>
      </c>
      <c r="E108" s="1" t="n">
        <v>0.102754</v>
      </c>
      <c r="G108" s="1" t="n">
        <v>0.58129406</v>
      </c>
      <c r="H108" s="1" t="n">
        <v>0.582261562</v>
      </c>
      <c r="I108" s="1" t="n">
        <v>0.52686882</v>
      </c>
      <c r="J108" s="1" t="n">
        <v>0.520992994</v>
      </c>
      <c r="K108" s="1" t="n">
        <v>0.461790085</v>
      </c>
      <c r="L108" s="1" t="n">
        <v>0.443796635</v>
      </c>
      <c r="M108" s="1" t="n">
        <v>0.390772343</v>
      </c>
      <c r="N108" s="1" t="n">
        <v>0.425650597</v>
      </c>
      <c r="O108" s="1" t="n">
        <v>0.391305447</v>
      </c>
      <c r="P108" s="1" t="n">
        <v>0.385938406</v>
      </c>
      <c r="R108" s="1" t="n">
        <f aca="false">PERCENTILE(G108:P108,0.9)</f>
        <v>0.5813908102</v>
      </c>
      <c r="S108" s="5" t="n">
        <f aca="false">spmv_1!R$14/R108</f>
        <v>1.89983079078948</v>
      </c>
      <c r="T108" s="6" t="n">
        <f aca="false">S108/32</f>
        <v>0.0593697122121711</v>
      </c>
    </row>
    <row r="109" customFormat="false" ht="15" hidden="false" customHeight="false" outlineLevel="0" collapsed="false">
      <c r="A109" s="1" t="s">
        <v>18</v>
      </c>
      <c r="B109" s="1" t="n">
        <v>2</v>
      </c>
      <c r="D109" s="1" t="n">
        <v>24202620</v>
      </c>
      <c r="E109" s="1" t="n">
        <v>0.090699</v>
      </c>
      <c r="G109" s="1" t="n">
        <v>0.661841869</v>
      </c>
      <c r="H109" s="1" t="n">
        <v>0.857323408</v>
      </c>
      <c r="I109" s="1" t="n">
        <v>0.542041779</v>
      </c>
      <c r="J109" s="1" t="n">
        <v>0.620025635</v>
      </c>
      <c r="K109" s="1" t="n">
        <v>0.480053186</v>
      </c>
      <c r="L109" s="1" t="n">
        <v>0.568002462</v>
      </c>
      <c r="M109" s="1" t="n">
        <v>0.403775215</v>
      </c>
      <c r="N109" s="1" t="n">
        <v>0.382349253</v>
      </c>
      <c r="O109" s="1" t="n">
        <v>0.4363873</v>
      </c>
      <c r="P109" s="1" t="n">
        <v>0.385125875</v>
      </c>
      <c r="R109" s="1" t="n">
        <f aca="false">PERCENTILE(G109:P109,0.9)</f>
        <v>0.6813900229</v>
      </c>
      <c r="S109" s="5" t="n">
        <f aca="false">spmv_1!R$14/R109</f>
        <v>1.62101604892753</v>
      </c>
      <c r="T109" s="6" t="n">
        <f aca="false">S109/32</f>
        <v>0.0506567515289855</v>
      </c>
    </row>
    <row r="110" customFormat="false" ht="15" hidden="false" customHeight="false" outlineLevel="0" collapsed="false">
      <c r="A110" s="1" t="s">
        <v>18</v>
      </c>
      <c r="B110" s="1" t="n">
        <v>3</v>
      </c>
      <c r="D110" s="1" t="n">
        <v>24202620</v>
      </c>
      <c r="E110" s="1" t="n">
        <v>0.106544</v>
      </c>
      <c r="G110" s="1" t="n">
        <v>0.585440636</v>
      </c>
      <c r="H110" s="1" t="n">
        <v>0.526962996</v>
      </c>
      <c r="I110" s="1" t="n">
        <v>0.500210047</v>
      </c>
      <c r="J110" s="1" t="n">
        <v>0.501642466</v>
      </c>
      <c r="K110" s="1" t="n">
        <v>0.461792946</v>
      </c>
      <c r="L110" s="1" t="n">
        <v>0.403707027</v>
      </c>
      <c r="M110" s="1" t="n">
        <v>0.396716595</v>
      </c>
      <c r="N110" s="1" t="n">
        <v>0.38947916</v>
      </c>
      <c r="O110" s="1" t="n">
        <v>0.388997078</v>
      </c>
      <c r="P110" s="1" t="n">
        <v>0.388277531</v>
      </c>
      <c r="R110" s="1" t="n">
        <f aca="false">PERCENTILE(G110:P110,0.9)</f>
        <v>0.53281076</v>
      </c>
      <c r="S110" s="5" t="n">
        <f aca="false">spmv_1!R$14/R110</f>
        <v>2.07305153278061</v>
      </c>
      <c r="T110" s="6" t="n">
        <f aca="false">S110/32</f>
        <v>0.064782860399394</v>
      </c>
    </row>
    <row r="111" customFormat="false" ht="15" hidden="false" customHeight="false" outlineLevel="0" collapsed="false">
      <c r="A111" s="1" t="s">
        <v>18</v>
      </c>
      <c r="B111" s="1" t="n">
        <v>4</v>
      </c>
      <c r="D111" s="1" t="n">
        <v>24202620</v>
      </c>
      <c r="E111" s="1" t="n">
        <v>0.108092</v>
      </c>
      <c r="G111" s="1" t="n">
        <v>0.580566883</v>
      </c>
      <c r="H111" s="1" t="n">
        <v>0.520046234</v>
      </c>
      <c r="I111" s="1" t="n">
        <v>0.490968943</v>
      </c>
      <c r="J111" s="1" t="n">
        <v>0.493941784</v>
      </c>
      <c r="K111" s="1" t="n">
        <v>0.453740358</v>
      </c>
      <c r="L111" s="1" t="n">
        <v>0.399193764</v>
      </c>
      <c r="M111" s="1" t="n">
        <v>0.390342474</v>
      </c>
      <c r="N111" s="1" t="n">
        <v>0.384502172</v>
      </c>
      <c r="O111" s="1" t="n">
        <v>0.383052111</v>
      </c>
      <c r="P111" s="1" t="n">
        <v>0.381812096</v>
      </c>
      <c r="R111" s="1" t="n">
        <f aca="false">PERCENTILE(G111:P111,0.9)</f>
        <v>0.5260982989</v>
      </c>
      <c r="S111" s="5" t="n">
        <f aca="false">spmv_1!R$14/R111</f>
        <v>2.09950149051889</v>
      </c>
      <c r="T111" s="6" t="n">
        <f aca="false">S111/32</f>
        <v>0.0656094215787152</v>
      </c>
    </row>
    <row r="112" customFormat="false" ht="15" hidden="false" customHeight="false" outlineLevel="0" collapsed="false">
      <c r="A112" s="1" t="s">
        <v>18</v>
      </c>
      <c r="B112" s="1" t="n">
        <v>5</v>
      </c>
      <c r="D112" s="1" t="n">
        <v>24202620</v>
      </c>
      <c r="E112" s="1" t="n">
        <v>0.11446</v>
      </c>
      <c r="G112" s="1" t="n">
        <v>0.554151297</v>
      </c>
      <c r="H112" s="1" t="n">
        <v>0.498177528</v>
      </c>
      <c r="I112" s="1" t="n">
        <v>0.464818001</v>
      </c>
      <c r="J112" s="1" t="n">
        <v>0.467517138</v>
      </c>
      <c r="K112" s="1" t="n">
        <v>0.427942514</v>
      </c>
      <c r="L112" s="1" t="n">
        <v>0.37405467</v>
      </c>
      <c r="M112" s="1" t="n">
        <v>0.365770578</v>
      </c>
      <c r="N112" s="1" t="n">
        <v>0.359336376</v>
      </c>
      <c r="O112" s="1" t="n">
        <v>0.359447002</v>
      </c>
      <c r="P112" s="1" t="n">
        <v>0.357799292</v>
      </c>
      <c r="R112" s="1" t="n">
        <f aca="false">PERCENTILE(G112:P112,0.9)</f>
        <v>0.5037749049</v>
      </c>
      <c r="S112" s="5" t="n">
        <f aca="false">spmv_1!R$14/R112</f>
        <v>2.19253510239708</v>
      </c>
      <c r="T112" s="6" t="n">
        <f aca="false">S112/32</f>
        <v>0.0685167219499087</v>
      </c>
    </row>
    <row r="113" customFormat="false" ht="15" hidden="false" customHeight="false" outlineLevel="0" collapsed="false">
      <c r="A113" s="1" t="s">
        <v>18</v>
      </c>
      <c r="B113" s="1" t="n">
        <v>6</v>
      </c>
      <c r="D113" s="1" t="n">
        <v>24202620</v>
      </c>
      <c r="E113" s="1" t="n">
        <v>0.111141</v>
      </c>
      <c r="G113" s="1" t="n">
        <v>0.56719017</v>
      </c>
      <c r="H113" s="1" t="n">
        <v>0.50722599</v>
      </c>
      <c r="I113" s="1" t="n">
        <v>0.476411819</v>
      </c>
      <c r="J113" s="1" t="n">
        <v>0.478077888</v>
      </c>
      <c r="K113" s="1" t="n">
        <v>0.442329645</v>
      </c>
      <c r="L113" s="1" t="n">
        <v>0.388682842</v>
      </c>
      <c r="M113" s="1" t="n">
        <v>0.378494978</v>
      </c>
      <c r="N113" s="1" t="n">
        <v>0.373089314</v>
      </c>
      <c r="O113" s="1" t="n">
        <v>0.373560429</v>
      </c>
      <c r="P113" s="1" t="n">
        <v>0.370253086</v>
      </c>
      <c r="R113" s="1" t="n">
        <f aca="false">PERCENTILE(G113:P113,0.9)</f>
        <v>0.513222408</v>
      </c>
      <c r="S113" s="5" t="n">
        <f aca="false">spmv_1!R$14/R113</f>
        <v>2.15217446760431</v>
      </c>
      <c r="T113" s="6" t="n">
        <f aca="false">S113/32</f>
        <v>0.0672554521126346</v>
      </c>
    </row>
    <row r="114" customFormat="false" ht="15" hidden="false" customHeight="false" outlineLevel="0" collapsed="false">
      <c r="A114" s="1" t="s">
        <v>18</v>
      </c>
      <c r="B114" s="1" t="n">
        <v>7</v>
      </c>
      <c r="D114" s="1" t="n">
        <v>24202620</v>
      </c>
      <c r="E114" s="1" t="n">
        <v>0.115911</v>
      </c>
      <c r="G114" s="1" t="n">
        <v>0.53680253</v>
      </c>
      <c r="H114" s="1" t="n">
        <v>0.489337683</v>
      </c>
      <c r="I114" s="1" t="n">
        <v>0.457190037</v>
      </c>
      <c r="J114" s="1" t="n">
        <v>0.458586454</v>
      </c>
      <c r="K114" s="1" t="n">
        <v>0.425169945</v>
      </c>
      <c r="L114" s="1" t="n">
        <v>0.37287569</v>
      </c>
      <c r="M114" s="1" t="n">
        <v>0.361923695</v>
      </c>
      <c r="N114" s="1" t="n">
        <v>0.358789206</v>
      </c>
      <c r="O114" s="1" t="n">
        <v>0.358852863</v>
      </c>
      <c r="P114" s="1" t="n">
        <v>0.356552601</v>
      </c>
      <c r="R114" s="1" t="n">
        <f aca="false">PERCENTILE(G114:P114,0.9)</f>
        <v>0.4940841677</v>
      </c>
      <c r="S114" s="5" t="n">
        <f aca="false">spmv_1!R$14/R114</f>
        <v>2.23553846673885</v>
      </c>
      <c r="T114" s="6" t="n">
        <f aca="false">S114/32</f>
        <v>0.0698605770855891</v>
      </c>
    </row>
    <row r="115" customFormat="false" ht="15" hidden="false" customHeight="false" outlineLevel="0" collapsed="false">
      <c r="A115" s="1" t="s">
        <v>18</v>
      </c>
      <c r="B115" s="1" t="n">
        <v>8</v>
      </c>
      <c r="D115" s="1" t="n">
        <v>24202620</v>
      </c>
      <c r="E115" s="1" t="n">
        <v>0.114437</v>
      </c>
      <c r="G115" s="1" t="n">
        <v>0.554878235</v>
      </c>
      <c r="H115" s="1" t="n">
        <v>0.491612434</v>
      </c>
      <c r="I115" s="1" t="n">
        <v>0.4593575</v>
      </c>
      <c r="J115" s="1" t="n">
        <v>0.456931353</v>
      </c>
      <c r="K115" s="1" t="n">
        <v>0.432649612</v>
      </c>
      <c r="L115" s="1" t="n">
        <v>0.378225327</v>
      </c>
      <c r="M115" s="1" t="n">
        <v>0.367333651</v>
      </c>
      <c r="N115" s="1" t="n">
        <v>0.364655972</v>
      </c>
      <c r="O115" s="1" t="n">
        <v>0.362998486</v>
      </c>
      <c r="P115" s="1" t="n">
        <v>0.361216784</v>
      </c>
      <c r="R115" s="1" t="n">
        <f aca="false">PERCENTILE(G115:P115,0.9)</f>
        <v>0.4979390141</v>
      </c>
      <c r="S115" s="5" t="n">
        <f aca="false">spmv_1!R$14/R115</f>
        <v>2.21823181438476</v>
      </c>
      <c r="T115" s="6" t="n">
        <f aca="false">S115/32</f>
        <v>0.0693197441995237</v>
      </c>
    </row>
    <row r="116" customFormat="false" ht="15" hidden="false" customHeight="false" outlineLevel="0" collapsed="false">
      <c r="A116" s="1" t="s">
        <v>18</v>
      </c>
      <c r="B116" s="1" t="n">
        <v>9</v>
      </c>
      <c r="D116" s="1" t="n">
        <v>24202620</v>
      </c>
      <c r="E116" s="1" t="n">
        <v>0.08732</v>
      </c>
      <c r="G116" s="1" t="n">
        <v>0.68061018</v>
      </c>
      <c r="H116" s="1" t="n">
        <v>0.750576019</v>
      </c>
      <c r="I116" s="1" t="n">
        <v>0.595948696</v>
      </c>
      <c r="J116" s="1" t="n">
        <v>0.552211761</v>
      </c>
      <c r="K116" s="1" t="n">
        <v>0.595346928</v>
      </c>
      <c r="L116" s="1" t="n">
        <v>0.465973139</v>
      </c>
      <c r="M116" s="1" t="n">
        <v>0.659223557</v>
      </c>
      <c r="N116" s="1" t="n">
        <v>0.468173981</v>
      </c>
      <c r="O116" s="1" t="n">
        <v>0.392654896</v>
      </c>
      <c r="P116" s="1" t="n">
        <v>0.382689714</v>
      </c>
      <c r="R116" s="1" t="n">
        <f aca="false">PERCENTILE(G116:P116,0.9)</f>
        <v>0.6876067639</v>
      </c>
      <c r="S116" s="5" t="n">
        <f aca="false">spmv_1!R$14/R116</f>
        <v>1.60636023478768</v>
      </c>
      <c r="T116" s="6" t="n">
        <f aca="false">S116/32</f>
        <v>0.050198757337115</v>
      </c>
    </row>
    <row r="117" customFormat="false" ht="15" hidden="false" customHeight="false" outlineLevel="0" collapsed="false">
      <c r="A117" s="1" t="s">
        <v>18</v>
      </c>
      <c r="B117" s="1" t="n">
        <v>10</v>
      </c>
      <c r="D117" s="1" t="n">
        <v>24202620</v>
      </c>
      <c r="E117" s="1" t="n">
        <v>0.11743</v>
      </c>
      <c r="G117" s="1" t="n">
        <v>0.521389961</v>
      </c>
      <c r="H117" s="1" t="n">
        <v>0.475041151</v>
      </c>
      <c r="I117" s="1" t="n">
        <v>0.435493946</v>
      </c>
      <c r="J117" s="1" t="n">
        <v>0.458112001</v>
      </c>
      <c r="K117" s="1" t="n">
        <v>0.429643393</v>
      </c>
      <c r="L117" s="1" t="n">
        <v>0.371985912</v>
      </c>
      <c r="M117" s="1" t="n">
        <v>0.359169483</v>
      </c>
      <c r="N117" s="1" t="n">
        <v>0.359602213</v>
      </c>
      <c r="O117" s="1" t="n">
        <v>0.354317427</v>
      </c>
      <c r="P117" s="1" t="n">
        <v>0.357310772</v>
      </c>
      <c r="R117" s="1" t="n">
        <f aca="false">PERCENTILE(G117:P117,0.9)</f>
        <v>0.479676032</v>
      </c>
      <c r="S117" s="5" t="n">
        <f aca="false">spmv_1!R$14/R117</f>
        <v>2.30268783306647</v>
      </c>
      <c r="T117" s="6" t="n">
        <f aca="false">S117/32</f>
        <v>0.071958994783327</v>
      </c>
    </row>
    <row r="118" customFormat="false" ht="15" hidden="false" customHeight="false" outlineLevel="0" collapsed="false">
      <c r="A118" s="1" t="s">
        <v>18</v>
      </c>
      <c r="B118" s="1" t="n">
        <v>11</v>
      </c>
      <c r="D118" s="1" t="n">
        <v>24202620</v>
      </c>
      <c r="E118" s="1" t="n">
        <v>0.122442</v>
      </c>
      <c r="G118" s="1" t="n">
        <v>0.489807129</v>
      </c>
      <c r="H118" s="1" t="n">
        <v>0.4440341</v>
      </c>
      <c r="I118" s="1" t="n">
        <v>0.424942732</v>
      </c>
      <c r="J118" s="1" t="n">
        <v>0.446148872</v>
      </c>
      <c r="K118" s="1" t="n">
        <v>0.413677692</v>
      </c>
      <c r="L118" s="1" t="n">
        <v>0.357976913</v>
      </c>
      <c r="M118" s="1" t="n">
        <v>0.344466448</v>
      </c>
      <c r="N118" s="1" t="n">
        <v>0.346059084</v>
      </c>
      <c r="O118" s="1" t="n">
        <v>0.340954542</v>
      </c>
      <c r="P118" s="1" t="n">
        <v>0.345236778</v>
      </c>
      <c r="R118" s="1" t="n">
        <f aca="false">PERCENTILE(G118:P118,0.9)</f>
        <v>0.4505146977</v>
      </c>
      <c r="S118" s="5" t="n">
        <f aca="false">spmv_1!R$14/R118</f>
        <v>2.45173835246441</v>
      </c>
      <c r="T118" s="6" t="n">
        <f aca="false">S118/32</f>
        <v>0.0766168235145129</v>
      </c>
    </row>
    <row r="119" customFormat="false" ht="15" hidden="false" customHeight="false" outlineLevel="0" collapsed="false">
      <c r="A119" s="1" t="s">
        <v>18</v>
      </c>
      <c r="B119" s="1" t="n">
        <v>12</v>
      </c>
      <c r="D119" s="1" t="n">
        <v>24202620</v>
      </c>
      <c r="E119" s="1" t="n">
        <v>0.114386</v>
      </c>
      <c r="G119" s="1" t="n">
        <v>0.50823617</v>
      </c>
      <c r="H119" s="1" t="n">
        <v>0.475253582</v>
      </c>
      <c r="I119" s="1" t="n">
        <v>0.460560799</v>
      </c>
      <c r="J119" s="1" t="n">
        <v>0.475322008</v>
      </c>
      <c r="K119" s="1" t="n">
        <v>0.444773912</v>
      </c>
      <c r="L119" s="1" t="n">
        <v>0.385294437</v>
      </c>
      <c r="M119" s="1" t="n">
        <v>0.371771574</v>
      </c>
      <c r="N119" s="1" t="n">
        <v>0.372140169</v>
      </c>
      <c r="O119" s="1" t="n">
        <v>0.367327452</v>
      </c>
      <c r="P119" s="1" t="n">
        <v>0.371055603</v>
      </c>
      <c r="R119" s="1" t="n">
        <f aca="false">PERCENTILE(G119:P119,0.9)</f>
        <v>0.4786134242</v>
      </c>
      <c r="S119" s="5" t="n">
        <f aca="false">spmv_1!R$14/R119</f>
        <v>2.30780021380771</v>
      </c>
      <c r="T119" s="6" t="n">
        <f aca="false">S119/32</f>
        <v>0.0721187566814909</v>
      </c>
    </row>
    <row r="120" customFormat="false" ht="15" hidden="false" customHeight="false" outlineLevel="0" collapsed="false">
      <c r="A120" s="1" t="s">
        <v>18</v>
      </c>
      <c r="B120" s="1" t="n">
        <v>13</v>
      </c>
      <c r="D120" s="1" t="n">
        <v>24202620</v>
      </c>
      <c r="E120" s="1" t="n">
        <v>0.118621</v>
      </c>
      <c r="G120" s="1" t="n">
        <v>0.467080832</v>
      </c>
      <c r="H120" s="1" t="n">
        <v>0.458554745</v>
      </c>
      <c r="I120" s="1" t="n">
        <v>0.44948411</v>
      </c>
      <c r="J120" s="1" t="n">
        <v>0.460895061</v>
      </c>
      <c r="K120" s="1" t="n">
        <v>0.433923244</v>
      </c>
      <c r="L120" s="1" t="n">
        <v>0.371786833</v>
      </c>
      <c r="M120" s="1" t="n">
        <v>0.359042406</v>
      </c>
      <c r="N120" s="1" t="n">
        <v>0.360857248</v>
      </c>
      <c r="O120" s="1" t="n">
        <v>0.356149912</v>
      </c>
      <c r="P120" s="1" t="n">
        <v>0.362878084</v>
      </c>
      <c r="R120" s="1" t="n">
        <f aca="false">PERCENTILE(G120:P120,0.9)</f>
        <v>0.4615136381</v>
      </c>
      <c r="S120" s="5" t="n">
        <f aca="false">spmv_1!R$14/R120</f>
        <v>2.3933077411261</v>
      </c>
      <c r="T120" s="6" t="n">
        <f aca="false">S120/32</f>
        <v>0.0747908669101907</v>
      </c>
    </row>
    <row r="121" customFormat="false" ht="15" hidden="false" customHeight="false" outlineLevel="0" collapsed="false">
      <c r="A121" s="1" t="s">
        <v>18</v>
      </c>
      <c r="B121" s="1" t="n">
        <v>14</v>
      </c>
      <c r="D121" s="1" t="n">
        <v>24203338</v>
      </c>
      <c r="E121" s="1" t="n">
        <v>0.111473</v>
      </c>
      <c r="G121" s="1" t="n">
        <v>0.49307251</v>
      </c>
      <c r="H121" s="1" t="n">
        <v>0.489191532</v>
      </c>
      <c r="I121" s="1" t="n">
        <v>0.48315835</v>
      </c>
      <c r="J121" s="1" t="n">
        <v>0.487841368</v>
      </c>
      <c r="K121" s="1" t="n">
        <v>0.4616642</v>
      </c>
      <c r="L121" s="1" t="n">
        <v>0.39651823</v>
      </c>
      <c r="M121" s="1" t="n">
        <v>0.384628057</v>
      </c>
      <c r="N121" s="1" t="n">
        <v>0.383743763</v>
      </c>
      <c r="O121" s="1" t="n">
        <v>0.379403114</v>
      </c>
      <c r="P121" s="1" t="n">
        <v>0.383240461</v>
      </c>
      <c r="R121" s="1" t="n">
        <f aca="false">PERCENTILE(G121:P121,0.9)</f>
        <v>0.4895796298</v>
      </c>
      <c r="S121" s="5" t="n">
        <f aca="false">spmv_1!R$14/R121</f>
        <v>2.2561072713569</v>
      </c>
      <c r="T121" s="6" t="n">
        <f aca="false">S121/32</f>
        <v>0.0705033522299032</v>
      </c>
    </row>
    <row r="122" customFormat="false" ht="15" hidden="false" customHeight="false" outlineLevel="0" collapsed="false">
      <c r="A122" s="1" t="s">
        <v>18</v>
      </c>
      <c r="B122" s="1" t="n">
        <v>15</v>
      </c>
      <c r="D122" s="1" t="n">
        <v>24201184</v>
      </c>
      <c r="E122" s="1" t="n">
        <v>0.114314</v>
      </c>
      <c r="G122" s="1" t="n">
        <v>0.490629435</v>
      </c>
      <c r="H122" s="1" t="n">
        <v>0.479692698</v>
      </c>
      <c r="I122" s="1" t="n">
        <v>0.4732759</v>
      </c>
      <c r="J122" s="1" t="n">
        <v>0.473989725</v>
      </c>
      <c r="K122" s="1" t="n">
        <v>0.452622414</v>
      </c>
      <c r="L122" s="1" t="n">
        <v>0.381917238</v>
      </c>
      <c r="M122" s="1" t="n">
        <v>0.371582747</v>
      </c>
      <c r="N122" s="1" t="n">
        <v>0.370500088</v>
      </c>
      <c r="O122" s="1" t="n">
        <v>0.367814064</v>
      </c>
      <c r="P122" s="1" t="n">
        <v>0.372129917</v>
      </c>
      <c r="R122" s="1" t="n">
        <f aca="false">PERCENTILE(G122:P122,0.9)</f>
        <v>0.4807863717</v>
      </c>
      <c r="S122" s="5" t="n">
        <f aca="false">spmv_1!R$14/R122</f>
        <v>2.29736994997273</v>
      </c>
      <c r="T122" s="6" t="n">
        <f aca="false">S122/32</f>
        <v>0.0717928109366479</v>
      </c>
    </row>
    <row r="123" customFormat="false" ht="15" hidden="false" customHeight="false" outlineLevel="0" collapsed="false">
      <c r="A123" s="1" t="s">
        <v>18</v>
      </c>
      <c r="B123" s="1" t="n">
        <v>16</v>
      </c>
      <c r="D123" s="1" t="n">
        <v>24201184</v>
      </c>
      <c r="E123" s="1" t="n">
        <v>0.074878</v>
      </c>
      <c r="G123" s="1" t="n">
        <v>0.68370533</v>
      </c>
      <c r="H123" s="1" t="n">
        <v>0.773186445</v>
      </c>
      <c r="I123" s="1" t="n">
        <v>0.769461632</v>
      </c>
      <c r="J123" s="1" t="n">
        <v>0.72759819</v>
      </c>
      <c r="K123" s="1" t="n">
        <v>0.697493076</v>
      </c>
      <c r="L123" s="1" t="n">
        <v>0.567466974</v>
      </c>
      <c r="M123" s="1" t="n">
        <v>0.558973312</v>
      </c>
      <c r="N123" s="1" t="n">
        <v>0.559467077</v>
      </c>
      <c r="O123" s="1" t="n">
        <v>0.56423831</v>
      </c>
      <c r="P123" s="1" t="n">
        <v>0.562558651</v>
      </c>
      <c r="R123" s="1" t="n">
        <f aca="false">PERCENTILE(G123:P123,0.9)</f>
        <v>0.7698341133</v>
      </c>
      <c r="S123" s="5" t="n">
        <f aca="false">spmv_1!R$14/R123</f>
        <v>1.43478204410197</v>
      </c>
      <c r="T123" s="6" t="n">
        <f aca="false">S123/32</f>
        <v>0.0448369388781865</v>
      </c>
    </row>
    <row r="124" customFormat="false" ht="15" hidden="false" customHeight="false" outlineLevel="0" collapsed="false">
      <c r="A124" s="1" t="s">
        <v>18</v>
      </c>
      <c r="B124" s="1" t="n">
        <v>17</v>
      </c>
      <c r="D124" s="1" t="n">
        <v>24203338</v>
      </c>
      <c r="E124" s="1" t="n">
        <v>0.075607</v>
      </c>
      <c r="G124" s="1" t="n">
        <v>0.675822973</v>
      </c>
      <c r="H124" s="1" t="n">
        <v>0.759215593</v>
      </c>
      <c r="I124" s="1" t="n">
        <v>0.789657593</v>
      </c>
      <c r="J124" s="1" t="n">
        <v>0.718214273</v>
      </c>
      <c r="K124" s="1" t="n">
        <v>0.69358182</v>
      </c>
      <c r="L124" s="1" t="n">
        <v>0.551384926</v>
      </c>
      <c r="M124" s="1" t="n">
        <v>0.554915428</v>
      </c>
      <c r="N124" s="1" t="n">
        <v>0.555290937</v>
      </c>
      <c r="O124" s="1" t="n">
        <v>0.544516087</v>
      </c>
      <c r="P124" s="1" t="n">
        <v>0.559809208</v>
      </c>
      <c r="R124" s="1" t="n">
        <f aca="false">PERCENTILE(G124:P124,0.9)</f>
        <v>0.762259793</v>
      </c>
      <c r="S124" s="5" t="n">
        <f aca="false">spmv_1!R$14/R124</f>
        <v>1.44903899279914</v>
      </c>
      <c r="T124" s="6" t="n">
        <f aca="false">S124/32</f>
        <v>0.0452824685249731</v>
      </c>
    </row>
    <row r="125" customFormat="false" ht="15" hidden="false" customHeight="false" outlineLevel="0" collapsed="false">
      <c r="A125" s="1" t="s">
        <v>18</v>
      </c>
      <c r="B125" s="1" t="n">
        <v>18</v>
      </c>
      <c r="D125" s="1" t="n">
        <v>24202620</v>
      </c>
      <c r="E125" s="1" t="n">
        <v>0.075438</v>
      </c>
      <c r="G125" s="1" t="n">
        <v>0.697842836</v>
      </c>
      <c r="H125" s="1" t="n">
        <v>0.761015892</v>
      </c>
      <c r="I125" s="1" t="n">
        <v>0.799974918</v>
      </c>
      <c r="J125" s="1" t="n">
        <v>0.727506399</v>
      </c>
      <c r="K125" s="1" t="n">
        <v>0.692410469</v>
      </c>
      <c r="L125" s="1" t="n">
        <v>0.544311762</v>
      </c>
      <c r="M125" s="1" t="n">
        <v>0.553343296</v>
      </c>
      <c r="N125" s="1" t="n">
        <v>0.554374695</v>
      </c>
      <c r="O125" s="1" t="n">
        <v>0.528004408</v>
      </c>
      <c r="P125" s="1" t="n">
        <v>0.557766438</v>
      </c>
      <c r="R125" s="1" t="n">
        <f aca="false">PERCENTILE(G125:P125,0.9)</f>
        <v>0.7649117946</v>
      </c>
      <c r="S125" s="5" t="n">
        <f aca="false">spmv_1!R$14/R125</f>
        <v>1.44401507532984</v>
      </c>
      <c r="T125" s="6" t="n">
        <f aca="false">S125/32</f>
        <v>0.0451254711040574</v>
      </c>
    </row>
    <row r="126" customFormat="false" ht="15" hidden="false" customHeight="false" outlineLevel="0" collapsed="false">
      <c r="A126" s="1" t="s">
        <v>18</v>
      </c>
      <c r="B126" s="1" t="n">
        <v>19</v>
      </c>
      <c r="D126" s="1" t="n">
        <v>24202620</v>
      </c>
      <c r="E126" s="1" t="n">
        <v>0.086963</v>
      </c>
      <c r="G126" s="1" t="n">
        <v>0.607003689</v>
      </c>
      <c r="H126" s="1" t="n">
        <v>0.577866077</v>
      </c>
      <c r="I126" s="1" t="n">
        <v>0.630580902</v>
      </c>
      <c r="J126" s="1" t="n">
        <v>0.580220222</v>
      </c>
      <c r="K126" s="1" t="n">
        <v>0.629851818</v>
      </c>
      <c r="L126" s="1" t="n">
        <v>0.513549328</v>
      </c>
      <c r="M126" s="1" t="n">
        <v>0.503488302</v>
      </c>
      <c r="N126" s="1" t="n">
        <v>0.505586624</v>
      </c>
      <c r="O126" s="1" t="n">
        <v>0.510999203</v>
      </c>
      <c r="P126" s="1" t="n">
        <v>0.507037878</v>
      </c>
      <c r="R126" s="1" t="n">
        <f aca="false">PERCENTILE(G126:P126,0.9)</f>
        <v>0.6299247264</v>
      </c>
      <c r="S126" s="5" t="n">
        <f aca="false">spmv_1!R$14/R126</f>
        <v>1.75345420874719</v>
      </c>
      <c r="T126" s="6" t="n">
        <f aca="false">S126/32</f>
        <v>0.0547954440233496</v>
      </c>
    </row>
    <row r="127" customFormat="false" ht="15" hidden="false" customHeight="false" outlineLevel="0" collapsed="false">
      <c r="A127" s="1" t="s">
        <v>18</v>
      </c>
      <c r="B127" s="1" t="n">
        <v>20</v>
      </c>
      <c r="D127" s="1" t="n">
        <v>24202620</v>
      </c>
      <c r="E127" s="1" t="n">
        <v>0.076012</v>
      </c>
      <c r="G127" s="1" t="n">
        <v>0.719008207</v>
      </c>
      <c r="H127" s="1" t="n">
        <v>0.737654448</v>
      </c>
      <c r="I127" s="1" t="n">
        <v>0.823218107</v>
      </c>
      <c r="J127" s="1" t="n">
        <v>0.725486994</v>
      </c>
      <c r="K127" s="1" t="n">
        <v>0.672321081</v>
      </c>
      <c r="L127" s="1" t="n">
        <v>0.535105705</v>
      </c>
      <c r="M127" s="1" t="n">
        <v>0.529366493</v>
      </c>
      <c r="N127" s="1" t="n">
        <v>0.535984755</v>
      </c>
      <c r="O127" s="1" t="n">
        <v>0.552684307</v>
      </c>
      <c r="P127" s="1" t="n">
        <v>0.537290812</v>
      </c>
      <c r="R127" s="1" t="n">
        <f aca="false">PERCENTILE(G127:P127,0.9)</f>
        <v>0.7462108139</v>
      </c>
      <c r="S127" s="5" t="n">
        <f aca="false">spmv_1!R$14/R127</f>
        <v>1.48020390769628</v>
      </c>
      <c r="T127" s="6" t="n">
        <f aca="false">S127/32</f>
        <v>0.0462563721155087</v>
      </c>
    </row>
    <row r="128" customFormat="false" ht="15" hidden="false" customHeight="false" outlineLevel="0" collapsed="false">
      <c r="A128" s="1" t="s">
        <v>18</v>
      </c>
      <c r="B128" s="1" t="n">
        <v>21</v>
      </c>
      <c r="D128" s="1" t="n">
        <v>24202620</v>
      </c>
      <c r="E128" s="1" t="n">
        <v>0.07756</v>
      </c>
      <c r="G128" s="1" t="n">
        <v>0.715851784</v>
      </c>
      <c r="H128" s="1" t="n">
        <v>0.743679523</v>
      </c>
      <c r="I128" s="1" t="n">
        <v>0.792402267</v>
      </c>
      <c r="J128" s="1" t="n">
        <v>0.664324522</v>
      </c>
      <c r="K128" s="1" t="n">
        <v>0.664836884</v>
      </c>
      <c r="L128" s="1" t="n">
        <v>0.54528594</v>
      </c>
      <c r="M128" s="1" t="n">
        <v>0.516667843</v>
      </c>
      <c r="N128" s="1" t="n">
        <v>0.519889832</v>
      </c>
      <c r="O128" s="1" t="n">
        <v>0.559553385</v>
      </c>
      <c r="P128" s="1" t="n">
        <v>0.518521786</v>
      </c>
      <c r="R128" s="1" t="n">
        <f aca="false">PERCENTILE(G128:P128,0.9)</f>
        <v>0.7485517974</v>
      </c>
      <c r="S128" s="5" t="n">
        <f aca="false">spmv_1!R$14/R128</f>
        <v>1.47557479193356</v>
      </c>
      <c r="T128" s="6" t="n">
        <f aca="false">S128/32</f>
        <v>0.0461117122479239</v>
      </c>
    </row>
    <row r="129" customFormat="false" ht="15" hidden="false" customHeight="false" outlineLevel="0" collapsed="false">
      <c r="A129" s="1" t="s">
        <v>18</v>
      </c>
      <c r="B129" s="1" t="n">
        <v>22</v>
      </c>
      <c r="D129" s="1" t="n">
        <v>24202620</v>
      </c>
      <c r="E129" s="1" t="n">
        <v>0.076628</v>
      </c>
      <c r="G129" s="1" t="n">
        <v>0.731214523</v>
      </c>
      <c r="H129" s="1" t="n">
        <v>0.773919106</v>
      </c>
      <c r="I129" s="1" t="n">
        <v>0.787028551</v>
      </c>
      <c r="J129" s="1" t="n">
        <v>0.688477516</v>
      </c>
      <c r="K129" s="1" t="n">
        <v>0.67941618</v>
      </c>
      <c r="L129" s="1" t="n">
        <v>0.566655874</v>
      </c>
      <c r="M129" s="1" t="n">
        <v>0.502356768</v>
      </c>
      <c r="N129" s="1" t="n">
        <v>0.506781816</v>
      </c>
      <c r="O129" s="1" t="n">
        <v>0.571527243</v>
      </c>
      <c r="P129" s="1" t="n">
        <v>0.509509563</v>
      </c>
      <c r="R129" s="1" t="n">
        <f aca="false">PERCENTILE(G129:P129,0.9)</f>
        <v>0.7752300505</v>
      </c>
      <c r="S129" s="5" t="n">
        <f aca="false">spmv_1!R$14/R129</f>
        <v>1.42479533912237</v>
      </c>
      <c r="T129" s="6" t="n">
        <f aca="false">S129/32</f>
        <v>0.0445248543475741</v>
      </c>
    </row>
    <row r="130" customFormat="false" ht="15" hidden="false" customHeight="false" outlineLevel="0" collapsed="false">
      <c r="A130" s="1" t="s">
        <v>18</v>
      </c>
      <c r="B130" s="1" t="n">
        <v>23</v>
      </c>
      <c r="D130" s="1" t="n">
        <v>24202620</v>
      </c>
      <c r="E130" s="1" t="n">
        <v>0.076463</v>
      </c>
      <c r="G130" s="1" t="n">
        <v>0.733104944</v>
      </c>
      <c r="H130" s="1" t="n">
        <v>0.776277304</v>
      </c>
      <c r="I130" s="1" t="n">
        <v>0.760660648</v>
      </c>
      <c r="J130" s="1" t="n">
        <v>0.699542046</v>
      </c>
      <c r="K130" s="1" t="n">
        <v>0.681887627</v>
      </c>
      <c r="L130" s="1" t="n">
        <v>0.569315672</v>
      </c>
      <c r="M130" s="1" t="n">
        <v>0.512749434</v>
      </c>
      <c r="N130" s="1" t="n">
        <v>0.513574362</v>
      </c>
      <c r="O130" s="1" t="n">
        <v>0.571222544</v>
      </c>
      <c r="P130" s="1" t="n">
        <v>0.512180805</v>
      </c>
      <c r="R130" s="1" t="n">
        <f aca="false">PERCENTILE(G130:P130,0.9)</f>
        <v>0.7622223136</v>
      </c>
      <c r="S130" s="5" t="n">
        <f aca="false">spmv_1!R$14/R130</f>
        <v>1.44911024381221</v>
      </c>
      <c r="T130" s="6" t="n">
        <f aca="false">S130/32</f>
        <v>0.0452846951191315</v>
      </c>
    </row>
    <row r="131" customFormat="false" ht="15" hidden="false" customHeight="false" outlineLevel="0" collapsed="false">
      <c r="A131" s="1" t="s">
        <v>18</v>
      </c>
      <c r="B131" s="1" t="n">
        <v>24</v>
      </c>
      <c r="D131" s="1" t="n">
        <v>24202620</v>
      </c>
      <c r="E131" s="1" t="n">
        <v>0.075098</v>
      </c>
      <c r="G131" s="1" t="n">
        <v>0.769389629</v>
      </c>
      <c r="H131" s="1" t="n">
        <v>0.801656008</v>
      </c>
      <c r="I131" s="1" t="n">
        <v>0.72421813</v>
      </c>
      <c r="J131" s="1" t="n">
        <v>0.727277517</v>
      </c>
      <c r="K131" s="1" t="n">
        <v>0.69232893</v>
      </c>
      <c r="L131" s="1" t="n">
        <v>0.577260494</v>
      </c>
      <c r="M131" s="1" t="n">
        <v>0.526230812</v>
      </c>
      <c r="N131" s="1" t="n">
        <v>0.52794385</v>
      </c>
      <c r="O131" s="1" t="n">
        <v>0.574295521</v>
      </c>
      <c r="P131" s="1" t="n">
        <v>0.525023222</v>
      </c>
      <c r="R131" s="1" t="n">
        <f aca="false">PERCENTILE(G131:P131,0.9)</f>
        <v>0.7726162669</v>
      </c>
      <c r="S131" s="5" t="n">
        <f aca="false">spmv_1!R$14/R131</f>
        <v>1.42961546374348</v>
      </c>
      <c r="T131" s="6" t="n">
        <f aca="false">S131/32</f>
        <v>0.0446754832419838</v>
      </c>
    </row>
    <row r="132" customFormat="false" ht="15" hidden="false" customHeight="false" outlineLevel="0" collapsed="false">
      <c r="A132" s="1" t="s">
        <v>18</v>
      </c>
      <c r="B132" s="1" t="n">
        <v>25</v>
      </c>
      <c r="D132" s="1" t="n">
        <v>24202620</v>
      </c>
      <c r="E132" s="1" t="n">
        <v>0.093289</v>
      </c>
      <c r="G132" s="1" t="n">
        <v>0.647145033</v>
      </c>
      <c r="H132" s="1" t="n">
        <v>0.604856491</v>
      </c>
      <c r="I132" s="1" t="n">
        <v>0.570517778</v>
      </c>
      <c r="J132" s="1" t="n">
        <v>0.590559721</v>
      </c>
      <c r="K132" s="1" t="n">
        <v>0.566684723</v>
      </c>
      <c r="L132" s="1" t="n">
        <v>0.502828836</v>
      </c>
      <c r="M132" s="1" t="n">
        <v>0.443584204</v>
      </c>
      <c r="N132" s="1" t="n">
        <v>0.53793788</v>
      </c>
      <c r="O132" s="1" t="n">
        <v>0.380592585</v>
      </c>
      <c r="P132" s="1" t="n">
        <v>0.344036818</v>
      </c>
      <c r="R132" s="1" t="n">
        <f aca="false">PERCENTILE(G132:P132,0.9)</f>
        <v>0.6090853452</v>
      </c>
      <c r="S132" s="5" t="n">
        <f aca="false">spmv_1!R$14/R132</f>
        <v>1.81344728026137</v>
      </c>
      <c r="T132" s="6" t="n">
        <f aca="false">S132/32</f>
        <v>0.0566702275081679</v>
      </c>
    </row>
    <row r="133" customFormat="false" ht="15" hidden="false" customHeight="false" outlineLevel="0" collapsed="false">
      <c r="A133" s="1" t="s">
        <v>18</v>
      </c>
      <c r="B133" s="1" t="n">
        <v>26</v>
      </c>
      <c r="D133" s="1" t="n">
        <v>24202620</v>
      </c>
      <c r="E133" s="1" t="n">
        <v>0.073675</v>
      </c>
      <c r="G133" s="1" t="n">
        <v>0.765436411</v>
      </c>
      <c r="H133" s="1" t="n">
        <v>0.797800541</v>
      </c>
      <c r="I133" s="1" t="n">
        <v>0.753183842</v>
      </c>
      <c r="J133" s="1" t="n">
        <v>0.735702515</v>
      </c>
      <c r="K133" s="1" t="n">
        <v>0.703023672</v>
      </c>
      <c r="L133" s="1" t="n">
        <v>0.583444118</v>
      </c>
      <c r="M133" s="1" t="n">
        <v>0.554690123</v>
      </c>
      <c r="N133" s="1" t="n">
        <v>0.552750111</v>
      </c>
      <c r="O133" s="1" t="n">
        <v>0.575815439</v>
      </c>
      <c r="P133" s="1" t="n">
        <v>0.548301458</v>
      </c>
      <c r="R133" s="1" t="n">
        <f aca="false">PERCENTILE(G133:P133,0.9)</f>
        <v>0.768672824</v>
      </c>
      <c r="S133" s="5" t="n">
        <f aca="false">spmv_1!R$14/R133</f>
        <v>1.43694967249161</v>
      </c>
      <c r="T133" s="6" t="n">
        <f aca="false">S133/32</f>
        <v>0.0449046772653628</v>
      </c>
    </row>
    <row r="134" customFormat="false" ht="15" hidden="false" customHeight="false" outlineLevel="0" collapsed="false">
      <c r="A134" s="1" t="s">
        <v>18</v>
      </c>
      <c r="B134" s="1" t="n">
        <v>27</v>
      </c>
      <c r="D134" s="1" t="n">
        <v>24202620</v>
      </c>
      <c r="E134" s="1" t="n">
        <v>0.085802</v>
      </c>
      <c r="G134" s="1" t="n">
        <v>0.670598984</v>
      </c>
      <c r="H134" s="1" t="n">
        <v>0.618905067</v>
      </c>
      <c r="I134" s="1" t="n">
        <v>0.586934328</v>
      </c>
      <c r="J134" s="1" t="n">
        <v>0.597870111</v>
      </c>
      <c r="K134" s="1" t="n">
        <v>0.577698231</v>
      </c>
      <c r="L134" s="1" t="n">
        <v>0.516069889</v>
      </c>
      <c r="M134" s="1" t="n">
        <v>0.52041626</v>
      </c>
      <c r="N134" s="1" t="n">
        <v>0.516339064</v>
      </c>
      <c r="O134" s="1" t="n">
        <v>0.521725893</v>
      </c>
      <c r="P134" s="1" t="n">
        <v>0.514929533</v>
      </c>
      <c r="R134" s="1" t="n">
        <f aca="false">PERCENTILE(G134:P134,0.9)</f>
        <v>0.6240744587</v>
      </c>
      <c r="S134" s="5" t="n">
        <f aca="false">spmv_1!R$14/R134</f>
        <v>1.7698916328043</v>
      </c>
      <c r="T134" s="6" t="n">
        <f aca="false">S134/32</f>
        <v>0.0553091135251343</v>
      </c>
    </row>
    <row r="135" customFormat="false" ht="15" hidden="false" customHeight="false" outlineLevel="0" collapsed="false">
      <c r="A135" s="1" t="s">
        <v>18</v>
      </c>
      <c r="B135" s="1" t="n">
        <v>28</v>
      </c>
      <c r="D135" s="1" t="n">
        <v>24202620</v>
      </c>
      <c r="E135" s="1" t="n">
        <v>0.073015</v>
      </c>
      <c r="G135" s="1" t="n">
        <v>0.774810314</v>
      </c>
      <c r="H135" s="1" t="n">
        <v>0.803874016</v>
      </c>
      <c r="I135" s="1" t="n">
        <v>0.777523518</v>
      </c>
      <c r="J135" s="1" t="n">
        <v>0.73250246</v>
      </c>
      <c r="K135" s="1" t="n">
        <v>0.700886011</v>
      </c>
      <c r="L135" s="1" t="n">
        <v>0.580996037</v>
      </c>
      <c r="M135" s="1" t="n">
        <v>0.562358856</v>
      </c>
      <c r="N135" s="1" t="n">
        <v>0.560211897</v>
      </c>
      <c r="O135" s="1" t="n">
        <v>0.573105335</v>
      </c>
      <c r="P135" s="1" t="n">
        <v>0.563246727</v>
      </c>
      <c r="R135" s="1" t="n">
        <f aca="false">PERCENTILE(G135:P135,0.9)</f>
        <v>0.7801585678</v>
      </c>
      <c r="S135" s="5" t="n">
        <f aca="false">spmv_1!R$14/R135</f>
        <v>1.41579444011587</v>
      </c>
      <c r="T135" s="6" t="n">
        <f aca="false">S135/32</f>
        <v>0.0442435762536209</v>
      </c>
    </row>
    <row r="136" customFormat="false" ht="15" hidden="false" customHeight="false" outlineLevel="0" collapsed="false">
      <c r="A136" s="1" t="s">
        <v>18</v>
      </c>
      <c r="B136" s="1" t="n">
        <v>29</v>
      </c>
      <c r="D136" s="1" t="n">
        <v>24202620</v>
      </c>
      <c r="E136" s="1" t="n">
        <v>0.072805</v>
      </c>
      <c r="G136" s="1" t="n">
        <v>0.773574114</v>
      </c>
      <c r="H136" s="1" t="n">
        <v>0.804742575</v>
      </c>
      <c r="I136" s="1" t="n">
        <v>0.787845612</v>
      </c>
      <c r="J136" s="1" t="n">
        <v>0.733064651</v>
      </c>
      <c r="K136" s="1" t="n">
        <v>0.701241493</v>
      </c>
      <c r="L136" s="1" t="n">
        <v>0.579110146</v>
      </c>
      <c r="M136" s="1" t="n">
        <v>0.564332724</v>
      </c>
      <c r="N136" s="1" t="n">
        <v>0.562711239</v>
      </c>
      <c r="O136" s="1" t="n">
        <v>0.575537443</v>
      </c>
      <c r="P136" s="1" t="n">
        <v>0.566488266</v>
      </c>
      <c r="R136" s="1" t="n">
        <f aca="false">PERCENTILE(G136:P136,0.9)</f>
        <v>0.7895353083</v>
      </c>
      <c r="S136" s="5" t="n">
        <f aca="false">spmv_1!R$14/R136</f>
        <v>1.39898007231401</v>
      </c>
      <c r="T136" s="6" t="n">
        <f aca="false">S136/32</f>
        <v>0.0437181272598129</v>
      </c>
    </row>
    <row r="137" customFormat="false" ht="15" hidden="false" customHeight="false" outlineLevel="0" collapsed="false">
      <c r="A137" s="1" t="s">
        <v>18</v>
      </c>
      <c r="B137" s="1" t="n">
        <v>30</v>
      </c>
      <c r="D137" s="1" t="n">
        <v>24201902</v>
      </c>
      <c r="E137" s="1" t="n">
        <v>0.07213</v>
      </c>
      <c r="G137" s="1" t="n">
        <v>0.784111977</v>
      </c>
      <c r="H137" s="1" t="n">
        <v>0.80602932</v>
      </c>
      <c r="I137" s="1" t="n">
        <v>0.792910099</v>
      </c>
      <c r="J137" s="1" t="n">
        <v>0.74209404</v>
      </c>
      <c r="K137" s="1" t="n">
        <v>0.700257301</v>
      </c>
      <c r="L137" s="1" t="n">
        <v>0.583629131</v>
      </c>
      <c r="M137" s="1" t="n">
        <v>0.571946621</v>
      </c>
      <c r="N137" s="1" t="n">
        <v>0.571729898</v>
      </c>
      <c r="O137" s="1" t="n">
        <v>0.583179712</v>
      </c>
      <c r="P137" s="1" t="n">
        <v>0.574716091</v>
      </c>
      <c r="R137" s="1" t="n">
        <f aca="false">PERCENTILE(G137:P137,0.9)</f>
        <v>0.7942220211</v>
      </c>
      <c r="S137" s="5" t="n">
        <f aca="false">spmv_1!R$14/R137</f>
        <v>1.39072467566462</v>
      </c>
      <c r="T137" s="6" t="n">
        <f aca="false">S137/32</f>
        <v>0.0434601461145195</v>
      </c>
    </row>
    <row r="138" customFormat="false" ht="15" hidden="false" customHeight="false" outlineLevel="0" collapsed="false">
      <c r="A138" s="1" t="s">
        <v>18</v>
      </c>
      <c r="B138" s="1" t="n">
        <v>31</v>
      </c>
      <c r="D138" s="1" t="n">
        <v>24198312</v>
      </c>
      <c r="E138" s="1" t="n">
        <v>0.072891</v>
      </c>
      <c r="G138" s="1" t="n">
        <v>0.77636981</v>
      </c>
      <c r="H138" s="1" t="n">
        <v>0.804090738</v>
      </c>
      <c r="I138" s="1" t="n">
        <v>0.793920755</v>
      </c>
      <c r="J138" s="1" t="n">
        <v>0.733496904</v>
      </c>
      <c r="K138" s="1" t="n">
        <v>0.697633505</v>
      </c>
      <c r="L138" s="1" t="n">
        <v>0.575649261</v>
      </c>
      <c r="M138" s="1" t="n">
        <v>0.560534</v>
      </c>
      <c r="N138" s="1" t="n">
        <v>0.560740948</v>
      </c>
      <c r="O138" s="1" t="n">
        <v>0.573815107</v>
      </c>
      <c r="P138" s="1" t="n">
        <v>0.563377857</v>
      </c>
      <c r="R138" s="1" t="n">
        <f aca="false">PERCENTILE(G138:P138,0.9)</f>
        <v>0.7949377533</v>
      </c>
      <c r="S138" s="5" t="n">
        <f aca="false">spmv_1!R$14/R138</f>
        <v>1.38947251921895</v>
      </c>
      <c r="T138" s="6" t="n">
        <f aca="false">S138/32</f>
        <v>0.0434210162255921</v>
      </c>
    </row>
    <row r="141" customFormat="false" ht="15" hidden="false" customHeight="false" outlineLevel="0" collapsed="false">
      <c r="A141" s="2" t="s">
        <v>0</v>
      </c>
      <c r="B141" s="2" t="s">
        <v>1</v>
      </c>
      <c r="C141" s="3"/>
      <c r="D141" s="2" t="s">
        <v>2</v>
      </c>
      <c r="E141" s="2" t="s">
        <v>3</v>
      </c>
      <c r="F141" s="3"/>
      <c r="G141" s="2" t="s">
        <v>4</v>
      </c>
      <c r="H141" s="2" t="s">
        <v>5</v>
      </c>
      <c r="I141" s="2" t="s">
        <v>6</v>
      </c>
      <c r="J141" s="2" t="s">
        <v>7</v>
      </c>
      <c r="K141" s="2" t="s">
        <v>8</v>
      </c>
      <c r="L141" s="2" t="s">
        <v>9</v>
      </c>
      <c r="M141" s="2" t="s">
        <v>10</v>
      </c>
      <c r="N141" s="2" t="s">
        <v>11</v>
      </c>
      <c r="O141" s="2" t="s">
        <v>12</v>
      </c>
      <c r="P141" s="2" t="s">
        <v>13</v>
      </c>
      <c r="R141" s="4" t="s">
        <v>14</v>
      </c>
      <c r="S141" s="7" t="s">
        <v>20</v>
      </c>
      <c r="T141" s="8" t="s">
        <v>21</v>
      </c>
    </row>
    <row r="142" customFormat="false" ht="15" hidden="false" customHeight="false" outlineLevel="0" collapsed="false">
      <c r="A142" s="1" t="s">
        <v>19</v>
      </c>
      <c r="B142" s="1" t="n">
        <v>0</v>
      </c>
      <c r="D142" s="1" t="n">
        <v>1163752</v>
      </c>
      <c r="E142" s="1" t="n">
        <v>0.188643</v>
      </c>
      <c r="G142" s="1" t="n">
        <v>0.011930466</v>
      </c>
      <c r="H142" s="1" t="n">
        <v>0.011992931</v>
      </c>
      <c r="I142" s="1" t="n">
        <v>0.012035847</v>
      </c>
      <c r="J142" s="1" t="n">
        <v>0.012871981</v>
      </c>
      <c r="K142" s="1" t="n">
        <v>0.012678385</v>
      </c>
      <c r="L142" s="1" t="n">
        <v>0.013005495</v>
      </c>
      <c r="M142" s="1" t="n">
        <v>0.012798309</v>
      </c>
      <c r="N142" s="1" t="n">
        <v>0.011689186</v>
      </c>
      <c r="O142" s="1" t="n">
        <v>0.011993408</v>
      </c>
      <c r="P142" s="1" t="n">
        <v>0.012385368</v>
      </c>
      <c r="R142" s="1" t="n">
        <f aca="false">PERCENTILE(G142:P142,0.9)</f>
        <v>0.0128853324</v>
      </c>
      <c r="S142" s="5" t="n">
        <f aca="false">spmv_1!R$18/R142</f>
        <v>6.01759631749973</v>
      </c>
      <c r="T142" s="6" t="n">
        <f aca="false">S142/32</f>
        <v>0.188049884921867</v>
      </c>
    </row>
    <row r="143" customFormat="false" ht="15" hidden="false" customHeight="false" outlineLevel="0" collapsed="false">
      <c r="A143" s="1" t="s">
        <v>19</v>
      </c>
      <c r="B143" s="1" t="n">
        <v>1</v>
      </c>
      <c r="D143" s="1" t="n">
        <v>1150316</v>
      </c>
      <c r="E143" s="1" t="n">
        <v>0.186909</v>
      </c>
      <c r="G143" s="1" t="n">
        <v>0.011948347</v>
      </c>
      <c r="H143" s="1" t="n">
        <v>0.011957645</v>
      </c>
      <c r="I143" s="1" t="n">
        <v>0.012024641</v>
      </c>
      <c r="J143" s="1" t="n">
        <v>0.012786627</v>
      </c>
      <c r="K143" s="1" t="n">
        <v>0.012518883</v>
      </c>
      <c r="L143" s="1" t="n">
        <v>0.012993336</v>
      </c>
      <c r="M143" s="1" t="n">
        <v>0.012839794</v>
      </c>
      <c r="N143" s="1" t="n">
        <v>0.011658669</v>
      </c>
      <c r="O143" s="1" t="n">
        <v>0.011983871</v>
      </c>
      <c r="P143" s="1" t="n">
        <v>0.012376547</v>
      </c>
      <c r="R143" s="1" t="n">
        <f aca="false">PERCENTILE(G143:P143,0.9)</f>
        <v>0.0128551482</v>
      </c>
      <c r="S143" s="5" t="n">
        <f aca="false">spmv_1!R$18/R143</f>
        <v>6.03172577971524</v>
      </c>
      <c r="T143" s="6" t="n">
        <f aca="false">S143/32</f>
        <v>0.188491430616101</v>
      </c>
    </row>
    <row r="144" customFormat="false" ht="15" hidden="false" customHeight="false" outlineLevel="0" collapsed="false">
      <c r="A144" s="1" t="s">
        <v>19</v>
      </c>
      <c r="B144" s="1" t="n">
        <v>2</v>
      </c>
      <c r="D144" s="1" t="n">
        <v>1142874</v>
      </c>
      <c r="E144" s="1" t="n">
        <v>0.190085</v>
      </c>
      <c r="G144" s="1" t="n">
        <v>0.011624336</v>
      </c>
      <c r="H144" s="1" t="n">
        <v>0.011689663</v>
      </c>
      <c r="I144" s="1" t="n">
        <v>0.011745214</v>
      </c>
      <c r="J144" s="1" t="n">
        <v>0.012629032</v>
      </c>
      <c r="K144" s="1" t="n">
        <v>0.0123353</v>
      </c>
      <c r="L144" s="1" t="n">
        <v>0.012750387</v>
      </c>
      <c r="M144" s="1" t="n">
        <v>0.012538195</v>
      </c>
      <c r="N144" s="1" t="n">
        <v>0.011350393</v>
      </c>
      <c r="O144" s="1" t="n">
        <v>0.011721849</v>
      </c>
      <c r="P144" s="1" t="n">
        <v>0.011864424</v>
      </c>
      <c r="R144" s="1" t="n">
        <f aca="false">PERCENTILE(G144:P144,0.9)</f>
        <v>0.0126411675</v>
      </c>
      <c r="S144" s="5" t="n">
        <f aca="false">spmv_1!R$18/R144</f>
        <v>6.13382654727105</v>
      </c>
      <c r="T144" s="6" t="n">
        <f aca="false">S144/32</f>
        <v>0.19168207960222</v>
      </c>
    </row>
    <row r="145" customFormat="false" ht="15" hidden="false" customHeight="false" outlineLevel="0" collapsed="false">
      <c r="A145" s="1" t="s">
        <v>19</v>
      </c>
      <c r="B145" s="1" t="n">
        <v>3</v>
      </c>
      <c r="D145" s="1" t="n">
        <v>1191523</v>
      </c>
      <c r="E145" s="1" t="n">
        <v>0.196119</v>
      </c>
      <c r="G145" s="1" t="n">
        <v>0.011815071</v>
      </c>
      <c r="H145" s="1" t="n">
        <v>0.011880398</v>
      </c>
      <c r="I145" s="1" t="n">
        <v>0.011910915</v>
      </c>
      <c r="J145" s="1" t="n">
        <v>0.012640476</v>
      </c>
      <c r="K145" s="1" t="n">
        <v>0.012387037</v>
      </c>
      <c r="L145" s="1" t="n">
        <v>0.012898207</v>
      </c>
      <c r="M145" s="1" t="n">
        <v>0.012692928</v>
      </c>
      <c r="N145" s="1" t="n">
        <v>0.011474371</v>
      </c>
      <c r="O145" s="1" t="n">
        <v>0.011821747</v>
      </c>
      <c r="P145" s="1" t="n">
        <v>0.011989117</v>
      </c>
      <c r="R145" s="1" t="n">
        <f aca="false">PERCENTILE(G145:P145,0.9)</f>
        <v>0.0127134559</v>
      </c>
      <c r="S145" s="5" t="n">
        <f aca="false">spmv_1!R$18/R145</f>
        <v>6.09894975920749</v>
      </c>
      <c r="T145" s="6" t="n">
        <f aca="false">S145/32</f>
        <v>0.190592179975234</v>
      </c>
    </row>
    <row r="146" customFormat="false" ht="15" hidden="false" customHeight="false" outlineLevel="0" collapsed="false">
      <c r="A146" s="1" t="s">
        <v>19</v>
      </c>
      <c r="B146" s="1" t="n">
        <v>4</v>
      </c>
      <c r="D146" s="1" t="n">
        <v>1162939</v>
      </c>
      <c r="E146" s="1" t="n">
        <v>0.194511</v>
      </c>
      <c r="G146" s="1" t="n">
        <v>0.011618853</v>
      </c>
      <c r="H146" s="1" t="n">
        <v>0.011732578</v>
      </c>
      <c r="I146" s="1" t="n">
        <v>0.011762381</v>
      </c>
      <c r="J146" s="1" t="n">
        <v>0.012475014</v>
      </c>
      <c r="K146" s="1" t="n">
        <v>0.012122869</v>
      </c>
      <c r="L146" s="1" t="n">
        <v>0.012751579</v>
      </c>
      <c r="M146" s="1" t="n">
        <v>0.012536287</v>
      </c>
      <c r="N146" s="1" t="n">
        <v>0.011249542</v>
      </c>
      <c r="O146" s="1" t="n">
        <v>0.011645555</v>
      </c>
      <c r="P146" s="1" t="n">
        <v>0.01168108</v>
      </c>
      <c r="R146" s="1" t="n">
        <f aca="false">PERCENTILE(G146:P146,0.9)</f>
        <v>0.0125578162</v>
      </c>
      <c r="S146" s="5" t="n">
        <f aca="false">spmv_1!R$18/R146</f>
        <v>6.1745392323866</v>
      </c>
      <c r="T146" s="6" t="n">
        <f aca="false">S146/32</f>
        <v>0.192954351012081</v>
      </c>
    </row>
    <row r="147" customFormat="false" ht="15" hidden="false" customHeight="false" outlineLevel="0" collapsed="false">
      <c r="A147" s="1" t="s">
        <v>19</v>
      </c>
      <c r="B147" s="1" t="n">
        <v>5</v>
      </c>
      <c r="D147" s="1" t="n">
        <v>1149526</v>
      </c>
      <c r="E147" s="1" t="n">
        <v>0.193447</v>
      </c>
      <c r="G147" s="1" t="n">
        <v>0.011593819</v>
      </c>
      <c r="H147" s="1" t="n">
        <v>0.011626005</v>
      </c>
      <c r="I147" s="1" t="n">
        <v>0.011680126</v>
      </c>
      <c r="J147" s="1" t="n">
        <v>0.012387991</v>
      </c>
      <c r="K147" s="1" t="n">
        <v>0.012074232</v>
      </c>
      <c r="L147" s="1" t="n">
        <v>0.012681246</v>
      </c>
      <c r="M147" s="1" t="n">
        <v>0.012471676</v>
      </c>
      <c r="N147" s="1" t="n">
        <v>0.011133194</v>
      </c>
      <c r="O147" s="1" t="n">
        <v>0.011615276</v>
      </c>
      <c r="P147" s="1" t="n">
        <v>0.01158309</v>
      </c>
      <c r="R147" s="1" t="n">
        <f aca="false">PERCENTILE(G147:P147,0.9)</f>
        <v>0.012492633</v>
      </c>
      <c r="S147" s="5" t="n">
        <f aca="false">spmv_1!R$18/R147</f>
        <v>6.20675631790352</v>
      </c>
      <c r="T147" s="6" t="n">
        <f aca="false">S147/32</f>
        <v>0.193961134934485</v>
      </c>
    </row>
    <row r="148" customFormat="false" ht="15" hidden="false" customHeight="false" outlineLevel="0" collapsed="false">
      <c r="A148" s="1" t="s">
        <v>19</v>
      </c>
      <c r="B148" s="1" t="n">
        <v>6</v>
      </c>
      <c r="D148" s="1" t="n">
        <v>1141798</v>
      </c>
      <c r="E148" s="1" t="n">
        <v>0.195972</v>
      </c>
      <c r="G148" s="1" t="n">
        <v>0.011333942</v>
      </c>
      <c r="H148" s="1" t="n">
        <v>0.011378527</v>
      </c>
      <c r="I148" s="1" t="n">
        <v>0.011527538</v>
      </c>
      <c r="J148" s="1" t="n">
        <v>0.012158394</v>
      </c>
      <c r="K148" s="1" t="n">
        <v>0.011817694</v>
      </c>
      <c r="L148" s="1" t="n">
        <v>0.01247263</v>
      </c>
      <c r="M148" s="1" t="n">
        <v>0.012308359</v>
      </c>
      <c r="N148" s="1" t="n">
        <v>0.010899544</v>
      </c>
      <c r="O148" s="1" t="n">
        <v>0.011349678</v>
      </c>
      <c r="P148" s="1" t="n">
        <v>0.011280537</v>
      </c>
      <c r="R148" s="1" t="n">
        <f aca="false">PERCENTILE(G148:P148,0.9)</f>
        <v>0.0123247861</v>
      </c>
      <c r="S148" s="5" t="n">
        <f aca="false">spmv_1!R$18/R148</f>
        <v>6.29128393554838</v>
      </c>
      <c r="T148" s="6" t="n">
        <f aca="false">S148/32</f>
        <v>0.196602622985887</v>
      </c>
    </row>
    <row r="149" customFormat="false" ht="15" hidden="false" customHeight="false" outlineLevel="0" collapsed="false">
      <c r="A149" s="1" t="s">
        <v>19</v>
      </c>
      <c r="B149" s="1" t="n">
        <v>7</v>
      </c>
      <c r="D149" s="1" t="n">
        <v>1188979</v>
      </c>
      <c r="E149" s="1" t="n">
        <v>0.203676</v>
      </c>
      <c r="G149" s="1" t="n">
        <v>0.011369705</v>
      </c>
      <c r="H149" s="1" t="n">
        <v>0.0114007</v>
      </c>
      <c r="I149" s="1" t="n">
        <v>0.011490107</v>
      </c>
      <c r="J149" s="1" t="n">
        <v>0.012194157</v>
      </c>
      <c r="K149" s="1" t="n">
        <v>0.011986732</v>
      </c>
      <c r="L149" s="1" t="n">
        <v>0.012413263</v>
      </c>
      <c r="M149" s="1" t="n">
        <v>0.012272596</v>
      </c>
      <c r="N149" s="1" t="n">
        <v>0.010881901</v>
      </c>
      <c r="O149" s="1" t="n">
        <v>0.011445999</v>
      </c>
      <c r="P149" s="1" t="n">
        <v>0.011296749</v>
      </c>
      <c r="R149" s="1" t="n">
        <f aca="false">PERCENTILE(G149:P149,0.9)</f>
        <v>0.0122866627</v>
      </c>
      <c r="S149" s="5" t="n">
        <f aca="false">spmv_1!R$18/R149</f>
        <v>6.31080470696082</v>
      </c>
      <c r="T149" s="6" t="n">
        <f aca="false">S149/32</f>
        <v>0.197212647092526</v>
      </c>
    </row>
    <row r="150" customFormat="false" ht="15" hidden="false" customHeight="false" outlineLevel="0" collapsed="false">
      <c r="A150" s="1" t="s">
        <v>19</v>
      </c>
      <c r="B150" s="1" t="n">
        <v>8</v>
      </c>
      <c r="D150" s="1" t="n">
        <v>1162794</v>
      </c>
      <c r="E150" s="1" t="n">
        <v>0.201465</v>
      </c>
      <c r="G150" s="1" t="n">
        <v>0.011249781</v>
      </c>
      <c r="H150" s="1" t="n">
        <v>0.011300325</v>
      </c>
      <c r="I150" s="1" t="n">
        <v>0.01139164</v>
      </c>
      <c r="J150" s="1" t="n">
        <v>0.012037516</v>
      </c>
      <c r="K150" s="1" t="n">
        <v>0.0117836</v>
      </c>
      <c r="L150" s="1" t="n">
        <v>0.012318611</v>
      </c>
      <c r="M150" s="1" t="n">
        <v>0.012103558</v>
      </c>
      <c r="N150" s="1" t="n">
        <v>0.010774612</v>
      </c>
      <c r="O150" s="1" t="n">
        <v>0.011292934</v>
      </c>
      <c r="P150" s="1" t="n">
        <v>0.011181355</v>
      </c>
      <c r="R150" s="1" t="n">
        <f aca="false">PERCENTILE(G150:P150,0.9)</f>
        <v>0.0121250633</v>
      </c>
      <c r="S150" s="5" t="n">
        <f aca="false">spmv_1!R$18/R150</f>
        <v>6.39491331975149</v>
      </c>
      <c r="T150" s="6" t="n">
        <f aca="false">S150/32</f>
        <v>0.199841041242234</v>
      </c>
    </row>
    <row r="151" customFormat="false" ht="15" hidden="false" customHeight="false" outlineLevel="0" collapsed="false">
      <c r="A151" s="1" t="s">
        <v>19</v>
      </c>
      <c r="B151" s="1" t="n">
        <v>9</v>
      </c>
      <c r="D151" s="1" t="n">
        <v>1147314</v>
      </c>
      <c r="E151" s="1" t="n">
        <v>0.199261</v>
      </c>
      <c r="G151" s="1" t="n">
        <v>0.011277437</v>
      </c>
      <c r="H151" s="1" t="n">
        <v>0.01128006</v>
      </c>
      <c r="I151" s="1" t="n">
        <v>0.011321068</v>
      </c>
      <c r="J151" s="1" t="n">
        <v>0.012026548</v>
      </c>
      <c r="K151" s="1" t="n">
        <v>0.011730433</v>
      </c>
      <c r="L151" s="1" t="n">
        <v>0.012284279</v>
      </c>
      <c r="M151" s="1" t="n">
        <v>0.012084246</v>
      </c>
      <c r="N151" s="1" t="n">
        <v>0.010723829</v>
      </c>
      <c r="O151" s="1" t="n">
        <v>0.011256933</v>
      </c>
      <c r="P151" s="1" t="n">
        <v>0.011171818</v>
      </c>
      <c r="R151" s="1" t="n">
        <f aca="false">PERCENTILE(G151:P151,0.9)</f>
        <v>0.0121042493</v>
      </c>
      <c r="S151" s="5" t="n">
        <f aca="false">spmv_1!R$18/R151</f>
        <v>6.40590976591997</v>
      </c>
      <c r="T151" s="6" t="n">
        <f aca="false">S151/32</f>
        <v>0.200184680184999</v>
      </c>
    </row>
    <row r="152" customFormat="false" ht="15" hidden="false" customHeight="false" outlineLevel="0" collapsed="false">
      <c r="A152" s="1" t="s">
        <v>19</v>
      </c>
      <c r="B152" s="1" t="n">
        <v>10</v>
      </c>
      <c r="D152" s="1" t="n">
        <v>1143166</v>
      </c>
      <c r="E152" s="1" t="n">
        <v>0.202288</v>
      </c>
      <c r="G152" s="1" t="n">
        <v>0.011017799</v>
      </c>
      <c r="H152" s="1" t="n">
        <v>0.011089087</v>
      </c>
      <c r="I152" s="1" t="n">
        <v>0.011081934</v>
      </c>
      <c r="J152" s="1" t="n">
        <v>0.011855125</v>
      </c>
      <c r="K152" s="1" t="n">
        <v>0.011579037</v>
      </c>
      <c r="L152" s="1" t="n">
        <v>0.012109756</v>
      </c>
      <c r="M152" s="1" t="n">
        <v>0.01190114</v>
      </c>
      <c r="N152" s="1" t="n">
        <v>0.010495424</v>
      </c>
      <c r="O152" s="1" t="n">
        <v>0.010979176</v>
      </c>
      <c r="P152" s="1" t="n">
        <v>0.010915041</v>
      </c>
      <c r="R152" s="1" t="n">
        <f aca="false">PERCENTILE(G152:P152,0.9)</f>
        <v>0.0119220016</v>
      </c>
      <c r="S152" s="5" t="n">
        <f aca="false">spmv_1!R$18/R152</f>
        <v>6.50383479230535</v>
      </c>
      <c r="T152" s="6" t="n">
        <f aca="false">S152/32</f>
        <v>0.203244837259542</v>
      </c>
    </row>
    <row r="153" customFormat="false" ht="15" hidden="false" customHeight="false" outlineLevel="0" collapsed="false">
      <c r="A153" s="1" t="s">
        <v>19</v>
      </c>
      <c r="B153" s="1" t="n">
        <v>11</v>
      </c>
      <c r="D153" s="1" t="n">
        <v>1189676</v>
      </c>
      <c r="E153" s="1" t="n">
        <v>0.21117</v>
      </c>
      <c r="G153" s="1" t="n">
        <v>0.011092663</v>
      </c>
      <c r="H153" s="1" t="n">
        <v>0.011041403</v>
      </c>
      <c r="I153" s="1" t="n">
        <v>0.011032581</v>
      </c>
      <c r="J153" s="1" t="n">
        <v>0.011737108</v>
      </c>
      <c r="K153" s="1" t="n">
        <v>0.011463642</v>
      </c>
      <c r="L153" s="1" t="n">
        <v>0.012025833</v>
      </c>
      <c r="M153" s="1" t="n">
        <v>0.011770964</v>
      </c>
      <c r="N153" s="1" t="n">
        <v>0.010550022</v>
      </c>
      <c r="O153" s="1" t="n">
        <v>0.010966063</v>
      </c>
      <c r="P153" s="1" t="n">
        <v>0.010994434</v>
      </c>
      <c r="R153" s="1" t="n">
        <f aca="false">PERCENTILE(G153:P153,0.9)</f>
        <v>0.0117964509</v>
      </c>
      <c r="S153" s="5" t="n">
        <f aca="false">spmv_1!R$18/R153</f>
        <v>6.57305569762512</v>
      </c>
      <c r="T153" s="6" t="n">
        <f aca="false">S153/32</f>
        <v>0.205407990550785</v>
      </c>
    </row>
    <row r="154" customFormat="false" ht="15" hidden="false" customHeight="false" outlineLevel="0" collapsed="false">
      <c r="A154" s="1" t="s">
        <v>19</v>
      </c>
      <c r="B154" s="1" t="n">
        <v>12</v>
      </c>
      <c r="D154" s="1" t="n">
        <v>1164195</v>
      </c>
      <c r="E154" s="1" t="n">
        <v>0.20376</v>
      </c>
      <c r="G154" s="1" t="n">
        <v>0.011279583</v>
      </c>
      <c r="H154" s="1" t="n">
        <v>0.011207104</v>
      </c>
      <c r="I154" s="1" t="n">
        <v>0.01122117</v>
      </c>
      <c r="J154" s="1" t="n">
        <v>0.011900425</v>
      </c>
      <c r="K154" s="1" t="n">
        <v>0.011651039</v>
      </c>
      <c r="L154" s="1" t="n">
        <v>0.012151003</v>
      </c>
      <c r="M154" s="1" t="n">
        <v>0.011958599</v>
      </c>
      <c r="N154" s="1" t="n">
        <v>0.010661602</v>
      </c>
      <c r="O154" s="1" t="n">
        <v>0.011159658</v>
      </c>
      <c r="P154" s="1" t="n">
        <v>0.011081219</v>
      </c>
      <c r="R154" s="1" t="n">
        <f aca="false">PERCENTILE(G154:P154,0.9)</f>
        <v>0.0119778394</v>
      </c>
      <c r="S154" s="5" t="n">
        <f aca="false">spmv_1!R$18/R154</f>
        <v>6.47351548226636</v>
      </c>
      <c r="T154" s="6" t="n">
        <f aca="false">S154/32</f>
        <v>0.202297358820824</v>
      </c>
    </row>
    <row r="155" customFormat="false" ht="15" hidden="false" customHeight="false" outlineLevel="0" collapsed="false">
      <c r="A155" s="1" t="s">
        <v>19</v>
      </c>
      <c r="B155" s="1" t="n">
        <v>13</v>
      </c>
      <c r="D155" s="1" t="n">
        <v>1147199</v>
      </c>
      <c r="E155" s="1" t="n">
        <v>0.206738</v>
      </c>
      <c r="G155" s="1" t="n">
        <v>0.010905266</v>
      </c>
      <c r="H155" s="1" t="n">
        <v>0.010898113</v>
      </c>
      <c r="I155" s="1" t="n">
        <v>0.0108428</v>
      </c>
      <c r="J155" s="1" t="n">
        <v>0.011461735</v>
      </c>
      <c r="K155" s="1" t="n">
        <v>0.011260033</v>
      </c>
      <c r="L155" s="1" t="n">
        <v>0.011892796</v>
      </c>
      <c r="M155" s="1" t="n">
        <v>0.011663437</v>
      </c>
      <c r="N155" s="1" t="n">
        <v>0.010385275</v>
      </c>
      <c r="O155" s="1" t="n">
        <v>0.010831118</v>
      </c>
      <c r="P155" s="1" t="n">
        <v>0.010840178</v>
      </c>
      <c r="R155" s="1" t="n">
        <f aca="false">PERCENTILE(G155:P155,0.9)</f>
        <v>0.0116863729</v>
      </c>
      <c r="S155" s="5" t="n">
        <f aca="false">spmv_1!R$18/R155</f>
        <v>6.63496958923842</v>
      </c>
      <c r="T155" s="6" t="n">
        <f aca="false">S155/32</f>
        <v>0.207342799663701</v>
      </c>
    </row>
    <row r="156" customFormat="false" ht="15" hidden="false" customHeight="false" outlineLevel="0" collapsed="false">
      <c r="A156" s="1" t="s">
        <v>19</v>
      </c>
      <c r="B156" s="1" t="n">
        <v>14</v>
      </c>
      <c r="D156" s="1" t="n">
        <v>1143020</v>
      </c>
      <c r="E156" s="1" t="n">
        <v>0.200069</v>
      </c>
      <c r="G156" s="1" t="n">
        <v>0.011144876</v>
      </c>
      <c r="H156" s="1" t="n">
        <v>0.011191607</v>
      </c>
      <c r="I156" s="1" t="n">
        <v>0.011167049</v>
      </c>
      <c r="J156" s="1" t="n">
        <v>0.011867046</v>
      </c>
      <c r="K156" s="1" t="n">
        <v>0.011631489</v>
      </c>
      <c r="L156" s="1" t="n">
        <v>0.012169123</v>
      </c>
      <c r="M156" s="1" t="n">
        <v>0.011973143</v>
      </c>
      <c r="N156" s="1" t="n">
        <v>0.010704994</v>
      </c>
      <c r="O156" s="1" t="n">
        <v>0.01117754</v>
      </c>
      <c r="P156" s="1" t="n">
        <v>0.011235476</v>
      </c>
      <c r="R156" s="1" t="n">
        <f aca="false">PERCENTILE(G156:P156,0.9)</f>
        <v>0.011992741</v>
      </c>
      <c r="S156" s="5" t="n">
        <f aca="false">spmv_1!R$18/R156</f>
        <v>6.46547180498603</v>
      </c>
      <c r="T156" s="6" t="n">
        <f aca="false">S156/32</f>
        <v>0.202045993905814</v>
      </c>
    </row>
    <row r="157" customFormat="false" ht="15" hidden="false" customHeight="false" outlineLevel="0" collapsed="false">
      <c r="A157" s="1" t="s">
        <v>19</v>
      </c>
      <c r="B157" s="1" t="n">
        <v>15</v>
      </c>
      <c r="D157" s="1" t="n">
        <v>1188788</v>
      </c>
      <c r="E157" s="1" t="n">
        <v>0.210984</v>
      </c>
      <c r="G157" s="1" t="n">
        <v>0.011266947</v>
      </c>
      <c r="H157" s="1" t="n">
        <v>0.010968685</v>
      </c>
      <c r="I157" s="1" t="n">
        <v>0.011085987</v>
      </c>
      <c r="J157" s="1" t="n">
        <v>0.011458397</v>
      </c>
      <c r="K157" s="1" t="n">
        <v>0.01113081</v>
      </c>
      <c r="L157" s="1" t="n">
        <v>0.012057304</v>
      </c>
      <c r="M157" s="1" t="n">
        <v>0.011794567</v>
      </c>
      <c r="N157" s="1" t="n">
        <v>0.010695457</v>
      </c>
      <c r="O157" s="1" t="n">
        <v>0.011155605</v>
      </c>
      <c r="P157" s="1" t="n">
        <v>0.011075974</v>
      </c>
      <c r="R157" s="1" t="n">
        <f aca="false">PERCENTILE(G157:P157,0.9)</f>
        <v>0.0118208407</v>
      </c>
      <c r="S157" s="5" t="n">
        <f aca="false">spmv_1!R$18/R157</f>
        <v>6.55949358999483</v>
      </c>
      <c r="T157" s="6" t="n">
        <f aca="false">S157/32</f>
        <v>0.204984174687338</v>
      </c>
    </row>
    <row r="158" customFormat="false" ht="15" hidden="false" customHeight="false" outlineLevel="0" collapsed="false">
      <c r="A158" s="1" t="s">
        <v>19</v>
      </c>
      <c r="B158" s="1" t="n">
        <v>16</v>
      </c>
      <c r="D158" s="1" t="n">
        <v>1162065</v>
      </c>
      <c r="E158" s="1" t="n">
        <v>0.154313</v>
      </c>
      <c r="G158" s="1" t="n">
        <v>0.015172958</v>
      </c>
      <c r="H158" s="1" t="n">
        <v>0.014772177</v>
      </c>
      <c r="I158" s="1" t="n">
        <v>0.014578342</v>
      </c>
      <c r="J158" s="1" t="n">
        <v>0.0151968</v>
      </c>
      <c r="K158" s="1" t="n">
        <v>0.014749289</v>
      </c>
      <c r="L158" s="1" t="n">
        <v>0.016373396</v>
      </c>
      <c r="M158" s="1" t="n">
        <v>0.015363216</v>
      </c>
      <c r="N158" s="1" t="n">
        <v>0.014424086</v>
      </c>
      <c r="O158" s="1" t="n">
        <v>0.015182972</v>
      </c>
      <c r="P158" s="1" t="n">
        <v>0.014798403</v>
      </c>
      <c r="R158" s="1" t="n">
        <f aca="false">PERCENTILE(G158:P158,0.9)</f>
        <v>0.015464234</v>
      </c>
      <c r="S158" s="5" t="n">
        <f aca="false">spmv_1!R$18/R158</f>
        <v>5.01406851448316</v>
      </c>
      <c r="T158" s="6" t="n">
        <f aca="false">S158/32</f>
        <v>0.156689641077599</v>
      </c>
    </row>
    <row r="159" customFormat="false" ht="15" hidden="false" customHeight="false" outlineLevel="0" collapsed="false">
      <c r="A159" s="1" t="s">
        <v>19</v>
      </c>
      <c r="B159" s="1" t="n">
        <v>17</v>
      </c>
      <c r="D159" s="1" t="n">
        <v>1146262</v>
      </c>
      <c r="E159" s="1" t="n">
        <v>0.153802</v>
      </c>
      <c r="G159" s="1" t="n">
        <v>0.01502943</v>
      </c>
      <c r="H159" s="1" t="n">
        <v>0.014583588</v>
      </c>
      <c r="I159" s="1" t="n">
        <v>0.014431</v>
      </c>
      <c r="J159" s="1" t="n">
        <v>0.014898777</v>
      </c>
      <c r="K159" s="1" t="n">
        <v>0.014670849</v>
      </c>
      <c r="L159" s="1" t="n">
        <v>0.01624465</v>
      </c>
      <c r="M159" s="1" t="n">
        <v>0.01524663</v>
      </c>
      <c r="N159" s="1" t="n">
        <v>0.014187813</v>
      </c>
      <c r="O159" s="1" t="n">
        <v>0.015129805</v>
      </c>
      <c r="P159" s="1" t="n">
        <v>0.014634132</v>
      </c>
      <c r="R159" s="1" t="n">
        <f aca="false">PERCENTILE(G159:P159,0.9)</f>
        <v>0.015346432</v>
      </c>
      <c r="S159" s="5" t="n">
        <f aca="false">spmv_1!R$18/R159</f>
        <v>5.05255741530018</v>
      </c>
      <c r="T159" s="6" t="n">
        <f aca="false">S159/32</f>
        <v>0.157892419228131</v>
      </c>
    </row>
    <row r="160" customFormat="false" ht="15" hidden="false" customHeight="false" outlineLevel="0" collapsed="false">
      <c r="A160" s="1" t="s">
        <v>19</v>
      </c>
      <c r="B160" s="1" t="n">
        <v>18</v>
      </c>
      <c r="D160" s="1" t="n">
        <v>1141308</v>
      </c>
      <c r="E160" s="1" t="n">
        <v>0.152287</v>
      </c>
      <c r="G160" s="1" t="n">
        <v>0.014743328</v>
      </c>
      <c r="H160" s="1" t="n">
        <v>0.014783144</v>
      </c>
      <c r="I160" s="1" t="n">
        <v>0.014546871</v>
      </c>
      <c r="J160" s="1" t="n">
        <v>0.015163183</v>
      </c>
      <c r="K160" s="1" t="n">
        <v>0.014840364</v>
      </c>
      <c r="L160" s="1" t="n">
        <v>0.016402721</v>
      </c>
      <c r="M160" s="1" t="n">
        <v>0.015462875</v>
      </c>
      <c r="N160" s="1" t="n">
        <v>0.014269114</v>
      </c>
      <c r="O160" s="1" t="n">
        <v>0.01503706</v>
      </c>
      <c r="P160" s="1" t="n">
        <v>0.014640331</v>
      </c>
      <c r="R160" s="1" t="n">
        <f aca="false">PERCENTILE(G160:P160,0.9)</f>
        <v>0.0155568596</v>
      </c>
      <c r="S160" s="5" t="n">
        <f aca="false">spmv_1!R$18/R160</f>
        <v>4.98421473187301</v>
      </c>
      <c r="T160" s="6" t="n">
        <f aca="false">S160/32</f>
        <v>0.155756710371031</v>
      </c>
    </row>
    <row r="161" customFormat="false" ht="15" hidden="false" customHeight="false" outlineLevel="0" collapsed="false">
      <c r="A161" s="1" t="s">
        <v>19</v>
      </c>
      <c r="B161" s="1" t="n">
        <v>19</v>
      </c>
      <c r="D161" s="1" t="n">
        <v>1187978</v>
      </c>
      <c r="E161" s="1" t="n">
        <v>0.18768</v>
      </c>
      <c r="G161" s="1" t="n">
        <v>0.012180567</v>
      </c>
      <c r="H161" s="1" t="n">
        <v>0.012286425</v>
      </c>
      <c r="I161" s="1" t="n">
        <v>0.012708902</v>
      </c>
      <c r="J161" s="1" t="n">
        <v>0.01288867</v>
      </c>
      <c r="K161" s="1" t="n">
        <v>0.012750387</v>
      </c>
      <c r="L161" s="1" t="n">
        <v>0.013365746</v>
      </c>
      <c r="M161" s="1" t="n">
        <v>0.013706446</v>
      </c>
      <c r="N161" s="1" t="n">
        <v>0.01183176</v>
      </c>
      <c r="O161" s="1" t="n">
        <v>0.012521505</v>
      </c>
      <c r="P161" s="1" t="n">
        <v>0.012356043</v>
      </c>
      <c r="R161" s="1" t="n">
        <f aca="false">PERCENTILE(G161:P161,0.9)</f>
        <v>0.013399816</v>
      </c>
      <c r="S161" s="5" t="n">
        <f aca="false">spmv_1!R$18/R161</f>
        <v>5.78655175563605</v>
      </c>
      <c r="T161" s="6" t="n">
        <f aca="false">S161/32</f>
        <v>0.180829742363626</v>
      </c>
    </row>
    <row r="162" customFormat="false" ht="15" hidden="false" customHeight="false" outlineLevel="0" collapsed="false">
      <c r="A162" s="1" t="s">
        <v>19</v>
      </c>
      <c r="B162" s="1" t="n">
        <v>20</v>
      </c>
      <c r="D162" s="1" t="n">
        <v>1161782</v>
      </c>
      <c r="E162" s="1" t="n">
        <v>0.199921</v>
      </c>
      <c r="G162" s="1" t="n">
        <v>0.010853529</v>
      </c>
      <c r="H162" s="1" t="n">
        <v>0.010946989</v>
      </c>
      <c r="I162" s="1" t="n">
        <v>0.011020422</v>
      </c>
      <c r="J162" s="1" t="n">
        <v>0.011551142</v>
      </c>
      <c r="K162" s="1" t="n">
        <v>0.011402845</v>
      </c>
      <c r="L162" s="1" t="n">
        <v>0.011948347</v>
      </c>
      <c r="M162" s="1" t="n">
        <v>0.011728764</v>
      </c>
      <c r="N162" s="1" t="n">
        <v>0.015037298</v>
      </c>
      <c r="O162" s="1" t="n">
        <v>0.010933876</v>
      </c>
      <c r="P162" s="1" t="n">
        <v>0.010801077</v>
      </c>
      <c r="R162" s="1" t="n">
        <f aca="false">PERCENTILE(G162:P162,0.9)</f>
        <v>0.0122572421</v>
      </c>
      <c r="S162" s="5" t="n">
        <f aca="false">spmv_1!R$18/R162</f>
        <v>6.32595229558206</v>
      </c>
      <c r="T162" s="6" t="n">
        <f aca="false">S162/32</f>
        <v>0.197686009236939</v>
      </c>
    </row>
    <row r="163" customFormat="false" ht="15" hidden="false" customHeight="false" outlineLevel="0" collapsed="false">
      <c r="A163" s="1" t="s">
        <v>19</v>
      </c>
      <c r="B163" s="1" t="n">
        <v>21</v>
      </c>
      <c r="D163" s="1" t="n">
        <v>1147406</v>
      </c>
      <c r="E163" s="1" t="n">
        <v>0.149361</v>
      </c>
      <c r="G163" s="1" t="n">
        <v>0.015280008</v>
      </c>
      <c r="H163" s="1" t="n">
        <v>0.014989138</v>
      </c>
      <c r="I163" s="1" t="n">
        <v>0.014872551</v>
      </c>
      <c r="J163" s="1" t="n">
        <v>0.015762568</v>
      </c>
      <c r="K163" s="1" t="n">
        <v>0.015330076</v>
      </c>
      <c r="L163" s="1" t="n">
        <v>0.016814709</v>
      </c>
      <c r="M163" s="1" t="n">
        <v>0.015764713</v>
      </c>
      <c r="N163" s="1" t="n">
        <v>0.014534712</v>
      </c>
      <c r="O163" s="1" t="n">
        <v>0.015377283</v>
      </c>
      <c r="P163" s="1" t="n">
        <v>0.014916182</v>
      </c>
      <c r="R163" s="1" t="n">
        <f aca="false">PERCENTILE(G163:P163,0.9)</f>
        <v>0.0158697126</v>
      </c>
      <c r="S163" s="5" t="n">
        <f aca="false">spmv_1!R$18/R163</f>
        <v>4.88595671228476</v>
      </c>
      <c r="T163" s="6" t="n">
        <f aca="false">S163/32</f>
        <v>0.152686147258899</v>
      </c>
    </row>
    <row r="164" customFormat="false" ht="15" hidden="false" customHeight="false" outlineLevel="0" collapsed="false">
      <c r="A164" s="1" t="s">
        <v>19</v>
      </c>
      <c r="B164" s="1" t="n">
        <v>22</v>
      </c>
      <c r="D164" s="1" t="n">
        <v>1141377</v>
      </c>
      <c r="E164" s="1" t="n">
        <v>0.146826</v>
      </c>
      <c r="G164" s="1" t="n">
        <v>0.015394211</v>
      </c>
      <c r="H164" s="1" t="n">
        <v>0.015260935</v>
      </c>
      <c r="I164" s="1" t="n">
        <v>0.015128374</v>
      </c>
      <c r="J164" s="1" t="n">
        <v>0.01591754</v>
      </c>
      <c r="K164" s="1" t="n">
        <v>0.015514374</v>
      </c>
      <c r="L164" s="1" t="n">
        <v>0.016954184</v>
      </c>
      <c r="M164" s="1" t="n">
        <v>0.015991688</v>
      </c>
      <c r="N164" s="1" t="n">
        <v>0.014749289</v>
      </c>
      <c r="O164" s="1" t="n">
        <v>0.01551199</v>
      </c>
      <c r="P164" s="1" t="n">
        <v>0.015051126</v>
      </c>
      <c r="R164" s="1" t="n">
        <f aca="false">PERCENTILE(G164:P164,0.9)</f>
        <v>0.0160879376</v>
      </c>
      <c r="S164" s="5" t="n">
        <f aca="false">spmv_1!R$18/R164</f>
        <v>4.81968110070243</v>
      </c>
      <c r="T164" s="6" t="n">
        <f aca="false">S164/32</f>
        <v>0.150615034396951</v>
      </c>
    </row>
    <row r="165" customFormat="false" ht="15" hidden="false" customHeight="false" outlineLevel="0" collapsed="false">
      <c r="A165" s="1" t="s">
        <v>19</v>
      </c>
      <c r="B165" s="1" t="n">
        <v>23</v>
      </c>
      <c r="D165" s="1" t="n">
        <v>1187234</v>
      </c>
      <c r="E165" s="1" t="n">
        <v>0.17261</v>
      </c>
      <c r="G165" s="1" t="n">
        <v>0.013319731</v>
      </c>
      <c r="H165" s="1" t="n">
        <v>0.013343573</v>
      </c>
      <c r="I165" s="1" t="n">
        <v>0.013665915</v>
      </c>
      <c r="J165" s="1" t="n">
        <v>0.014327765</v>
      </c>
      <c r="K165" s="1" t="n">
        <v>0.013746262</v>
      </c>
      <c r="L165" s="1" t="n">
        <v>0.01486969</v>
      </c>
      <c r="M165" s="1" t="n">
        <v>0.014666796</v>
      </c>
      <c r="N165" s="1" t="n">
        <v>0.012752056</v>
      </c>
      <c r="O165" s="1" t="n">
        <v>0.013648987</v>
      </c>
      <c r="P165" s="1" t="n">
        <v>0.013221979</v>
      </c>
      <c r="R165" s="1" t="n">
        <f aca="false">PERCENTILE(G165:P165,0.9)</f>
        <v>0.0146870854</v>
      </c>
      <c r="S165" s="5" t="n">
        <f aca="false">spmv_1!R$18/R165</f>
        <v>5.27938162598278</v>
      </c>
      <c r="T165" s="6" t="n">
        <f aca="false">S165/32</f>
        <v>0.164980675811962</v>
      </c>
    </row>
    <row r="166" customFormat="false" ht="15" hidden="false" customHeight="false" outlineLevel="0" collapsed="false">
      <c r="A166" s="1" t="s">
        <v>19</v>
      </c>
      <c r="B166" s="1" t="n">
        <v>24</v>
      </c>
      <c r="D166" s="1" t="n">
        <v>1162210</v>
      </c>
      <c r="E166" s="1" t="n">
        <v>0.165181</v>
      </c>
      <c r="G166" s="1" t="n">
        <v>0.013639212</v>
      </c>
      <c r="H166" s="1" t="n">
        <v>0.013659954</v>
      </c>
      <c r="I166" s="1" t="n">
        <v>0.013922691</v>
      </c>
      <c r="J166" s="1" t="n">
        <v>0.014687061</v>
      </c>
      <c r="K166" s="1" t="n">
        <v>0.014128447</v>
      </c>
      <c r="L166" s="1" t="n">
        <v>0.015178919</v>
      </c>
      <c r="M166" s="1" t="n">
        <v>0.015002966</v>
      </c>
      <c r="N166" s="1" t="n">
        <v>0.013131857</v>
      </c>
      <c r="O166" s="1" t="n">
        <v>0.013844728</v>
      </c>
      <c r="P166" s="1" t="n">
        <v>0.013524055</v>
      </c>
      <c r="R166" s="1" t="n">
        <f aca="false">PERCENTILE(G166:P166,0.9)</f>
        <v>0.0150205613</v>
      </c>
      <c r="S166" s="5" t="n">
        <f aca="false">spmv_1!R$18/R166</f>
        <v>5.16217252147561</v>
      </c>
      <c r="T166" s="6" t="n">
        <f aca="false">S166/32</f>
        <v>0.161317891296113</v>
      </c>
    </row>
    <row r="167" customFormat="false" ht="15" hidden="false" customHeight="false" outlineLevel="0" collapsed="false">
      <c r="A167" s="1" t="s">
        <v>19</v>
      </c>
      <c r="B167" s="1" t="n">
        <v>25</v>
      </c>
      <c r="D167" s="1" t="n">
        <v>1147609</v>
      </c>
      <c r="E167" s="1" t="n">
        <v>0.144301</v>
      </c>
      <c r="G167" s="1" t="n">
        <v>0.015781403</v>
      </c>
      <c r="H167" s="1" t="n">
        <v>0.015523195</v>
      </c>
      <c r="I167" s="1" t="n">
        <v>0.015291214</v>
      </c>
      <c r="J167" s="1" t="n">
        <v>0.016638756</v>
      </c>
      <c r="K167" s="1" t="n">
        <v>0.015825033</v>
      </c>
      <c r="L167" s="1" t="n">
        <v>0.017258883</v>
      </c>
      <c r="M167" s="1" t="n">
        <v>0.016356468</v>
      </c>
      <c r="N167" s="1" t="n">
        <v>0.015081167</v>
      </c>
      <c r="O167" s="1" t="n">
        <v>0.015819311</v>
      </c>
      <c r="P167" s="1" t="n">
        <v>0.015481949</v>
      </c>
      <c r="R167" s="1" t="n">
        <f aca="false">PERCENTILE(G167:P167,0.9)</f>
        <v>0.0167007687</v>
      </c>
      <c r="S167" s="5" t="n">
        <f aca="false">spmv_1!R$18/R167</f>
        <v>4.64282394378649</v>
      </c>
      <c r="T167" s="6" t="n">
        <f aca="false">S167/32</f>
        <v>0.145088248243328</v>
      </c>
    </row>
    <row r="168" customFormat="false" ht="15" hidden="false" customHeight="false" outlineLevel="0" collapsed="false">
      <c r="A168" s="1" t="s">
        <v>19</v>
      </c>
      <c r="B168" s="1" t="n">
        <v>26</v>
      </c>
      <c r="D168" s="1" t="n">
        <v>1141028</v>
      </c>
      <c r="E168" s="1" t="n">
        <v>0.162127</v>
      </c>
      <c r="G168" s="1" t="n">
        <v>0.013662815</v>
      </c>
      <c r="H168" s="1" t="n">
        <v>0.013662815</v>
      </c>
      <c r="I168" s="1" t="n">
        <v>0.013945341</v>
      </c>
      <c r="J168" s="1" t="n">
        <v>0.014652967</v>
      </c>
      <c r="K168" s="1" t="n">
        <v>0.014092684</v>
      </c>
      <c r="L168" s="1" t="n">
        <v>0.015203476</v>
      </c>
      <c r="M168" s="1" t="n">
        <v>0.01500082</v>
      </c>
      <c r="N168" s="1" t="n">
        <v>0.013100624</v>
      </c>
      <c r="O168" s="1" t="n">
        <v>0.013865232</v>
      </c>
      <c r="P168" s="1" t="n">
        <v>0.013570547</v>
      </c>
      <c r="R168" s="1" t="n">
        <f aca="false">PERCENTILE(G168:P168,0.9)</f>
        <v>0.0150210856</v>
      </c>
      <c r="S168" s="5" t="n">
        <f aca="false">spmv_1!R$18/R168</f>
        <v>5.16199233962158</v>
      </c>
      <c r="T168" s="6" t="n">
        <f aca="false">S168/32</f>
        <v>0.161312260613174</v>
      </c>
    </row>
    <row r="169" customFormat="false" ht="15" hidden="false" customHeight="false" outlineLevel="0" collapsed="false">
      <c r="A169" s="1" t="s">
        <v>19</v>
      </c>
      <c r="B169" s="1" t="n">
        <v>27</v>
      </c>
      <c r="D169" s="1" t="n">
        <v>1188434</v>
      </c>
      <c r="E169" s="1" t="n">
        <v>0.149604</v>
      </c>
      <c r="G169" s="1" t="n">
        <v>0.015720844</v>
      </c>
      <c r="H169" s="1" t="n">
        <v>0.015609503</v>
      </c>
      <c r="I169" s="1" t="n">
        <v>0.015402555</v>
      </c>
      <c r="J169" s="1" t="n">
        <v>0.01657939</v>
      </c>
      <c r="K169" s="1" t="n">
        <v>0.015835762</v>
      </c>
      <c r="L169" s="1" t="n">
        <v>0.017252445</v>
      </c>
      <c r="M169" s="1" t="n">
        <v>0.016210556</v>
      </c>
      <c r="N169" s="1" t="n">
        <v>0.015012741</v>
      </c>
      <c r="O169" s="1" t="n">
        <v>0.015746832</v>
      </c>
      <c r="P169" s="1" t="n">
        <v>0.015506506</v>
      </c>
      <c r="R169" s="1" t="n">
        <f aca="false">PERCENTILE(G169:P169,0.9)</f>
        <v>0.0166466955</v>
      </c>
      <c r="S169" s="5" t="n">
        <f aca="false">spmv_1!R$18/R169</f>
        <v>4.65790515601129</v>
      </c>
      <c r="T169" s="6" t="n">
        <f aca="false">S169/32</f>
        <v>0.145559536125353</v>
      </c>
    </row>
    <row r="170" customFormat="false" ht="15" hidden="false" customHeight="false" outlineLevel="0" collapsed="false">
      <c r="A170" s="1" t="s">
        <v>19</v>
      </c>
      <c r="B170" s="1" t="n">
        <v>28</v>
      </c>
      <c r="D170" s="1" t="n">
        <v>1162366</v>
      </c>
      <c r="E170" s="1" t="n">
        <v>0.166107</v>
      </c>
      <c r="G170" s="1" t="n">
        <v>0.013462543</v>
      </c>
      <c r="H170" s="1" t="n">
        <v>0.013613939</v>
      </c>
      <c r="I170" s="1" t="n">
        <v>0.013823509</v>
      </c>
      <c r="J170" s="1" t="n">
        <v>0.014503717</v>
      </c>
      <c r="K170" s="1" t="n">
        <v>0.014156342</v>
      </c>
      <c r="L170" s="1" t="n">
        <v>0.015084982</v>
      </c>
      <c r="M170" s="1" t="n">
        <v>0.014983416</v>
      </c>
      <c r="N170" s="1" t="n">
        <v>0.013113499</v>
      </c>
      <c r="O170" s="1" t="n">
        <v>0.013739824</v>
      </c>
      <c r="P170" s="1" t="n">
        <v>0.013472319</v>
      </c>
      <c r="R170" s="1" t="n">
        <f aca="false">PERCENTILE(G170:P170,0.9)</f>
        <v>0.0149935726</v>
      </c>
      <c r="S170" s="5" t="n">
        <f aca="false">spmv_1!R$18/R170</f>
        <v>5.17146452473909</v>
      </c>
      <c r="T170" s="6" t="n">
        <f aca="false">S170/32</f>
        <v>0.161608266398096</v>
      </c>
    </row>
    <row r="171" customFormat="false" ht="15" hidden="false" customHeight="false" outlineLevel="0" collapsed="false">
      <c r="A171" s="1" t="s">
        <v>19</v>
      </c>
      <c r="B171" s="1" t="n">
        <v>29</v>
      </c>
      <c r="D171" s="1" t="n">
        <v>1149150</v>
      </c>
      <c r="E171" s="1" t="n">
        <v>0.145958</v>
      </c>
      <c r="G171" s="1" t="n">
        <v>0.015509367</v>
      </c>
      <c r="H171" s="1" t="n">
        <v>0.015330553</v>
      </c>
      <c r="I171" s="1" t="n">
        <v>0.015173674</v>
      </c>
      <c r="J171" s="1" t="n">
        <v>0.016098738</v>
      </c>
      <c r="K171" s="1" t="n">
        <v>0.015686512</v>
      </c>
      <c r="L171" s="1" t="n">
        <v>0.017469168</v>
      </c>
      <c r="M171" s="1" t="n">
        <v>0.016146898</v>
      </c>
      <c r="N171" s="1" t="n">
        <v>0.015079498</v>
      </c>
      <c r="O171" s="1" t="n">
        <v>0.015669823</v>
      </c>
      <c r="P171" s="1" t="n">
        <v>0.015298843</v>
      </c>
      <c r="R171" s="1" t="n">
        <f aca="false">PERCENTILE(G171:P171,0.9)</f>
        <v>0.016279125</v>
      </c>
      <c r="S171" s="5" t="n">
        <f aca="false">spmv_1!R$18/R171</f>
        <v>4.763077180131</v>
      </c>
      <c r="T171" s="6" t="n">
        <f aca="false">S171/32</f>
        <v>0.148846161879094</v>
      </c>
    </row>
    <row r="172" customFormat="false" ht="15" hidden="false" customHeight="false" outlineLevel="0" collapsed="false">
      <c r="A172" s="1" t="s">
        <v>19</v>
      </c>
      <c r="B172" s="1" t="n">
        <v>30</v>
      </c>
      <c r="D172" s="1" t="n">
        <v>1143533</v>
      </c>
      <c r="E172" s="1" t="n">
        <v>0.165099</v>
      </c>
      <c r="G172" s="1" t="n">
        <v>0.013441563</v>
      </c>
      <c r="H172" s="1" t="n">
        <v>0.013353825</v>
      </c>
      <c r="I172" s="1" t="n">
        <v>0.013605595</v>
      </c>
      <c r="J172" s="1" t="n">
        <v>0.014416218</v>
      </c>
      <c r="K172" s="1" t="n">
        <v>0.01386714</v>
      </c>
      <c r="L172" s="1" t="n">
        <v>0.014833212</v>
      </c>
      <c r="M172" s="1" t="n">
        <v>0.014847994</v>
      </c>
      <c r="N172" s="1" t="n">
        <v>0.013020992</v>
      </c>
      <c r="O172" s="1" t="n">
        <v>0.013693094</v>
      </c>
      <c r="P172" s="1" t="n">
        <v>0.013447285</v>
      </c>
      <c r="R172" s="1" t="n">
        <f aca="false">PERCENTILE(G172:P172,0.9)</f>
        <v>0.0148346902</v>
      </c>
      <c r="S172" s="5" t="n">
        <f aca="false">spmv_1!R$18/R172</f>
        <v>5.2268519095869</v>
      </c>
      <c r="T172" s="6" t="n">
        <f aca="false">S172/32</f>
        <v>0.16333912217459</v>
      </c>
    </row>
    <row r="173" customFormat="false" ht="15" hidden="false" customHeight="false" outlineLevel="0" collapsed="false">
      <c r="A173" s="1" t="s">
        <v>19</v>
      </c>
      <c r="B173" s="1" t="n">
        <v>31</v>
      </c>
      <c r="D173" s="1" t="n">
        <v>1190860</v>
      </c>
      <c r="E173" s="1" t="n">
        <v>0.152111</v>
      </c>
      <c r="G173" s="1" t="n">
        <v>0.015542269</v>
      </c>
      <c r="H173" s="1" t="n">
        <v>0.015267849</v>
      </c>
      <c r="I173" s="1" t="n">
        <v>0.015180111</v>
      </c>
      <c r="J173" s="1" t="n">
        <v>0.016022205</v>
      </c>
      <c r="K173" s="1" t="n">
        <v>0.015650749</v>
      </c>
      <c r="L173" s="1" t="n">
        <v>0.017031908</v>
      </c>
      <c r="M173" s="1" t="n">
        <v>0.016044617</v>
      </c>
      <c r="N173" s="1" t="n">
        <v>0.014907598</v>
      </c>
      <c r="O173" s="1" t="n">
        <v>0.015584469</v>
      </c>
      <c r="P173" s="1" t="n">
        <v>0.015346289</v>
      </c>
      <c r="R173" s="1" t="n">
        <f aca="false">PERCENTILE(G173:P173,0.9)</f>
        <v>0.0161433461</v>
      </c>
      <c r="S173" s="5" t="n">
        <f aca="false">spmv_1!R$18/R173</f>
        <v>4.80313860086293</v>
      </c>
      <c r="T173" s="6" t="n">
        <f aca="false">S173/32</f>
        <v>0.150098081276966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73"/>
  <sheetViews>
    <sheetView showFormulas="false" showGridLines="true" showRowColHeaders="true" showZeros="true" rightToLeft="false" tabSelected="false" showOutlineSymbols="true" defaultGridColor="true" view="normal" topLeftCell="A117" colorId="64" zoomScale="100" zoomScaleNormal="100" zoomScalePageLayoutView="100" workbookViewId="0">
      <selection pane="topLeft" activeCell="T142" activeCellId="0" sqref="T142"/>
    </sheetView>
  </sheetViews>
  <sheetFormatPr defaultColWidth="8.6171875" defaultRowHeight="15" customHeight="true" zeroHeight="false" outlineLevelRow="0" outlineLevelCol="0"/>
  <cols>
    <col collapsed="false" customWidth="true" hidden="false" outlineLevel="0" max="1" min="1" style="1" width="13.34"/>
    <col collapsed="false" customWidth="true" hidden="false" outlineLevel="0" max="3" min="3" style="1" width="6.25"/>
    <col collapsed="false" customWidth="true" hidden="false" outlineLevel="0" max="5" min="4" style="1" width="13.34"/>
    <col collapsed="false" customWidth="true" hidden="false" outlineLevel="0" max="6" min="6" style="1" width="6.25"/>
    <col collapsed="false" customWidth="true" hidden="false" outlineLevel="0" max="16" min="7" style="1" width="13.34"/>
    <col collapsed="false" customWidth="true" hidden="false" outlineLevel="0" max="17" min="17" style="1" width="6.25"/>
    <col collapsed="false" customWidth="true" hidden="false" outlineLevel="0" max="18" min="18" style="1" width="13.34"/>
    <col collapsed="false" customWidth="true" hidden="false" outlineLevel="0" max="19" min="19" style="5" width="13.34"/>
    <col collapsed="false" customWidth="true" hidden="false" outlineLevel="0" max="20" min="20" style="6" width="13.34"/>
    <col collapsed="false" customWidth="true" hidden="false" outlineLevel="0" max="16384" min="16384" style="1" width="10.49"/>
  </cols>
  <sheetData>
    <row r="1" customFormat="false" ht="15" hidden="false" customHeight="false" outlineLevel="0" collapsed="false">
      <c r="A1" s="2" t="s">
        <v>0</v>
      </c>
      <c r="B1" s="2" t="s">
        <v>1</v>
      </c>
      <c r="C1" s="3"/>
      <c r="D1" s="2" t="s">
        <v>2</v>
      </c>
      <c r="E1" s="2" t="s">
        <v>3</v>
      </c>
      <c r="F1" s="3"/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R1" s="4" t="s">
        <v>14</v>
      </c>
      <c r="S1" s="7" t="s">
        <v>20</v>
      </c>
      <c r="T1" s="8" t="s">
        <v>21</v>
      </c>
    </row>
    <row r="2" customFormat="false" ht="15" hidden="false" customHeight="false" outlineLevel="0" collapsed="false">
      <c r="A2" s="1" t="s">
        <v>15</v>
      </c>
      <c r="B2" s="1" t="n">
        <v>0</v>
      </c>
      <c r="D2" s="1" t="n">
        <v>334767</v>
      </c>
      <c r="E2" s="1" t="n">
        <v>0.287935</v>
      </c>
      <c r="G2" s="1" t="n">
        <v>0.004070044</v>
      </c>
      <c r="H2" s="1" t="n">
        <v>0.002326965</v>
      </c>
      <c r="I2" s="1" t="n">
        <v>0.002481937</v>
      </c>
      <c r="J2" s="1" t="n">
        <v>0.002363443</v>
      </c>
      <c r="K2" s="1" t="n">
        <v>0.002142906</v>
      </c>
      <c r="L2" s="1" t="n">
        <v>0.002164364</v>
      </c>
      <c r="M2" s="1" t="n">
        <v>0.001933813</v>
      </c>
      <c r="N2" s="1" t="n">
        <v>0.001876593</v>
      </c>
      <c r="O2" s="1" t="n">
        <v>0.001971245</v>
      </c>
      <c r="P2" s="1" t="n">
        <v>0.001921654</v>
      </c>
      <c r="R2" s="1" t="n">
        <f aca="false">PERCENTILE(G2:P2,0.9)</f>
        <v>0.0026407477</v>
      </c>
      <c r="S2" s="5" t="n">
        <f aca="false">spmv_1!R$2/R2</f>
        <v>6.59784666289778</v>
      </c>
      <c r="T2" s="6" t="n">
        <f aca="false">S2/32</f>
        <v>0.206182708215556</v>
      </c>
    </row>
    <row r="3" customFormat="false" ht="15" hidden="false" customHeight="false" outlineLevel="0" collapsed="false">
      <c r="A3" s="1" t="s">
        <v>15</v>
      </c>
      <c r="B3" s="1" t="n">
        <v>1</v>
      </c>
      <c r="D3" s="1" t="n">
        <v>335777</v>
      </c>
      <c r="E3" s="1" t="n">
        <v>0.265712</v>
      </c>
      <c r="G3" s="1" t="n">
        <v>0.00445962</v>
      </c>
      <c r="H3" s="1" t="n">
        <v>0.002599001</v>
      </c>
      <c r="I3" s="1" t="n">
        <v>0.002668619</v>
      </c>
      <c r="J3" s="1" t="n">
        <v>0.002515078</v>
      </c>
      <c r="K3" s="1" t="n">
        <v>0.002314568</v>
      </c>
      <c r="L3" s="1" t="n">
        <v>0.002305031</v>
      </c>
      <c r="M3" s="1" t="n">
        <v>0.0021348</v>
      </c>
      <c r="N3" s="1" t="n">
        <v>0.002090693</v>
      </c>
      <c r="O3" s="1" t="n">
        <v>0.002137184</v>
      </c>
      <c r="P3" s="1" t="n">
        <v>0.002049208</v>
      </c>
      <c r="R3" s="1" t="n">
        <f aca="false">PERCENTILE(G3:P3,0.9)</f>
        <v>0.0028477191</v>
      </c>
      <c r="S3" s="5" t="n">
        <f aca="false">spmv_1!R$2/R3</f>
        <v>6.11831707698979</v>
      </c>
      <c r="T3" s="6" t="n">
        <f aca="false">S3/32</f>
        <v>0.191197408655931</v>
      </c>
    </row>
    <row r="4" customFormat="false" ht="15" hidden="false" customHeight="false" outlineLevel="0" collapsed="false">
      <c r="A4" s="1" t="s">
        <v>15</v>
      </c>
      <c r="B4" s="1" t="n">
        <v>2</v>
      </c>
      <c r="D4" s="1" t="n">
        <v>334221</v>
      </c>
      <c r="E4" s="1" t="n">
        <v>0.266193</v>
      </c>
      <c r="G4" s="1" t="n">
        <v>0.00445652</v>
      </c>
      <c r="H4" s="1" t="n">
        <v>0.002581358</v>
      </c>
      <c r="I4" s="1" t="n">
        <v>0.002635479</v>
      </c>
      <c r="J4" s="1" t="n">
        <v>0.002485991</v>
      </c>
      <c r="K4" s="1" t="n">
        <v>0.002299547</v>
      </c>
      <c r="L4" s="1" t="n">
        <v>0.002291441</v>
      </c>
      <c r="M4" s="1" t="n">
        <v>0.002118349</v>
      </c>
      <c r="N4" s="1" t="n">
        <v>0.002080917</v>
      </c>
      <c r="O4" s="1" t="n">
        <v>0.002130508</v>
      </c>
      <c r="P4" s="1" t="n">
        <v>0.002031088</v>
      </c>
      <c r="R4" s="1" t="n">
        <f aca="false">PERCENTILE(G4:P4,0.9)</f>
        <v>0.0028175831</v>
      </c>
      <c r="S4" s="5" t="n">
        <f aca="false">spmv_1!R$2/R4</f>
        <v>6.18375670978435</v>
      </c>
      <c r="T4" s="6" t="n">
        <f aca="false">S4/32</f>
        <v>0.193242397180761</v>
      </c>
    </row>
    <row r="5" customFormat="false" ht="15" hidden="false" customHeight="false" outlineLevel="0" collapsed="false">
      <c r="A5" s="1" t="s">
        <v>15</v>
      </c>
      <c r="B5" s="1" t="n">
        <v>3</v>
      </c>
      <c r="D5" s="1" t="n">
        <v>332836</v>
      </c>
      <c r="E5" s="1" t="n">
        <v>0.268632</v>
      </c>
      <c r="G5" s="1" t="n">
        <v>0.004418135</v>
      </c>
      <c r="H5" s="1" t="n">
        <v>0.002549887</v>
      </c>
      <c r="I5" s="1" t="n">
        <v>0.002608776</v>
      </c>
      <c r="J5" s="1" t="n">
        <v>0.002398252</v>
      </c>
      <c r="K5" s="1" t="n">
        <v>0.002281189</v>
      </c>
      <c r="L5" s="1" t="n">
        <v>0.002265692</v>
      </c>
      <c r="M5" s="1" t="n">
        <v>0.002101421</v>
      </c>
      <c r="N5" s="1" t="n">
        <v>0.002040386</v>
      </c>
      <c r="O5" s="1" t="n">
        <v>0.002103567</v>
      </c>
      <c r="P5" s="1" t="n">
        <v>0.00201273</v>
      </c>
      <c r="R5" s="1" t="n">
        <f aca="false">PERCENTILE(G5:P5,0.9)</f>
        <v>0.0027897119</v>
      </c>
      <c r="S5" s="5" t="n">
        <f aca="false">spmv_1!R$2/R5</f>
        <v>6.24553682407133</v>
      </c>
      <c r="T5" s="6" t="n">
        <f aca="false">S5/32</f>
        <v>0.195173025752229</v>
      </c>
    </row>
    <row r="6" customFormat="false" ht="15" hidden="false" customHeight="false" outlineLevel="0" collapsed="false">
      <c r="A6" s="1" t="s">
        <v>15</v>
      </c>
      <c r="B6" s="1" t="n">
        <v>4</v>
      </c>
      <c r="D6" s="1" t="n">
        <v>331435</v>
      </c>
      <c r="E6" s="1" t="n">
        <v>0.269715</v>
      </c>
      <c r="G6" s="1" t="n">
        <v>0.004382372</v>
      </c>
      <c r="H6" s="1" t="n">
        <v>0.002506495</v>
      </c>
      <c r="I6" s="1" t="n">
        <v>0.002595186</v>
      </c>
      <c r="J6" s="1" t="n">
        <v>0.00238204</v>
      </c>
      <c r="K6" s="1" t="n">
        <v>0.002248287</v>
      </c>
      <c r="L6" s="1" t="n">
        <v>0.002267838</v>
      </c>
      <c r="M6" s="1" t="n">
        <v>0.002092123</v>
      </c>
      <c r="N6" s="1" t="n">
        <v>0.002025843</v>
      </c>
      <c r="O6" s="1" t="n">
        <v>0.002080441</v>
      </c>
      <c r="P6" s="1" t="n">
        <v>0.00199604</v>
      </c>
      <c r="R6" s="1" t="n">
        <f aca="false">PERCENTILE(G6:P6,0.9)</f>
        <v>0.0027739046</v>
      </c>
      <c r="S6" s="5" t="n">
        <f aca="false">spmv_1!R$2/R6</f>
        <v>6.28112747640997</v>
      </c>
      <c r="T6" s="6" t="n">
        <f aca="false">S6/32</f>
        <v>0.196285233637811</v>
      </c>
    </row>
    <row r="7" customFormat="false" ht="15" hidden="false" customHeight="false" outlineLevel="0" collapsed="false">
      <c r="A7" s="1" t="s">
        <v>15</v>
      </c>
      <c r="B7" s="1" t="n">
        <v>5</v>
      </c>
      <c r="D7" s="1" t="n">
        <v>331788</v>
      </c>
      <c r="E7" s="1" t="n">
        <v>0.27032</v>
      </c>
      <c r="G7" s="1" t="n">
        <v>0.004355192</v>
      </c>
      <c r="H7" s="1" t="n">
        <v>0.002460003</v>
      </c>
      <c r="I7" s="1" t="n">
        <v>0.002586603</v>
      </c>
      <c r="J7" s="1" t="n">
        <v>0.002382994</v>
      </c>
      <c r="K7" s="1" t="n">
        <v>0.002232552</v>
      </c>
      <c r="L7" s="1" t="n">
        <v>0.002252102</v>
      </c>
      <c r="M7" s="1" t="n">
        <v>0.002110958</v>
      </c>
      <c r="N7" s="1" t="n">
        <v>0.002039671</v>
      </c>
      <c r="O7" s="1" t="n">
        <v>0.002104998</v>
      </c>
      <c r="P7" s="1" t="n">
        <v>0.002022743</v>
      </c>
      <c r="R7" s="1" t="n">
        <f aca="false">PERCENTILE(G7:P7,0.9)</f>
        <v>0.0027634619</v>
      </c>
      <c r="S7" s="5" t="n">
        <f aca="false">spmv_1!R$2/R7</f>
        <v>6.30486289678899</v>
      </c>
      <c r="T7" s="6" t="n">
        <f aca="false">S7/32</f>
        <v>0.197026965524656</v>
      </c>
    </row>
    <row r="8" customFormat="false" ht="15" hidden="false" customHeight="false" outlineLevel="0" collapsed="false">
      <c r="A8" s="1" t="s">
        <v>15</v>
      </c>
      <c r="B8" s="1" t="n">
        <v>6</v>
      </c>
      <c r="D8" s="1" t="n">
        <v>331215</v>
      </c>
      <c r="E8" s="1" t="n">
        <v>0.282691</v>
      </c>
      <c r="G8" s="1" t="n">
        <v>0.004206657</v>
      </c>
      <c r="H8" s="1" t="n">
        <v>0.002349854</v>
      </c>
      <c r="I8" s="1" t="n">
        <v>0.002501965</v>
      </c>
      <c r="J8" s="1" t="n">
        <v>0.002255678</v>
      </c>
      <c r="K8" s="1" t="n">
        <v>0.002066374</v>
      </c>
      <c r="L8" s="1" t="n">
        <v>0.002161741</v>
      </c>
      <c r="M8" s="1" t="n">
        <v>0.002022505</v>
      </c>
      <c r="N8" s="1" t="n">
        <v>0.001924038</v>
      </c>
      <c r="O8" s="1" t="n">
        <v>0.002020597</v>
      </c>
      <c r="P8" s="1" t="n">
        <v>0.001923561</v>
      </c>
      <c r="R8" s="1" t="n">
        <f aca="false">PERCENTILE(G8:P8,0.9)</f>
        <v>0.0026724342</v>
      </c>
      <c r="S8" s="5" t="n">
        <f aca="false">spmv_1!R$2/R8</f>
        <v>6.51961735858642</v>
      </c>
      <c r="T8" s="6" t="n">
        <f aca="false">S8/32</f>
        <v>0.203738042455825</v>
      </c>
    </row>
    <row r="9" customFormat="false" ht="15" hidden="false" customHeight="false" outlineLevel="0" collapsed="false">
      <c r="A9" s="1" t="s">
        <v>15</v>
      </c>
      <c r="B9" s="1" t="n">
        <v>7</v>
      </c>
      <c r="D9" s="1" t="n">
        <v>331506</v>
      </c>
      <c r="E9" s="1" t="n">
        <v>0.287524</v>
      </c>
      <c r="G9" s="1" t="n">
        <v>0.00412631</v>
      </c>
      <c r="H9" s="1" t="n">
        <v>0.002342701</v>
      </c>
      <c r="I9" s="1" t="n">
        <v>0.002478123</v>
      </c>
      <c r="J9" s="1" t="n">
        <v>0.002216339</v>
      </c>
      <c r="K9" s="1" t="n">
        <v>0.002050638</v>
      </c>
      <c r="L9" s="1" t="n">
        <v>0.002132654</v>
      </c>
      <c r="M9" s="1" t="n">
        <v>0.001960278</v>
      </c>
      <c r="N9" s="1" t="n">
        <v>0.001892805</v>
      </c>
      <c r="O9" s="1" t="n">
        <v>0.001954556</v>
      </c>
      <c r="P9" s="1" t="n">
        <v>0.001904964</v>
      </c>
      <c r="R9" s="1" t="n">
        <f aca="false">PERCENTILE(G9:P9,0.9)</f>
        <v>0.0026429417</v>
      </c>
      <c r="S9" s="5" t="n">
        <f aca="false">spmv_1!R$2/R9</f>
        <v>6.59236955548433</v>
      </c>
      <c r="T9" s="6" t="n">
        <f aca="false">S9/32</f>
        <v>0.206011548608885</v>
      </c>
    </row>
    <row r="10" customFormat="false" ht="15" hidden="false" customHeight="false" outlineLevel="0" collapsed="false">
      <c r="A10" s="1" t="s">
        <v>15</v>
      </c>
      <c r="B10" s="1" t="n">
        <v>8</v>
      </c>
      <c r="D10" s="1" t="n">
        <v>330876</v>
      </c>
      <c r="E10" s="1" t="n">
        <v>0.29418</v>
      </c>
      <c r="G10" s="1" t="n">
        <v>0.004340887</v>
      </c>
      <c r="H10" s="1" t="n">
        <v>0.002191305</v>
      </c>
      <c r="I10" s="1" t="n">
        <v>0.002376556</v>
      </c>
      <c r="J10" s="1" t="n">
        <v>0.002139091</v>
      </c>
      <c r="K10" s="1" t="n">
        <v>0.001977444</v>
      </c>
      <c r="L10" s="1" t="n">
        <v>0.002050877</v>
      </c>
      <c r="M10" s="1" t="n">
        <v>0.001880884</v>
      </c>
      <c r="N10" s="1" t="n">
        <v>0.001830339</v>
      </c>
      <c r="O10" s="1" t="n">
        <v>0.001847506</v>
      </c>
      <c r="P10" s="1" t="n">
        <v>0.001859903</v>
      </c>
      <c r="R10" s="1" t="n">
        <f aca="false">PERCENTILE(G10:P10,0.9)</f>
        <v>0.0025729891</v>
      </c>
      <c r="S10" s="5" t="n">
        <f aca="false">spmv_1!R$2/R10</f>
        <v>6.77159821625362</v>
      </c>
      <c r="T10" s="6" t="n">
        <f aca="false">S10/32</f>
        <v>0.211612444257926</v>
      </c>
    </row>
    <row r="11" customFormat="false" ht="15" hidden="false" customHeight="false" outlineLevel="0" collapsed="false">
      <c r="A11" s="1" t="s">
        <v>15</v>
      </c>
      <c r="B11" s="1" t="n">
        <v>9</v>
      </c>
      <c r="D11" s="1" t="n">
        <v>332319</v>
      </c>
      <c r="E11" s="1" t="n">
        <v>0.307109</v>
      </c>
      <c r="G11" s="1" t="n">
        <v>0.004267931</v>
      </c>
      <c r="H11" s="1" t="n">
        <v>0.002147675</v>
      </c>
      <c r="I11" s="1" t="n">
        <v>0.002272367</v>
      </c>
      <c r="J11" s="1" t="n">
        <v>0.002044678</v>
      </c>
      <c r="K11" s="1" t="n">
        <v>0.001879215</v>
      </c>
      <c r="L11" s="1" t="n">
        <v>0.001943827</v>
      </c>
      <c r="M11" s="1" t="n">
        <v>0.001810312</v>
      </c>
      <c r="N11" s="1" t="n">
        <v>0.001756907</v>
      </c>
      <c r="O11" s="1" t="n">
        <v>0.001771688</v>
      </c>
      <c r="P11" s="1" t="n">
        <v>0.001747131</v>
      </c>
      <c r="R11" s="1" t="n">
        <f aca="false">PERCENTILE(G11:P11,0.9)</f>
        <v>0.0024719234</v>
      </c>
      <c r="S11" s="5" t="n">
        <f aca="false">spmv_1!R$2/R11</f>
        <v>7.04845805497047</v>
      </c>
      <c r="T11" s="6" t="n">
        <f aca="false">S11/32</f>
        <v>0.220264314217827</v>
      </c>
    </row>
    <row r="12" customFormat="false" ht="15" hidden="false" customHeight="false" outlineLevel="0" collapsed="false">
      <c r="A12" s="1" t="s">
        <v>15</v>
      </c>
      <c r="B12" s="1" t="n">
        <v>10</v>
      </c>
      <c r="D12" s="1" t="n">
        <v>333354</v>
      </c>
      <c r="E12" s="1" t="n">
        <v>0.297743</v>
      </c>
      <c r="G12" s="1" t="n">
        <v>0.004323959</v>
      </c>
      <c r="H12" s="1" t="n">
        <v>0.002090693</v>
      </c>
      <c r="I12" s="1" t="n">
        <v>0.002342224</v>
      </c>
      <c r="J12" s="1" t="n">
        <v>0.002128363</v>
      </c>
      <c r="K12" s="1" t="n">
        <v>0.001973391</v>
      </c>
      <c r="L12" s="1" t="n">
        <v>0.00204134</v>
      </c>
      <c r="M12" s="1" t="n">
        <v>0.001918077</v>
      </c>
      <c r="N12" s="1" t="n">
        <v>0.001843691</v>
      </c>
      <c r="O12" s="1" t="n">
        <v>0.001893044</v>
      </c>
      <c r="P12" s="1" t="n">
        <v>0.001837254</v>
      </c>
      <c r="R12" s="1" t="n">
        <f aca="false">PERCENTILE(G12:P12,0.9)</f>
        <v>0.0025403975</v>
      </c>
      <c r="S12" s="5" t="n">
        <f aca="false">spmv_1!R$2/R12</f>
        <v>6.85847329010519</v>
      </c>
      <c r="T12" s="6" t="n">
        <f aca="false">S12/32</f>
        <v>0.214327290315787</v>
      </c>
    </row>
    <row r="13" customFormat="false" ht="15" hidden="false" customHeight="false" outlineLevel="0" collapsed="false">
      <c r="A13" s="1" t="s">
        <v>15</v>
      </c>
      <c r="B13" s="1" t="n">
        <v>11</v>
      </c>
      <c r="D13" s="1" t="n">
        <v>335328</v>
      </c>
      <c r="E13" s="1" t="n">
        <v>0.303891</v>
      </c>
      <c r="G13" s="1" t="n">
        <v>0.004302025</v>
      </c>
      <c r="H13" s="1" t="n">
        <v>0.002075195</v>
      </c>
      <c r="I13" s="1" t="n">
        <v>0.002315044</v>
      </c>
      <c r="J13" s="1" t="n">
        <v>0.002051353</v>
      </c>
      <c r="K13" s="1" t="n">
        <v>0.001947641</v>
      </c>
      <c r="L13" s="1" t="n">
        <v>0.002016544</v>
      </c>
      <c r="M13" s="1" t="n">
        <v>0.001887083</v>
      </c>
      <c r="N13" s="1" t="n">
        <v>0.001817703</v>
      </c>
      <c r="O13" s="1" t="n">
        <v>0.001853704</v>
      </c>
      <c r="P13" s="1" t="n">
        <v>0.001802683</v>
      </c>
      <c r="R13" s="1" t="n">
        <f aca="false">PERCENTILE(G13:P13,0.9)</f>
        <v>0.0025137421</v>
      </c>
      <c r="S13" s="5" t="n">
        <f aca="false">spmv_1!R$2/R13</f>
        <v>6.93119966443654</v>
      </c>
      <c r="T13" s="6" t="n">
        <f aca="false">S13/32</f>
        <v>0.216599989513642</v>
      </c>
    </row>
    <row r="14" customFormat="false" ht="15" hidden="false" customHeight="false" outlineLevel="0" collapsed="false">
      <c r="A14" s="1" t="s">
        <v>15</v>
      </c>
      <c r="B14" s="1" t="n">
        <v>12</v>
      </c>
      <c r="D14" s="1" t="n">
        <v>335205</v>
      </c>
      <c r="E14" s="1" t="n">
        <v>0.309453</v>
      </c>
      <c r="G14" s="1" t="n">
        <v>0.004271269</v>
      </c>
      <c r="H14" s="1" t="n">
        <v>0.002032518</v>
      </c>
      <c r="I14" s="1" t="n">
        <v>0.002269745</v>
      </c>
      <c r="J14" s="1" t="n">
        <v>0.001993895</v>
      </c>
      <c r="K14" s="1" t="n">
        <v>0.001928568</v>
      </c>
      <c r="L14" s="1" t="n">
        <v>0.00198698</v>
      </c>
      <c r="M14" s="1" t="n">
        <v>0.001848459</v>
      </c>
      <c r="N14" s="1" t="n">
        <v>0.001770258</v>
      </c>
      <c r="O14" s="1" t="n">
        <v>0.001799583</v>
      </c>
      <c r="P14" s="1" t="n">
        <v>0.001763105</v>
      </c>
      <c r="R14" s="1" t="n">
        <f aca="false">PERCENTILE(G14:P14,0.9)</f>
        <v>0.0024698974</v>
      </c>
      <c r="S14" s="5" t="n">
        <f aca="false">spmv_1!R$2/R14</f>
        <v>7.05423974291402</v>
      </c>
      <c r="T14" s="6" t="n">
        <f aca="false">S14/32</f>
        <v>0.220444991966063</v>
      </c>
    </row>
    <row r="15" customFormat="false" ht="15" hidden="false" customHeight="false" outlineLevel="0" collapsed="false">
      <c r="A15" s="1" t="s">
        <v>15</v>
      </c>
      <c r="B15" s="1" t="n">
        <v>13</v>
      </c>
      <c r="D15" s="1" t="n">
        <v>334347</v>
      </c>
      <c r="E15" s="1" t="n">
        <v>0.315859</v>
      </c>
      <c r="G15" s="1" t="n">
        <v>0.004215479</v>
      </c>
      <c r="H15" s="1" t="n">
        <v>0.001989841</v>
      </c>
      <c r="I15" s="1" t="n">
        <v>0.002224922</v>
      </c>
      <c r="J15" s="1" t="n">
        <v>0.001918077</v>
      </c>
      <c r="K15" s="1" t="n">
        <v>0.001877069</v>
      </c>
      <c r="L15" s="1" t="n">
        <v>0.001924276</v>
      </c>
      <c r="M15" s="1" t="n">
        <v>0.001815319</v>
      </c>
      <c r="N15" s="1" t="n">
        <v>0.001734018</v>
      </c>
      <c r="O15" s="1" t="n">
        <v>0.001746416</v>
      </c>
      <c r="P15" s="1" t="n">
        <v>0.001725197</v>
      </c>
      <c r="R15" s="1" t="n">
        <f aca="false">PERCENTILE(G15:P15,0.9)</f>
        <v>0.0024239777</v>
      </c>
      <c r="S15" s="5" t="n">
        <f aca="false">spmv_1!R$2/R15</f>
        <v>7.18787487195117</v>
      </c>
      <c r="T15" s="6" t="n">
        <f aca="false">S15/32</f>
        <v>0.224621089748474</v>
      </c>
    </row>
    <row r="16" customFormat="false" ht="15" hidden="false" customHeight="false" outlineLevel="0" collapsed="false">
      <c r="A16" s="1" t="s">
        <v>15</v>
      </c>
      <c r="B16" s="1" t="n">
        <v>14</v>
      </c>
      <c r="D16" s="1" t="n">
        <v>332426</v>
      </c>
      <c r="E16" s="1" t="n">
        <v>0.320945</v>
      </c>
      <c r="G16" s="1" t="n">
        <v>0.004196882</v>
      </c>
      <c r="H16" s="1" t="n">
        <v>0.001909256</v>
      </c>
      <c r="I16" s="1" t="n">
        <v>0.002157211</v>
      </c>
      <c r="J16" s="1" t="n">
        <v>0.001866579</v>
      </c>
      <c r="K16" s="1" t="n">
        <v>0.001824856</v>
      </c>
      <c r="L16" s="1" t="n">
        <v>0.001889944</v>
      </c>
      <c r="M16" s="1" t="n">
        <v>0.001785278</v>
      </c>
      <c r="N16" s="1" t="n">
        <v>0.001692295</v>
      </c>
      <c r="O16" s="1" t="n">
        <v>0.001698971</v>
      </c>
      <c r="P16" s="1" t="n">
        <v>0.001694202</v>
      </c>
      <c r="R16" s="1" t="n">
        <f aca="false">PERCENTILE(G16:P16,0.9)</f>
        <v>0.0023611781</v>
      </c>
      <c r="S16" s="5" t="n">
        <f aca="false">spmv_1!R$2/R16</f>
        <v>7.37904878924635</v>
      </c>
      <c r="T16" s="6" t="n">
        <f aca="false">S16/32</f>
        <v>0.230595274663949</v>
      </c>
    </row>
    <row r="17" customFormat="false" ht="15" hidden="false" customHeight="false" outlineLevel="0" collapsed="false">
      <c r="A17" s="1" t="s">
        <v>15</v>
      </c>
      <c r="B17" s="1" t="n">
        <v>15</v>
      </c>
      <c r="D17" s="1" t="n">
        <v>331944</v>
      </c>
      <c r="E17" s="1" t="n">
        <v>0.335011</v>
      </c>
      <c r="G17" s="1" t="n">
        <v>0.004153728</v>
      </c>
      <c r="H17" s="1" t="n">
        <v>0.001787663</v>
      </c>
      <c r="I17" s="1" t="n">
        <v>0.002064228</v>
      </c>
      <c r="J17" s="1" t="n">
        <v>0.001775742</v>
      </c>
      <c r="K17" s="1" t="n">
        <v>0.001766682</v>
      </c>
      <c r="L17" s="1" t="n">
        <v>0.001819611</v>
      </c>
      <c r="M17" s="1" t="n">
        <v>0.001664877</v>
      </c>
      <c r="N17" s="1" t="n">
        <v>0.001581192</v>
      </c>
      <c r="O17" s="1" t="n">
        <v>0.00159359</v>
      </c>
      <c r="P17" s="1" t="n">
        <v>0.001609564</v>
      </c>
      <c r="R17" s="1" t="n">
        <f aca="false">PERCENTILE(G17:P17,0.9)</f>
        <v>0.002273178</v>
      </c>
      <c r="S17" s="5" t="n">
        <f aca="false">spmv_1!R$2/R17</f>
        <v>7.66470923086534</v>
      </c>
      <c r="T17" s="6" t="n">
        <f aca="false">S17/32</f>
        <v>0.239522163464542</v>
      </c>
    </row>
    <row r="18" customFormat="false" ht="15" hidden="false" customHeight="false" outlineLevel="0" collapsed="false">
      <c r="A18" s="1" t="s">
        <v>15</v>
      </c>
      <c r="B18" s="1" t="n">
        <v>16</v>
      </c>
      <c r="D18" s="1" t="n">
        <v>331685</v>
      </c>
      <c r="E18" s="1" t="n">
        <v>0.294787</v>
      </c>
      <c r="G18" s="1" t="n">
        <v>0.004391193</v>
      </c>
      <c r="H18" s="1" t="n">
        <v>0.002222776</v>
      </c>
      <c r="I18" s="1" t="n">
        <v>0.002285242</v>
      </c>
      <c r="J18" s="1" t="n">
        <v>0.002258301</v>
      </c>
      <c r="K18" s="1" t="n">
        <v>0.002087593</v>
      </c>
      <c r="L18" s="1" t="n">
        <v>0.001867294</v>
      </c>
      <c r="M18" s="1" t="n">
        <v>0.001758099</v>
      </c>
      <c r="N18" s="1" t="n">
        <v>0.00184226</v>
      </c>
      <c r="O18" s="1" t="n">
        <v>0.001899719</v>
      </c>
      <c r="P18" s="1" t="n">
        <v>0.001890898</v>
      </c>
      <c r="R18" s="1" t="n">
        <f aca="false">PERCENTILE(G18:P18,0.9)</f>
        <v>0.0024958371</v>
      </c>
      <c r="S18" s="5" t="n">
        <f aca="false">spmv_1!R$2/R18</f>
        <v>6.98092371493316</v>
      </c>
      <c r="T18" s="6" t="n">
        <f aca="false">S18/32</f>
        <v>0.218153866091661</v>
      </c>
    </row>
    <row r="19" customFormat="false" ht="15" hidden="false" customHeight="false" outlineLevel="0" collapsed="false">
      <c r="A19" s="1" t="s">
        <v>15</v>
      </c>
      <c r="B19" s="1" t="n">
        <v>17</v>
      </c>
      <c r="D19" s="1" t="n">
        <v>331569</v>
      </c>
      <c r="E19" s="1" t="n">
        <v>0.297929</v>
      </c>
      <c r="G19" s="1" t="n">
        <v>0.004328728</v>
      </c>
      <c r="H19" s="1" t="n">
        <v>0.002226591</v>
      </c>
      <c r="I19" s="1" t="n">
        <v>0.002273321</v>
      </c>
      <c r="J19" s="1" t="n">
        <v>0.002249718</v>
      </c>
      <c r="K19" s="1" t="n">
        <v>0.002099037</v>
      </c>
      <c r="L19" s="1" t="n">
        <v>0.001826286</v>
      </c>
      <c r="M19" s="1" t="n">
        <v>0.001739502</v>
      </c>
      <c r="N19" s="1" t="n">
        <v>0.001806021</v>
      </c>
      <c r="O19" s="1" t="n">
        <v>0.001863241</v>
      </c>
      <c r="P19" s="1" t="n">
        <v>0.001845837</v>
      </c>
      <c r="R19" s="1" t="n">
        <f aca="false">PERCENTILE(G19:P19,0.9)</f>
        <v>0.0024788617</v>
      </c>
      <c r="S19" s="5" t="n">
        <f aca="false">spmv_1!R$2/R19</f>
        <v>7.0287295172619</v>
      </c>
      <c r="T19" s="6" t="n">
        <f aca="false">S19/32</f>
        <v>0.219647797414434</v>
      </c>
    </row>
    <row r="20" customFormat="false" ht="15" hidden="false" customHeight="false" outlineLevel="0" collapsed="false">
      <c r="A20" s="1" t="s">
        <v>15</v>
      </c>
      <c r="B20" s="1" t="n">
        <v>18</v>
      </c>
      <c r="D20" s="1" t="n">
        <v>330867</v>
      </c>
      <c r="E20" s="1" t="n">
        <v>0.271245</v>
      </c>
      <c r="G20" s="1" t="n">
        <v>0.004528284</v>
      </c>
      <c r="H20" s="1" t="n">
        <v>0.002498865</v>
      </c>
      <c r="I20" s="1" t="n">
        <v>0.002528667</v>
      </c>
      <c r="J20" s="1" t="n">
        <v>0.002532244</v>
      </c>
      <c r="K20" s="1" t="n">
        <v>0.002347469</v>
      </c>
      <c r="L20" s="1" t="n">
        <v>0.002012014</v>
      </c>
      <c r="M20" s="1" t="n">
        <v>0.001939058</v>
      </c>
      <c r="N20" s="1" t="n">
        <v>0.002010822</v>
      </c>
      <c r="O20" s="1" t="n">
        <v>0.001975775</v>
      </c>
      <c r="P20" s="1" t="n">
        <v>0.002022982</v>
      </c>
      <c r="R20" s="1" t="n">
        <f aca="false">PERCENTILE(G20:P20,0.9)</f>
        <v>0.002731848</v>
      </c>
      <c r="S20" s="5" t="n">
        <f aca="false">spmv_1!R$2/R20</f>
        <v>6.37782497415669</v>
      </c>
      <c r="T20" s="6" t="n">
        <f aca="false">S20/32</f>
        <v>0.199307030442397</v>
      </c>
    </row>
    <row r="21" customFormat="false" ht="15" hidden="false" customHeight="false" outlineLevel="0" collapsed="false">
      <c r="A21" s="1" t="s">
        <v>15</v>
      </c>
      <c r="B21" s="1" t="n">
        <v>19</v>
      </c>
      <c r="D21" s="1" t="n">
        <v>330539</v>
      </c>
      <c r="E21" s="1" t="n">
        <v>0.272307</v>
      </c>
      <c r="G21" s="1" t="n">
        <v>0.004491806</v>
      </c>
      <c r="H21" s="1" t="n">
        <v>0.002523899</v>
      </c>
      <c r="I21" s="1" t="n">
        <v>0.002563</v>
      </c>
      <c r="J21" s="1" t="n">
        <v>0.002560616</v>
      </c>
      <c r="K21" s="1" t="n">
        <v>0.002366304</v>
      </c>
      <c r="L21" s="1" t="n">
        <v>0.001973391</v>
      </c>
      <c r="M21" s="1" t="n">
        <v>0.001862764</v>
      </c>
      <c r="N21" s="1" t="n">
        <v>0.001983643</v>
      </c>
      <c r="O21" s="1" t="n">
        <v>0.00195384</v>
      </c>
      <c r="P21" s="1" t="n">
        <v>0.001997709</v>
      </c>
      <c r="R21" s="1" t="n">
        <f aca="false">PERCENTILE(G21:P21,0.9)</f>
        <v>0.0027558806</v>
      </c>
      <c r="S21" s="5" t="n">
        <f aca="false">spmv_1!R$2/R21</f>
        <v>6.32220728285543</v>
      </c>
      <c r="T21" s="6" t="n">
        <f aca="false">S21/32</f>
        <v>0.197568977589232</v>
      </c>
    </row>
    <row r="22" customFormat="false" ht="15" hidden="false" customHeight="false" outlineLevel="0" collapsed="false">
      <c r="A22" s="1" t="s">
        <v>15</v>
      </c>
      <c r="B22" s="1" t="n">
        <v>20</v>
      </c>
      <c r="D22" s="1" t="n">
        <v>331263</v>
      </c>
      <c r="E22" s="1" t="n">
        <v>0.298248</v>
      </c>
      <c r="G22" s="1" t="n">
        <v>0.004257202</v>
      </c>
      <c r="H22" s="1" t="n">
        <v>0.00228858</v>
      </c>
      <c r="I22" s="1" t="n">
        <v>0.00237751</v>
      </c>
      <c r="J22" s="1" t="n">
        <v>0.002354145</v>
      </c>
      <c r="K22" s="1" t="n">
        <v>0.002174139</v>
      </c>
      <c r="L22" s="1" t="n">
        <v>0.001736164</v>
      </c>
      <c r="M22" s="1" t="n">
        <v>0.001651049</v>
      </c>
      <c r="N22" s="1" t="n">
        <v>0.001750469</v>
      </c>
      <c r="O22" s="1" t="n">
        <v>0.001826525</v>
      </c>
      <c r="P22" s="1" t="n">
        <v>0.001798153</v>
      </c>
      <c r="R22" s="1" t="n">
        <f aca="false">PERCENTILE(G22:P22,0.9)</f>
        <v>0.0025654792</v>
      </c>
      <c r="S22" s="5" t="n">
        <f aca="false">spmv_1!R$2/R22</f>
        <v>6.79142064375342</v>
      </c>
      <c r="T22" s="6" t="n">
        <f aca="false">S22/32</f>
        <v>0.212231895117294</v>
      </c>
    </row>
    <row r="23" customFormat="false" ht="15" hidden="false" customHeight="false" outlineLevel="0" collapsed="false">
      <c r="A23" s="1" t="s">
        <v>15</v>
      </c>
      <c r="B23" s="1" t="n">
        <v>21</v>
      </c>
      <c r="D23" s="1" t="n">
        <v>333806</v>
      </c>
      <c r="E23" s="1" t="n">
        <v>0.271274</v>
      </c>
      <c r="G23" s="1" t="n">
        <v>0.004476786</v>
      </c>
      <c r="H23" s="1" t="n">
        <v>0.002558231</v>
      </c>
      <c r="I23" s="1" t="n">
        <v>0.002659798</v>
      </c>
      <c r="J23" s="1" t="n">
        <v>0.002601147</v>
      </c>
      <c r="K23" s="1" t="n">
        <v>0.002388477</v>
      </c>
      <c r="L23" s="1" t="n">
        <v>0.00213623</v>
      </c>
      <c r="M23" s="1" t="n">
        <v>0.001873255</v>
      </c>
      <c r="N23" s="1" t="n">
        <v>0.001963615</v>
      </c>
      <c r="O23" s="1" t="n">
        <v>0.001949549</v>
      </c>
      <c r="P23" s="1" t="n">
        <v>0.002003193</v>
      </c>
      <c r="R23" s="1" t="n">
        <f aca="false">PERCENTILE(G23:P23,0.9)</f>
        <v>0.0028414968</v>
      </c>
      <c r="S23" s="5" t="n">
        <f aca="false">spmv_1!R$2/R23</f>
        <v>6.13171494685477</v>
      </c>
      <c r="T23" s="6" t="n">
        <f aca="false">S23/32</f>
        <v>0.191616092089212</v>
      </c>
    </row>
    <row r="24" customFormat="false" ht="15" hidden="false" customHeight="false" outlineLevel="0" collapsed="false">
      <c r="A24" s="1" t="s">
        <v>15</v>
      </c>
      <c r="B24" s="1" t="n">
        <v>22</v>
      </c>
      <c r="D24" s="1" t="n">
        <v>334497</v>
      </c>
      <c r="E24" s="1" t="n">
        <v>0.298818</v>
      </c>
      <c r="G24" s="1" t="n">
        <v>0.004184246</v>
      </c>
      <c r="H24" s="1" t="n">
        <v>0.002330065</v>
      </c>
      <c r="I24" s="1" t="n">
        <v>0.002442837</v>
      </c>
      <c r="J24" s="1" t="n">
        <v>0.002377987</v>
      </c>
      <c r="K24" s="1" t="n">
        <v>0.002191305</v>
      </c>
      <c r="L24" s="1" t="n">
        <v>0.001908779</v>
      </c>
      <c r="M24" s="1" t="n">
        <v>0.001651525</v>
      </c>
      <c r="N24" s="1" t="n">
        <v>0.001734257</v>
      </c>
      <c r="O24" s="1" t="n">
        <v>0.001796246</v>
      </c>
      <c r="P24" s="1" t="n">
        <v>0.001770735</v>
      </c>
      <c r="R24" s="1" t="n">
        <f aca="false">PERCENTILE(G24:P24,0.9)</f>
        <v>0.0026169779</v>
      </c>
      <c r="S24" s="5" t="n">
        <f aca="false">spmv_1!R$2/R24</f>
        <v>6.65777437402127</v>
      </c>
      <c r="T24" s="6" t="n">
        <f aca="false">S24/32</f>
        <v>0.208055449188165</v>
      </c>
    </row>
    <row r="25" customFormat="false" ht="15" hidden="false" customHeight="false" outlineLevel="0" collapsed="false">
      <c r="A25" s="1" t="s">
        <v>15</v>
      </c>
      <c r="B25" s="1" t="n">
        <v>23</v>
      </c>
      <c r="D25" s="1" t="n">
        <v>335059</v>
      </c>
      <c r="E25" s="1" t="n">
        <v>0.296407</v>
      </c>
      <c r="G25" s="1" t="n">
        <v>0.004140854</v>
      </c>
      <c r="H25" s="1" t="n">
        <v>0.002406597</v>
      </c>
      <c r="I25" s="1" t="n">
        <v>0.002508163</v>
      </c>
      <c r="J25" s="1" t="n">
        <v>0.002437115</v>
      </c>
      <c r="K25" s="1" t="n">
        <v>0.002210379</v>
      </c>
      <c r="L25" s="1" t="n">
        <v>0.00191927</v>
      </c>
      <c r="M25" s="1" t="n">
        <v>0.001686573</v>
      </c>
      <c r="N25" s="1" t="n">
        <v>0.001723051</v>
      </c>
      <c r="O25" s="1" t="n">
        <v>0.001790762</v>
      </c>
      <c r="P25" s="1" t="n">
        <v>0.001785278</v>
      </c>
      <c r="R25" s="1" t="n">
        <f aca="false">PERCENTILE(G25:P25,0.9)</f>
        <v>0.0026714321</v>
      </c>
      <c r="S25" s="5" t="n">
        <f aca="false">spmv_1!R$2/R25</f>
        <v>6.52206297887938</v>
      </c>
      <c r="T25" s="6" t="n">
        <f aca="false">S25/32</f>
        <v>0.203814468089981</v>
      </c>
    </row>
    <row r="26" customFormat="false" ht="15" hidden="false" customHeight="false" outlineLevel="0" collapsed="false">
      <c r="A26" s="1" t="s">
        <v>15</v>
      </c>
      <c r="B26" s="1" t="n">
        <v>24</v>
      </c>
      <c r="D26" s="1" t="n">
        <v>332316</v>
      </c>
      <c r="E26" s="1" t="n">
        <v>0.300441</v>
      </c>
      <c r="G26" s="1" t="n">
        <v>0.004146099</v>
      </c>
      <c r="H26" s="1" t="n">
        <v>0.002386808</v>
      </c>
      <c r="I26" s="1" t="n">
        <v>0.002470732</v>
      </c>
      <c r="J26" s="1" t="n">
        <v>0.002436876</v>
      </c>
      <c r="K26" s="1" t="n">
        <v>0.002161264</v>
      </c>
      <c r="L26" s="1" t="n">
        <v>0.001872063</v>
      </c>
      <c r="M26" s="1" t="n">
        <v>0.00163126</v>
      </c>
      <c r="N26" s="1" t="n">
        <v>0.001684427</v>
      </c>
      <c r="O26" s="1" t="n">
        <v>0.001587629</v>
      </c>
      <c r="P26" s="1" t="n">
        <v>0.001744747</v>
      </c>
      <c r="R26" s="1" t="n">
        <f aca="false">PERCENTILE(G26:P26,0.9)</f>
        <v>0.0026382687</v>
      </c>
      <c r="S26" s="5" t="n">
        <f aca="false">spmv_1!R$2/R26</f>
        <v>6.60404620651414</v>
      </c>
      <c r="T26" s="6" t="n">
        <f aca="false">S26/32</f>
        <v>0.206376443953567</v>
      </c>
    </row>
    <row r="27" customFormat="false" ht="15" hidden="false" customHeight="false" outlineLevel="0" collapsed="false">
      <c r="A27" s="1" t="s">
        <v>15</v>
      </c>
      <c r="B27" s="1" t="n">
        <v>25</v>
      </c>
      <c r="D27" s="1" t="n">
        <v>332419</v>
      </c>
      <c r="E27" s="1" t="n">
        <v>0.27202</v>
      </c>
      <c r="G27" s="1" t="n">
        <v>0.004400015</v>
      </c>
      <c r="H27" s="1" t="n">
        <v>0.002628088</v>
      </c>
      <c r="I27" s="1" t="n">
        <v>0.002748489</v>
      </c>
      <c r="J27" s="1" t="n">
        <v>0.002691507</v>
      </c>
      <c r="K27" s="1" t="n">
        <v>0.002407312</v>
      </c>
      <c r="L27" s="1" t="n">
        <v>0.00210309</v>
      </c>
      <c r="M27" s="1" t="n">
        <v>0.001890421</v>
      </c>
      <c r="N27" s="1" t="n">
        <v>0.001890659</v>
      </c>
      <c r="O27" s="1" t="n">
        <v>0.001766443</v>
      </c>
      <c r="P27" s="1" t="n">
        <v>0.00191474</v>
      </c>
      <c r="R27" s="1" t="n">
        <f aca="false">PERCENTILE(G27:P27,0.9)</f>
        <v>0.0029136416</v>
      </c>
      <c r="S27" s="5" t="n">
        <f aca="false">spmv_1!R$2/R27</f>
        <v>5.97988729979693</v>
      </c>
      <c r="T27" s="6" t="n">
        <f aca="false">S27/32</f>
        <v>0.186871478118654</v>
      </c>
    </row>
    <row r="28" customFormat="false" ht="15" hidden="false" customHeight="false" outlineLevel="0" collapsed="false">
      <c r="A28" s="1" t="s">
        <v>15</v>
      </c>
      <c r="B28" s="1" t="n">
        <v>26</v>
      </c>
      <c r="D28" s="1" t="n">
        <v>331237</v>
      </c>
      <c r="E28" s="1" t="n">
        <v>0.300463</v>
      </c>
      <c r="G28" s="1" t="n">
        <v>0.004072905</v>
      </c>
      <c r="H28" s="1" t="n">
        <v>0.002399921</v>
      </c>
      <c r="I28" s="1" t="n">
        <v>0.002506971</v>
      </c>
      <c r="J28" s="1" t="n">
        <v>0.002425432</v>
      </c>
      <c r="K28" s="1" t="n">
        <v>0.002235174</v>
      </c>
      <c r="L28" s="1" t="n">
        <v>0.00185132</v>
      </c>
      <c r="M28" s="1" t="n">
        <v>0.00167799</v>
      </c>
      <c r="N28" s="1" t="n">
        <v>0.001645803</v>
      </c>
      <c r="O28" s="1" t="n">
        <v>0.001538515</v>
      </c>
      <c r="P28" s="1" t="n">
        <v>0.001694441</v>
      </c>
      <c r="R28" s="1" t="n">
        <f aca="false">PERCENTILE(G28:P28,0.9)</f>
        <v>0.0026635644</v>
      </c>
      <c r="S28" s="5" t="n">
        <f aca="false">spmv_1!R$2/R28</f>
        <v>6.54132800393338</v>
      </c>
      <c r="T28" s="6" t="n">
        <f aca="false">S28/32</f>
        <v>0.204416500122918</v>
      </c>
    </row>
    <row r="29" customFormat="false" ht="15" hidden="false" customHeight="false" outlineLevel="0" collapsed="false">
      <c r="A29" s="1" t="s">
        <v>15</v>
      </c>
      <c r="B29" s="1" t="n">
        <v>27</v>
      </c>
      <c r="D29" s="1" t="n">
        <v>332357</v>
      </c>
      <c r="E29" s="1" t="n">
        <v>0.302584</v>
      </c>
      <c r="G29" s="1" t="n">
        <v>0.003986359</v>
      </c>
      <c r="H29" s="1" t="n">
        <v>0.002387762</v>
      </c>
      <c r="I29" s="1" t="n">
        <v>0.002522707</v>
      </c>
      <c r="J29" s="1" t="n">
        <v>0.002455473</v>
      </c>
      <c r="K29" s="1" t="n">
        <v>0.002220154</v>
      </c>
      <c r="L29" s="1" t="n">
        <v>0.001886845</v>
      </c>
      <c r="M29" s="1" t="n">
        <v>0.00168395</v>
      </c>
      <c r="N29" s="1" t="n">
        <v>0.001627684</v>
      </c>
      <c r="O29" s="1" t="n">
        <v>0.001522541</v>
      </c>
      <c r="P29" s="1" t="n">
        <v>0.001674414</v>
      </c>
      <c r="R29" s="1" t="n">
        <f aca="false">PERCENTILE(G29:P29,0.9)</f>
        <v>0.0026690722</v>
      </c>
      <c r="S29" s="5" t="n">
        <f aca="false">spmv_1!R$2/R29</f>
        <v>6.52782955815133</v>
      </c>
      <c r="T29" s="6" t="n">
        <f aca="false">S29/32</f>
        <v>0.203994673692229</v>
      </c>
    </row>
    <row r="30" customFormat="false" ht="15" hidden="false" customHeight="false" outlineLevel="0" collapsed="false">
      <c r="A30" s="1" t="s">
        <v>15</v>
      </c>
      <c r="B30" s="1" t="n">
        <v>28</v>
      </c>
      <c r="D30" s="1" t="n">
        <v>331252</v>
      </c>
      <c r="E30" s="1" t="n">
        <v>0.273725</v>
      </c>
      <c r="G30" s="1" t="n">
        <v>0.004307985</v>
      </c>
      <c r="H30" s="1" t="n">
        <v>0.002624512</v>
      </c>
      <c r="I30" s="1" t="n">
        <v>0.002751589</v>
      </c>
      <c r="J30" s="1" t="n">
        <v>0.002662182</v>
      </c>
      <c r="K30" s="1" t="n">
        <v>0.002385616</v>
      </c>
      <c r="L30" s="1" t="n">
        <v>0.002144575</v>
      </c>
      <c r="M30" s="1" t="n">
        <v>0.001929522</v>
      </c>
      <c r="N30" s="1" t="n">
        <v>0.001852274</v>
      </c>
      <c r="O30" s="1" t="n">
        <v>0.001678705</v>
      </c>
      <c r="P30" s="1" t="n">
        <v>0.001866341</v>
      </c>
      <c r="R30" s="1" t="n">
        <f aca="false">PERCENTILE(G30:P30,0.9)</f>
        <v>0.0029072286</v>
      </c>
      <c r="S30" s="5" t="n">
        <f aca="false">spmv_1!R$2/R30</f>
        <v>5.99307821889204</v>
      </c>
      <c r="T30" s="6" t="n">
        <f aca="false">S30/32</f>
        <v>0.187283694340376</v>
      </c>
    </row>
    <row r="31" customFormat="false" ht="15" hidden="false" customHeight="false" outlineLevel="0" collapsed="false">
      <c r="A31" s="1" t="s">
        <v>15</v>
      </c>
      <c r="B31" s="1" t="n">
        <v>29</v>
      </c>
      <c r="D31" s="1" t="n">
        <v>331479</v>
      </c>
      <c r="E31" s="1" t="n">
        <v>0.27686</v>
      </c>
      <c r="G31" s="1" t="n">
        <v>0.004278183</v>
      </c>
      <c r="H31" s="1" t="n">
        <v>0.002626181</v>
      </c>
      <c r="I31" s="1" t="n">
        <v>0.002726555</v>
      </c>
      <c r="J31" s="1" t="n">
        <v>0.002636671</v>
      </c>
      <c r="K31" s="1" t="n">
        <v>0.002379417</v>
      </c>
      <c r="L31" s="1" t="n">
        <v>0.002152681</v>
      </c>
      <c r="M31" s="1" t="n">
        <v>0.001871347</v>
      </c>
      <c r="N31" s="1" t="n">
        <v>0.001834869</v>
      </c>
      <c r="O31" s="1" t="n">
        <v>0.001592398</v>
      </c>
      <c r="P31" s="1" t="n">
        <v>0.001847267</v>
      </c>
      <c r="R31" s="1" t="n">
        <f aca="false">PERCENTILE(G31:P31,0.9)</f>
        <v>0.0028817178</v>
      </c>
      <c r="S31" s="5" t="n">
        <f aca="false">spmv_1!R$2/R31</f>
        <v>6.04613276150774</v>
      </c>
      <c r="T31" s="6" t="n">
        <f aca="false">S31/32</f>
        <v>0.188941648797117</v>
      </c>
    </row>
    <row r="32" customFormat="false" ht="15" hidden="false" customHeight="false" outlineLevel="0" collapsed="false">
      <c r="A32" s="1" t="s">
        <v>15</v>
      </c>
      <c r="B32" s="1" t="n">
        <v>30</v>
      </c>
      <c r="D32" s="1" t="n">
        <v>331236</v>
      </c>
      <c r="E32" s="1" t="n">
        <v>0.272774</v>
      </c>
      <c r="G32" s="1" t="n">
        <v>0.004369497</v>
      </c>
      <c r="H32" s="1" t="n">
        <v>0.002604723</v>
      </c>
      <c r="I32" s="1" t="n">
        <v>0.002694368</v>
      </c>
      <c r="J32" s="1" t="n">
        <v>0.002605915</v>
      </c>
      <c r="K32" s="1" t="n">
        <v>0.002286673</v>
      </c>
      <c r="L32" s="1" t="n">
        <v>0.002156734</v>
      </c>
      <c r="M32" s="1" t="n">
        <v>0.001997471</v>
      </c>
      <c r="N32" s="1" t="n">
        <v>0.001885891</v>
      </c>
      <c r="O32" s="1" t="n">
        <v>0.001717567</v>
      </c>
      <c r="P32" s="1" t="n">
        <v>0.001967669</v>
      </c>
      <c r="R32" s="1" t="n">
        <f aca="false">PERCENTILE(G32:P32,0.9)</f>
        <v>0.0028618809</v>
      </c>
      <c r="S32" s="5" t="n">
        <f aca="false">spmv_1!R$2/R32</f>
        <v>6.08804105020583</v>
      </c>
      <c r="T32" s="6" t="n">
        <f aca="false">S32/32</f>
        <v>0.190251282818932</v>
      </c>
    </row>
    <row r="33" customFormat="false" ht="15" hidden="false" customHeight="false" outlineLevel="0" collapsed="false">
      <c r="A33" s="1" t="s">
        <v>15</v>
      </c>
      <c r="B33" s="1" t="n">
        <v>31</v>
      </c>
      <c r="D33" s="1" t="n">
        <v>333077</v>
      </c>
      <c r="E33" s="1" t="n">
        <v>0.285291</v>
      </c>
      <c r="G33" s="1" t="n">
        <v>0.004159689</v>
      </c>
      <c r="H33" s="1" t="n">
        <v>0.002542496</v>
      </c>
      <c r="I33" s="1" t="n">
        <v>0.002639532</v>
      </c>
      <c r="J33" s="1" t="n">
        <v>0.00253129</v>
      </c>
      <c r="K33" s="1" t="n">
        <v>0.002298117</v>
      </c>
      <c r="L33" s="1" t="n">
        <v>0.002118826</v>
      </c>
      <c r="M33" s="1" t="n">
        <v>0.00199604</v>
      </c>
      <c r="N33" s="1" t="n">
        <v>0.001717567</v>
      </c>
      <c r="O33" s="1" t="n">
        <v>0.001520634</v>
      </c>
      <c r="P33" s="1" t="n">
        <v>0.001825809</v>
      </c>
      <c r="R33" s="1" t="n">
        <f aca="false">PERCENTILE(G33:P33,0.9)</f>
        <v>0.0027915477</v>
      </c>
      <c r="S33" s="5" t="n">
        <f aca="false">spmv_1!R$2/R33</f>
        <v>6.24142958402609</v>
      </c>
      <c r="T33" s="6" t="n">
        <f aca="false">S33/32</f>
        <v>0.195044674500815</v>
      </c>
    </row>
    <row r="36" customFormat="false" ht="15" hidden="false" customHeight="false" outlineLevel="0" collapsed="false">
      <c r="A36" s="2" t="s">
        <v>0</v>
      </c>
      <c r="B36" s="2" t="s">
        <v>1</v>
      </c>
      <c r="C36" s="3"/>
      <c r="D36" s="2" t="s">
        <v>2</v>
      </c>
      <c r="E36" s="2" t="s">
        <v>3</v>
      </c>
      <c r="F36" s="3"/>
      <c r="G36" s="2" t="s">
        <v>4</v>
      </c>
      <c r="H36" s="2" t="s">
        <v>5</v>
      </c>
      <c r="I36" s="2" t="s">
        <v>6</v>
      </c>
      <c r="J36" s="2" t="s">
        <v>7</v>
      </c>
      <c r="K36" s="2" t="s">
        <v>8</v>
      </c>
      <c r="L36" s="2" t="s">
        <v>9</v>
      </c>
      <c r="M36" s="2" t="s">
        <v>10</v>
      </c>
      <c r="N36" s="2" t="s">
        <v>11</v>
      </c>
      <c r="O36" s="2" t="s">
        <v>12</v>
      </c>
      <c r="P36" s="2" t="s">
        <v>13</v>
      </c>
      <c r="R36" s="4" t="s">
        <v>14</v>
      </c>
      <c r="S36" s="7" t="s">
        <v>20</v>
      </c>
      <c r="T36" s="8" t="s">
        <v>21</v>
      </c>
    </row>
    <row r="37" customFormat="false" ht="15" hidden="false" customHeight="false" outlineLevel="0" collapsed="false">
      <c r="A37" s="1" t="s">
        <v>16</v>
      </c>
      <c r="B37" s="1" t="n">
        <v>0</v>
      </c>
      <c r="D37" s="1" t="n">
        <v>3465310</v>
      </c>
      <c r="E37" s="1" t="n">
        <v>0.290398</v>
      </c>
      <c r="G37" s="1" t="n">
        <v>0.023735285</v>
      </c>
      <c r="H37" s="1" t="n">
        <v>0.023579597</v>
      </c>
      <c r="I37" s="1" t="n">
        <v>0.023742437</v>
      </c>
      <c r="J37" s="1" t="n">
        <v>0.023926258</v>
      </c>
      <c r="K37" s="1" t="n">
        <v>0.023786545</v>
      </c>
      <c r="L37" s="1" t="n">
        <v>0.023627281</v>
      </c>
      <c r="M37" s="1" t="n">
        <v>0.024735928</v>
      </c>
      <c r="N37" s="1" t="n">
        <v>0.0242908</v>
      </c>
      <c r="O37" s="1" t="n">
        <v>0.023433685</v>
      </c>
      <c r="P37" s="1" t="n">
        <v>0.023801327</v>
      </c>
      <c r="R37" s="1" t="n">
        <f aca="false">PERCENTILE(G37:P37,0.9)</f>
        <v>0.0243353128</v>
      </c>
      <c r="S37" s="5" t="n">
        <f aca="false">spmv_1!R$6/R37</f>
        <v>6.91318874684857</v>
      </c>
      <c r="T37" s="6" t="n">
        <f aca="false">S37/32</f>
        <v>0.216037148339018</v>
      </c>
    </row>
    <row r="38" customFormat="false" ht="15" hidden="false" customHeight="false" outlineLevel="0" collapsed="false">
      <c r="A38" s="1" t="s">
        <v>16</v>
      </c>
      <c r="B38" s="1" t="n">
        <v>1</v>
      </c>
      <c r="D38" s="1" t="n">
        <v>3465328</v>
      </c>
      <c r="E38" s="1" t="n">
        <v>0.284862</v>
      </c>
      <c r="G38" s="1" t="n">
        <v>0.024097204</v>
      </c>
      <c r="H38" s="1" t="n">
        <v>0.024043322</v>
      </c>
      <c r="I38" s="1" t="n">
        <v>0.023933411</v>
      </c>
      <c r="J38" s="1" t="n">
        <v>0.024172544</v>
      </c>
      <c r="K38" s="1" t="n">
        <v>0.024501801</v>
      </c>
      <c r="L38" s="1" t="n">
        <v>0.024038792</v>
      </c>
      <c r="M38" s="1" t="n">
        <v>0.025283098</v>
      </c>
      <c r="N38" s="1" t="n">
        <v>0.024663448</v>
      </c>
      <c r="O38" s="1" t="n">
        <v>0.023812294</v>
      </c>
      <c r="P38" s="1" t="n">
        <v>0.024753094</v>
      </c>
      <c r="R38" s="1" t="n">
        <f aca="false">PERCENTILE(G38:P38,0.9)</f>
        <v>0.0248060944</v>
      </c>
      <c r="S38" s="5" t="n">
        <f aca="false">spmv_1!R$6/R38</f>
        <v>6.7819870346055</v>
      </c>
      <c r="T38" s="6" t="n">
        <f aca="false">S38/32</f>
        <v>0.211937094831422</v>
      </c>
    </row>
    <row r="39" customFormat="false" ht="15" hidden="false" customHeight="false" outlineLevel="0" collapsed="false">
      <c r="A39" s="1" t="s">
        <v>16</v>
      </c>
      <c r="B39" s="1" t="n">
        <v>2</v>
      </c>
      <c r="D39" s="1" t="n">
        <v>3464502</v>
      </c>
      <c r="E39" s="1" t="n">
        <v>0.284494</v>
      </c>
      <c r="G39" s="1" t="n">
        <v>0.024158001</v>
      </c>
      <c r="H39" s="1" t="n">
        <v>0.023915768</v>
      </c>
      <c r="I39" s="1" t="n">
        <v>0.024040699</v>
      </c>
      <c r="J39" s="1" t="n">
        <v>0.024206877</v>
      </c>
      <c r="K39" s="1" t="n">
        <v>0.024364948</v>
      </c>
      <c r="L39" s="1" t="n">
        <v>0.024141788</v>
      </c>
      <c r="M39" s="1" t="n">
        <v>0.025379419</v>
      </c>
      <c r="N39" s="1" t="n">
        <v>0.024868011</v>
      </c>
      <c r="O39" s="1" t="n">
        <v>0.023906469</v>
      </c>
      <c r="P39" s="1" t="n">
        <v>0.024573565</v>
      </c>
      <c r="R39" s="1" t="n">
        <f aca="false">PERCENTILE(G39:P39,0.9)</f>
        <v>0.0249191518</v>
      </c>
      <c r="S39" s="5" t="n">
        <f aca="false">spmv_1!R$6/R39</f>
        <v>6.75121737490279</v>
      </c>
      <c r="T39" s="6" t="n">
        <f aca="false">S39/32</f>
        <v>0.210975542965712</v>
      </c>
    </row>
    <row r="40" customFormat="false" ht="15" hidden="false" customHeight="false" outlineLevel="0" collapsed="false">
      <c r="A40" s="1" t="s">
        <v>16</v>
      </c>
      <c r="B40" s="1" t="n">
        <v>3</v>
      </c>
      <c r="D40" s="1" t="n">
        <v>3464516</v>
      </c>
      <c r="E40" s="1" t="n">
        <v>0.316031</v>
      </c>
      <c r="G40" s="1" t="n">
        <v>0.022607327</v>
      </c>
      <c r="H40" s="1" t="n">
        <v>0.021720886</v>
      </c>
      <c r="I40" s="1" t="n">
        <v>0.022265911</v>
      </c>
      <c r="J40" s="1" t="n">
        <v>0.02199316</v>
      </c>
      <c r="K40" s="1" t="n">
        <v>0.021801233</v>
      </c>
      <c r="L40" s="1" t="n">
        <v>0.021545172</v>
      </c>
      <c r="M40" s="1" t="n">
        <v>0.021824837</v>
      </c>
      <c r="N40" s="1" t="n">
        <v>0.021878958</v>
      </c>
      <c r="O40" s="1" t="n">
        <v>0.021716595</v>
      </c>
      <c r="P40" s="1" t="n">
        <v>0.021897554</v>
      </c>
      <c r="R40" s="1" t="n">
        <f aca="false">PERCENTILE(G40:P40,0.9)</f>
        <v>0.0223000526</v>
      </c>
      <c r="S40" s="5" t="n">
        <f aca="false">spmv_1!R$6/R40</f>
        <v>7.54413514701755</v>
      </c>
      <c r="T40" s="6" t="n">
        <f aca="false">S40/32</f>
        <v>0.235754223344298</v>
      </c>
    </row>
    <row r="41" customFormat="false" ht="15" hidden="false" customHeight="false" outlineLevel="0" collapsed="false">
      <c r="A41" s="1" t="s">
        <v>16</v>
      </c>
      <c r="B41" s="1" t="n">
        <v>4</v>
      </c>
      <c r="D41" s="1" t="n">
        <v>3463708</v>
      </c>
      <c r="E41" s="1" t="n">
        <v>0.306993</v>
      </c>
      <c r="G41" s="1" t="n">
        <v>0.023302555</v>
      </c>
      <c r="H41" s="1" t="n">
        <v>0.021605015</v>
      </c>
      <c r="I41" s="1" t="n">
        <v>0.023029089</v>
      </c>
      <c r="J41" s="1" t="n">
        <v>0.022642612</v>
      </c>
      <c r="K41" s="1" t="n">
        <v>0.022445202</v>
      </c>
      <c r="L41" s="1" t="n">
        <v>0.022355318</v>
      </c>
      <c r="M41" s="1" t="n">
        <v>0.022552013</v>
      </c>
      <c r="N41" s="1" t="n">
        <v>0.022680283</v>
      </c>
      <c r="O41" s="1" t="n">
        <v>0.022375822</v>
      </c>
      <c r="P41" s="1" t="n">
        <v>0.022666216</v>
      </c>
      <c r="R41" s="1" t="n">
        <f aca="false">PERCENTILE(G41:P41,0.9)</f>
        <v>0.0230564356</v>
      </c>
      <c r="S41" s="5" t="n">
        <f aca="false">spmv_1!R$6/R41</f>
        <v>7.2966443520871</v>
      </c>
      <c r="T41" s="6" t="n">
        <f aca="false">S41/32</f>
        <v>0.228020136002722</v>
      </c>
    </row>
    <row r="42" customFormat="false" ht="15" hidden="false" customHeight="false" outlineLevel="0" collapsed="false">
      <c r="A42" s="1" t="s">
        <v>16</v>
      </c>
      <c r="B42" s="1" t="n">
        <v>5</v>
      </c>
      <c r="D42" s="1" t="n">
        <v>3463690</v>
      </c>
      <c r="E42" s="1" t="n">
        <v>0.302791</v>
      </c>
      <c r="G42" s="1" t="n">
        <v>0.023526907</v>
      </c>
      <c r="H42" s="1" t="n">
        <v>0.021127462</v>
      </c>
      <c r="I42" s="1" t="n">
        <v>0.023411274</v>
      </c>
      <c r="J42" s="1" t="n">
        <v>0.02311635</v>
      </c>
      <c r="K42" s="1" t="n">
        <v>0.022888422</v>
      </c>
      <c r="L42" s="1" t="n">
        <v>0.02274394</v>
      </c>
      <c r="M42" s="1" t="n">
        <v>0.02299571</v>
      </c>
      <c r="N42" s="1" t="n">
        <v>0.023151636</v>
      </c>
      <c r="O42" s="1" t="n">
        <v>0.02280879</v>
      </c>
      <c r="P42" s="1" t="n">
        <v>0.023014069</v>
      </c>
      <c r="R42" s="1" t="n">
        <f aca="false">PERCENTILE(G42:P42,0.9)</f>
        <v>0.0234228373</v>
      </c>
      <c r="S42" s="5" t="n">
        <f aca="false">spmv_1!R$6/R42</f>
        <v>7.18250348773929</v>
      </c>
      <c r="T42" s="6" t="n">
        <f aca="false">S42/32</f>
        <v>0.224453233991853</v>
      </c>
    </row>
    <row r="43" customFormat="false" ht="15" hidden="false" customHeight="false" outlineLevel="0" collapsed="false">
      <c r="A43" s="1" t="s">
        <v>16</v>
      </c>
      <c r="B43" s="1" t="n">
        <v>6</v>
      </c>
      <c r="D43" s="1" t="n">
        <v>3464254</v>
      </c>
      <c r="E43" s="1" t="n">
        <v>0.295738</v>
      </c>
      <c r="G43" s="1" t="n">
        <v>0.023910999</v>
      </c>
      <c r="H43" s="1" t="n">
        <v>0.02165556</v>
      </c>
      <c r="I43" s="1" t="n">
        <v>0.024032354</v>
      </c>
      <c r="J43" s="1" t="n">
        <v>0.023750305</v>
      </c>
      <c r="K43" s="1" t="n">
        <v>0.023485184</v>
      </c>
      <c r="L43" s="1" t="n">
        <v>0.023296833</v>
      </c>
      <c r="M43" s="1" t="n">
        <v>0.023486137</v>
      </c>
      <c r="N43" s="1" t="n">
        <v>0.023747921</v>
      </c>
      <c r="O43" s="1" t="n">
        <v>0.023356199</v>
      </c>
      <c r="P43" s="1" t="n">
        <v>0.023557186</v>
      </c>
      <c r="R43" s="1" t="n">
        <f aca="false">PERCENTILE(G43:P43,0.9)</f>
        <v>0.0239231345</v>
      </c>
      <c r="S43" s="5" t="n">
        <f aca="false">spmv_1!R$6/R43</f>
        <v>7.03229798754005</v>
      </c>
      <c r="T43" s="6" t="n">
        <f aca="false">S43/32</f>
        <v>0.219759312110627</v>
      </c>
    </row>
    <row r="44" customFormat="false" ht="15" hidden="false" customHeight="false" outlineLevel="0" collapsed="false">
      <c r="A44" s="1" t="s">
        <v>16</v>
      </c>
      <c r="B44" s="1" t="n">
        <v>7</v>
      </c>
      <c r="D44" s="1" t="n">
        <v>3464266</v>
      </c>
      <c r="E44" s="1" t="n">
        <v>0.272289</v>
      </c>
      <c r="G44" s="1" t="n">
        <v>0.025408983</v>
      </c>
      <c r="H44" s="1" t="n">
        <v>0.023606777</v>
      </c>
      <c r="I44" s="1" t="n">
        <v>0.025758982</v>
      </c>
      <c r="J44" s="1" t="n">
        <v>0.025227547</v>
      </c>
      <c r="K44" s="1" t="n">
        <v>0.025773048</v>
      </c>
      <c r="L44" s="1" t="n">
        <v>0.025428534</v>
      </c>
      <c r="M44" s="1" t="n">
        <v>0.026278734</v>
      </c>
      <c r="N44" s="1" t="n">
        <v>0.02589035</v>
      </c>
      <c r="O44" s="1" t="n">
        <v>0.025072098</v>
      </c>
      <c r="P44" s="1" t="n">
        <v>0.026009798</v>
      </c>
      <c r="R44" s="1" t="n">
        <f aca="false">PERCENTILE(G44:P44,0.9)</f>
        <v>0.0260366916</v>
      </c>
      <c r="S44" s="5" t="n">
        <f aca="false">spmv_1!R$6/R44</f>
        <v>6.46144345773946</v>
      </c>
      <c r="T44" s="6" t="n">
        <f aca="false">S44/32</f>
        <v>0.201920108054358</v>
      </c>
    </row>
    <row r="45" customFormat="false" ht="15" hidden="false" customHeight="false" outlineLevel="0" collapsed="false">
      <c r="A45" s="1" t="s">
        <v>16</v>
      </c>
      <c r="B45" s="1" t="n">
        <v>8</v>
      </c>
      <c r="D45" s="1" t="n">
        <v>3465672</v>
      </c>
      <c r="E45" s="1" t="n">
        <v>0.308292</v>
      </c>
      <c r="G45" s="1" t="n">
        <v>0.023115396</v>
      </c>
      <c r="H45" s="1" t="n">
        <v>0.02050662</v>
      </c>
      <c r="I45" s="1" t="n">
        <v>0.023514748</v>
      </c>
      <c r="J45" s="1" t="n">
        <v>0.022288084</v>
      </c>
      <c r="K45" s="1" t="n">
        <v>0.022670746</v>
      </c>
      <c r="L45" s="1" t="n">
        <v>0.022626162</v>
      </c>
      <c r="M45" s="1" t="n">
        <v>0.022366047</v>
      </c>
      <c r="N45" s="1" t="n">
        <v>0.022624731</v>
      </c>
      <c r="O45" s="1" t="n">
        <v>0.022436619</v>
      </c>
      <c r="P45" s="1" t="n">
        <v>0.022680998</v>
      </c>
      <c r="R45" s="1" t="n">
        <f aca="false">PERCENTILE(G45:P45,0.9)</f>
        <v>0.0231553312</v>
      </c>
      <c r="S45" s="5" t="n">
        <f aca="false">spmv_1!R$6/R45</f>
        <v>7.26548064231532</v>
      </c>
      <c r="T45" s="6" t="n">
        <f aca="false">S45/32</f>
        <v>0.227046270072354</v>
      </c>
    </row>
    <row r="46" customFormat="false" ht="15" hidden="false" customHeight="false" outlineLevel="0" collapsed="false">
      <c r="A46" s="1" t="s">
        <v>16</v>
      </c>
      <c r="B46" s="1" t="n">
        <v>9</v>
      </c>
      <c r="D46" s="1" t="n">
        <v>3465682</v>
      </c>
      <c r="E46" s="1" t="n">
        <v>0.309172</v>
      </c>
      <c r="G46" s="1" t="n">
        <v>0.023233175</v>
      </c>
      <c r="H46" s="1" t="n">
        <v>0.020512104</v>
      </c>
      <c r="I46" s="1" t="n">
        <v>0.023269653</v>
      </c>
      <c r="J46" s="1" t="n">
        <v>0.022325754</v>
      </c>
      <c r="K46" s="1" t="n">
        <v>0.022637844</v>
      </c>
      <c r="L46" s="1" t="n">
        <v>0.022478342</v>
      </c>
      <c r="M46" s="1" t="n">
        <v>0.022294044</v>
      </c>
      <c r="N46" s="1" t="n">
        <v>0.022573709</v>
      </c>
      <c r="O46" s="1" t="n">
        <v>0.022411108</v>
      </c>
      <c r="P46" s="1" t="n">
        <v>0.022455454</v>
      </c>
      <c r="R46" s="1" t="n">
        <f aca="false">PERCENTILE(G46:P46,0.9)</f>
        <v>0.0232368228</v>
      </c>
      <c r="S46" s="5" t="n">
        <f aca="false">spmv_1!R$6/R46</f>
        <v>7.24000058217942</v>
      </c>
      <c r="T46" s="6" t="n">
        <f aca="false">S46/32</f>
        <v>0.226250018193107</v>
      </c>
    </row>
    <row r="47" customFormat="false" ht="15" hidden="false" customHeight="false" outlineLevel="0" collapsed="false">
      <c r="A47" s="1" t="s">
        <v>16</v>
      </c>
      <c r="B47" s="1" t="n">
        <v>10</v>
      </c>
      <c r="D47" s="1" t="n">
        <v>3465536</v>
      </c>
      <c r="E47" s="1" t="n">
        <v>0.27663</v>
      </c>
      <c r="G47" s="1" t="n">
        <v>0.024206638</v>
      </c>
      <c r="H47" s="1" t="n">
        <v>0.023314714</v>
      </c>
      <c r="I47" s="1" t="n">
        <v>0.026191473</v>
      </c>
      <c r="J47" s="1" t="n">
        <v>0.024978638</v>
      </c>
      <c r="K47" s="1" t="n">
        <v>0.025463104</v>
      </c>
      <c r="L47" s="1" t="n">
        <v>0.025482178</v>
      </c>
      <c r="M47" s="1" t="n">
        <v>0.025173903</v>
      </c>
      <c r="N47" s="1" t="n">
        <v>0.025183439</v>
      </c>
      <c r="O47" s="1" t="n">
        <v>0.025367975</v>
      </c>
      <c r="P47" s="1" t="n">
        <v>0.025191784</v>
      </c>
      <c r="R47" s="1" t="n">
        <f aca="false">PERCENTILE(G47:P47,0.9)</f>
        <v>0.0255531075</v>
      </c>
      <c r="S47" s="5" t="n">
        <f aca="false">spmv_1!R$6/R47</f>
        <v>6.58372413609578</v>
      </c>
      <c r="T47" s="6" t="n">
        <f aca="false">S47/32</f>
        <v>0.205741379252993</v>
      </c>
    </row>
    <row r="48" customFormat="false" ht="15" hidden="false" customHeight="false" outlineLevel="0" collapsed="false">
      <c r="A48" s="1" t="s">
        <v>16</v>
      </c>
      <c r="B48" s="1" t="n">
        <v>11</v>
      </c>
      <c r="D48" s="1" t="n">
        <v>3465508</v>
      </c>
      <c r="E48" s="1" t="n">
        <v>0.322713</v>
      </c>
      <c r="G48" s="1" t="n">
        <v>0.023315191</v>
      </c>
      <c r="H48" s="1" t="n">
        <v>0.019550562</v>
      </c>
      <c r="I48" s="1" t="n">
        <v>0.022096872</v>
      </c>
      <c r="J48" s="1" t="n">
        <v>0.021116257</v>
      </c>
      <c r="K48" s="1" t="n">
        <v>0.021528959</v>
      </c>
      <c r="L48" s="1" t="n">
        <v>0.021389484</v>
      </c>
      <c r="M48" s="1" t="n">
        <v>0.021117687</v>
      </c>
      <c r="N48" s="1" t="n">
        <v>0.021600723</v>
      </c>
      <c r="O48" s="1" t="n">
        <v>0.021556616</v>
      </c>
      <c r="P48" s="1" t="n">
        <v>0.021500826</v>
      </c>
      <c r="R48" s="1" t="n">
        <f aca="false">PERCENTILE(G48:P48,0.9)</f>
        <v>0.0222187039</v>
      </c>
      <c r="S48" s="5" t="n">
        <f aca="false">spmv_1!R$6/R48</f>
        <v>7.57175627152581</v>
      </c>
      <c r="T48" s="6" t="n">
        <f aca="false">S48/32</f>
        <v>0.236617383485182</v>
      </c>
    </row>
    <row r="49" customFormat="false" ht="15" hidden="false" customHeight="false" outlineLevel="0" collapsed="false">
      <c r="A49" s="1" t="s">
        <v>16</v>
      </c>
      <c r="B49" s="1" t="n">
        <v>12</v>
      </c>
      <c r="D49" s="1" t="n">
        <v>3465696</v>
      </c>
      <c r="E49" s="1" t="n">
        <v>0.321847</v>
      </c>
      <c r="G49" s="1" t="n">
        <v>0.024158955</v>
      </c>
      <c r="H49" s="1" t="n">
        <v>0.019594431</v>
      </c>
      <c r="I49" s="1" t="n">
        <v>0.022114038</v>
      </c>
      <c r="J49" s="1" t="n">
        <v>0.021177769</v>
      </c>
      <c r="K49" s="1" t="n">
        <v>0.021563292</v>
      </c>
      <c r="L49" s="1" t="n">
        <v>0.021437645</v>
      </c>
      <c r="M49" s="1" t="n">
        <v>0.021156073</v>
      </c>
      <c r="N49" s="1" t="n">
        <v>0.021398544</v>
      </c>
      <c r="O49" s="1" t="n">
        <v>0.021429777</v>
      </c>
      <c r="P49" s="1" t="n">
        <v>0.021332502</v>
      </c>
      <c r="R49" s="1" t="n">
        <f aca="false">PERCENTILE(G49:P49,0.9)</f>
        <v>0.0223185297</v>
      </c>
      <c r="S49" s="5" t="n">
        <f aca="false">spmv_1!R$6/R49</f>
        <v>7.53788949636768</v>
      </c>
      <c r="T49" s="6" t="n">
        <f aca="false">S49/32</f>
        <v>0.23555904676149</v>
      </c>
    </row>
    <row r="50" customFormat="false" ht="15" hidden="false" customHeight="false" outlineLevel="0" collapsed="false">
      <c r="A50" s="1" t="s">
        <v>16</v>
      </c>
      <c r="B50" s="1" t="n">
        <v>13</v>
      </c>
      <c r="D50" s="1" t="n">
        <v>3465706</v>
      </c>
      <c r="E50" s="1" t="n">
        <v>0.327586</v>
      </c>
      <c r="G50" s="1" t="n">
        <v>0.024625778</v>
      </c>
      <c r="H50" s="1" t="n">
        <v>0.019068718</v>
      </c>
      <c r="I50" s="1" t="n">
        <v>0.021558046</v>
      </c>
      <c r="J50" s="1" t="n">
        <v>0.020714283</v>
      </c>
      <c r="K50" s="1" t="n">
        <v>0.021142006</v>
      </c>
      <c r="L50" s="1" t="n">
        <v>0.021010399</v>
      </c>
      <c r="M50" s="1" t="n">
        <v>0.020671129</v>
      </c>
      <c r="N50" s="1" t="n">
        <v>0.020956755</v>
      </c>
      <c r="O50" s="1" t="n">
        <v>0.020902395</v>
      </c>
      <c r="P50" s="1" t="n">
        <v>0.020940781</v>
      </c>
      <c r="R50" s="1" t="n">
        <f aca="false">PERCENTILE(G50:P50,0.9)</f>
        <v>0.0218648192</v>
      </c>
      <c r="S50" s="5" t="n">
        <f aca="false">spmv_1!R$6/R50</f>
        <v>7.694306047589</v>
      </c>
      <c r="T50" s="6" t="n">
        <f aca="false">S50/32</f>
        <v>0.240447063987156</v>
      </c>
    </row>
    <row r="51" customFormat="false" ht="15" hidden="false" customHeight="false" outlineLevel="0" collapsed="false">
      <c r="A51" s="1" t="s">
        <v>16</v>
      </c>
      <c r="B51" s="1" t="n">
        <v>14</v>
      </c>
      <c r="D51" s="1" t="n">
        <v>3465490</v>
      </c>
      <c r="E51" s="1" t="n">
        <v>0.338964</v>
      </c>
      <c r="G51" s="1" t="n">
        <v>0.024563074</v>
      </c>
      <c r="H51" s="1" t="n">
        <v>0.018277645</v>
      </c>
      <c r="I51" s="1" t="n">
        <v>0.021465063</v>
      </c>
      <c r="J51" s="1" t="n">
        <v>0.019850731</v>
      </c>
      <c r="K51" s="1" t="n">
        <v>0.020264626</v>
      </c>
      <c r="L51" s="1" t="n">
        <v>0.020002127</v>
      </c>
      <c r="M51" s="1" t="n">
        <v>0.019743681</v>
      </c>
      <c r="N51" s="1" t="n">
        <v>0.020221472</v>
      </c>
      <c r="O51" s="1" t="n">
        <v>0.020116091</v>
      </c>
      <c r="P51" s="1" t="n">
        <v>0.019970655</v>
      </c>
      <c r="R51" s="1" t="n">
        <f aca="false">PERCENTILE(G51:P51,0.9)</f>
        <v>0.0217748641</v>
      </c>
      <c r="S51" s="5" t="n">
        <f aca="false">spmv_1!R$6/R51</f>
        <v>7.72609233414228</v>
      </c>
      <c r="T51" s="6" t="n">
        <f aca="false">S51/32</f>
        <v>0.241440385441946</v>
      </c>
    </row>
    <row r="52" customFormat="false" ht="15" hidden="false" customHeight="false" outlineLevel="0" collapsed="false">
      <c r="A52" s="1" t="s">
        <v>16</v>
      </c>
      <c r="B52" s="1" t="n">
        <v>15</v>
      </c>
      <c r="D52" s="1" t="n">
        <v>3465498</v>
      </c>
      <c r="E52" s="1" t="n">
        <v>0.341569</v>
      </c>
      <c r="G52" s="1" t="n">
        <v>0.024687529</v>
      </c>
      <c r="H52" s="1" t="n">
        <v>0.018432856</v>
      </c>
      <c r="I52" s="1" t="n">
        <v>0.021488428</v>
      </c>
      <c r="J52" s="1" t="n">
        <v>0.019441843</v>
      </c>
      <c r="K52" s="1" t="n">
        <v>0.019651413</v>
      </c>
      <c r="L52" s="1" t="n">
        <v>0.019631147</v>
      </c>
      <c r="M52" s="1" t="n">
        <v>0.019908667</v>
      </c>
      <c r="N52" s="1" t="n">
        <v>0.019890547</v>
      </c>
      <c r="O52" s="1" t="n">
        <v>0.019806385</v>
      </c>
      <c r="P52" s="1" t="n">
        <v>0.019977331</v>
      </c>
      <c r="R52" s="1" t="n">
        <f aca="false">PERCENTILE(G52:P52,0.9)</f>
        <v>0.0218083381</v>
      </c>
      <c r="S52" s="5" t="n">
        <f aca="false">spmv_1!R$6/R52</f>
        <v>7.71423341973958</v>
      </c>
      <c r="T52" s="6" t="n">
        <f aca="false">S52/32</f>
        <v>0.241069794366862</v>
      </c>
    </row>
    <row r="53" customFormat="false" ht="15" hidden="false" customHeight="false" outlineLevel="0" collapsed="false">
      <c r="A53" s="1" t="s">
        <v>16</v>
      </c>
      <c r="B53" s="1" t="n">
        <v>16</v>
      </c>
      <c r="D53" s="1" t="n">
        <v>3465388</v>
      </c>
      <c r="E53" s="1" t="n">
        <v>0.292577</v>
      </c>
      <c r="G53" s="1" t="n">
        <v>0.027495861</v>
      </c>
      <c r="H53" s="1" t="n">
        <v>0.021921158</v>
      </c>
      <c r="I53" s="1" t="n">
        <v>0.024910927</v>
      </c>
      <c r="J53" s="1" t="n">
        <v>0.023148298</v>
      </c>
      <c r="K53" s="1" t="n">
        <v>0.023204088</v>
      </c>
      <c r="L53" s="1" t="n">
        <v>0.023096323</v>
      </c>
      <c r="M53" s="1" t="n">
        <v>0.023330688</v>
      </c>
      <c r="N53" s="1" t="n">
        <v>0.023177385</v>
      </c>
      <c r="O53" s="1" t="n">
        <v>0.023145437</v>
      </c>
      <c r="P53" s="1" t="n">
        <v>0.023457289</v>
      </c>
      <c r="R53" s="1" t="n">
        <f aca="false">PERCENTILE(G53:P53,0.9)</f>
        <v>0.0251694204</v>
      </c>
      <c r="S53" s="5" t="n">
        <f aca="false">spmv_1!R$6/R53</f>
        <v>6.68408759225938</v>
      </c>
      <c r="T53" s="6" t="n">
        <f aca="false">S53/32</f>
        <v>0.208877737258106</v>
      </c>
    </row>
    <row r="54" customFormat="false" ht="15" hidden="false" customHeight="false" outlineLevel="0" collapsed="false">
      <c r="A54" s="1" t="s">
        <v>16</v>
      </c>
      <c r="B54" s="1" t="n">
        <v>17</v>
      </c>
      <c r="D54" s="1" t="n">
        <v>3465394</v>
      </c>
      <c r="E54" s="1" t="n">
        <v>0.295851</v>
      </c>
      <c r="G54" s="1" t="n">
        <v>0.027300596</v>
      </c>
      <c r="H54" s="1" t="n">
        <v>0.021741867</v>
      </c>
      <c r="I54" s="1" t="n">
        <v>0.0245471</v>
      </c>
      <c r="J54" s="1" t="n">
        <v>0.022885323</v>
      </c>
      <c r="K54" s="1" t="n">
        <v>0.022812366</v>
      </c>
      <c r="L54" s="1" t="n">
        <v>0.022806168</v>
      </c>
      <c r="M54" s="1" t="n">
        <v>0.023013115</v>
      </c>
      <c r="N54" s="1" t="n">
        <v>0.023056984</v>
      </c>
      <c r="O54" s="1" t="n">
        <v>0.022919178</v>
      </c>
      <c r="P54" s="1" t="n">
        <v>0.023183107</v>
      </c>
      <c r="R54" s="1" t="n">
        <f aca="false">PERCENTILE(G54:P54,0.9)</f>
        <v>0.0248224496</v>
      </c>
      <c r="S54" s="5" t="n">
        <f aca="false">spmv_1!R$6/R54</f>
        <v>6.77751846860432</v>
      </c>
      <c r="T54" s="6" t="n">
        <f aca="false">S54/32</f>
        <v>0.211797452143885</v>
      </c>
    </row>
    <row r="55" customFormat="false" ht="15" hidden="false" customHeight="false" outlineLevel="0" collapsed="false">
      <c r="A55" s="1" t="s">
        <v>16</v>
      </c>
      <c r="B55" s="1" t="n">
        <v>18</v>
      </c>
      <c r="D55" s="1" t="n">
        <v>3464752</v>
      </c>
      <c r="E55" s="1" t="n">
        <v>0.335886</v>
      </c>
      <c r="G55" s="1" t="n">
        <v>0.025556803</v>
      </c>
      <c r="H55" s="1" t="n">
        <v>0.019142389</v>
      </c>
      <c r="I55" s="1" t="n">
        <v>0.021957636</v>
      </c>
      <c r="J55" s="1" t="n">
        <v>0.019857883</v>
      </c>
      <c r="K55" s="1" t="n">
        <v>0.019774675</v>
      </c>
      <c r="L55" s="1" t="n">
        <v>0.019856453</v>
      </c>
      <c r="M55" s="1" t="n">
        <v>0.020325422</v>
      </c>
      <c r="N55" s="1" t="n">
        <v>0.019907236</v>
      </c>
      <c r="O55" s="1" t="n">
        <v>0.019906521</v>
      </c>
      <c r="P55" s="1" t="n">
        <v>0.020020485</v>
      </c>
      <c r="R55" s="1" t="n">
        <f aca="false">PERCENTILE(G55:P55,0.9)</f>
        <v>0.0223175527</v>
      </c>
      <c r="S55" s="5" t="n">
        <f aca="false">spmv_1!R$6/R55</f>
        <v>7.53821948407453</v>
      </c>
      <c r="T55" s="6" t="n">
        <f aca="false">S55/32</f>
        <v>0.235569358877329</v>
      </c>
    </row>
    <row r="56" customFormat="false" ht="15" hidden="false" customHeight="false" outlineLevel="0" collapsed="false">
      <c r="A56" s="1" t="s">
        <v>16</v>
      </c>
      <c r="B56" s="1" t="n">
        <v>19</v>
      </c>
      <c r="D56" s="1" t="n">
        <v>3464720</v>
      </c>
      <c r="E56" s="1" t="n">
        <v>0.302927</v>
      </c>
      <c r="G56" s="1" t="n">
        <v>0.026808977</v>
      </c>
      <c r="H56" s="1" t="n">
        <v>0.021392107</v>
      </c>
      <c r="I56" s="1" t="n">
        <v>0.024086237</v>
      </c>
      <c r="J56" s="1" t="n">
        <v>0.022183657</v>
      </c>
      <c r="K56" s="1" t="n">
        <v>0.022207975</v>
      </c>
      <c r="L56" s="1" t="n">
        <v>0.022188663</v>
      </c>
      <c r="M56" s="1" t="n">
        <v>0.022497892</v>
      </c>
      <c r="N56" s="1" t="n">
        <v>0.022344351</v>
      </c>
      <c r="O56" s="1" t="n">
        <v>0.022302866</v>
      </c>
      <c r="P56" s="1" t="n">
        <v>0.022736549</v>
      </c>
      <c r="R56" s="1" t="n">
        <f aca="false">PERCENTILE(G56:P56,0.9)</f>
        <v>0.024358511</v>
      </c>
      <c r="S56" s="5" t="n">
        <f aca="false">spmv_1!R$6/R56</f>
        <v>6.90660486595425</v>
      </c>
      <c r="T56" s="6" t="n">
        <f aca="false">S56/32</f>
        <v>0.21583140206107</v>
      </c>
    </row>
    <row r="57" customFormat="false" ht="15" hidden="false" customHeight="false" outlineLevel="0" collapsed="false">
      <c r="A57" s="1" t="s">
        <v>16</v>
      </c>
      <c r="B57" s="1" t="n">
        <v>20</v>
      </c>
      <c r="D57" s="1" t="n">
        <v>3464336</v>
      </c>
      <c r="E57" s="1" t="n">
        <v>0.308008</v>
      </c>
      <c r="G57" s="1" t="n">
        <v>0.026592493</v>
      </c>
      <c r="H57" s="1" t="n">
        <v>0.021006823</v>
      </c>
      <c r="I57" s="1" t="n">
        <v>0.023793936</v>
      </c>
      <c r="J57" s="1" t="n">
        <v>0.02182889</v>
      </c>
      <c r="K57" s="1" t="n">
        <v>0.021928072</v>
      </c>
      <c r="L57" s="1" t="n">
        <v>0.021843672</v>
      </c>
      <c r="M57" s="1" t="n">
        <v>0.021826744</v>
      </c>
      <c r="N57" s="1" t="n">
        <v>0.021915197</v>
      </c>
      <c r="O57" s="1" t="n">
        <v>0.0219028</v>
      </c>
      <c r="P57" s="1" t="n">
        <v>0.022312164</v>
      </c>
      <c r="R57" s="1" t="n">
        <f aca="false">PERCENTILE(G57:P57,0.9)</f>
        <v>0.0240737917</v>
      </c>
      <c r="S57" s="5" t="n">
        <f aca="false">spmv_1!R$6/R57</f>
        <v>6.98828887017412</v>
      </c>
      <c r="T57" s="6" t="n">
        <f aca="false">S57/32</f>
        <v>0.218384027192941</v>
      </c>
    </row>
    <row r="58" customFormat="false" ht="15" hidden="false" customHeight="false" outlineLevel="0" collapsed="false">
      <c r="A58" s="1" t="s">
        <v>16</v>
      </c>
      <c r="B58" s="1" t="n">
        <v>21</v>
      </c>
      <c r="D58" s="1" t="n">
        <v>3464336</v>
      </c>
      <c r="E58" s="1" t="n">
        <v>0.314647</v>
      </c>
      <c r="G58" s="1" t="n">
        <v>0.02634263</v>
      </c>
      <c r="H58" s="1" t="n">
        <v>0.020469427</v>
      </c>
      <c r="I58" s="1" t="n">
        <v>0.023535252</v>
      </c>
      <c r="J58" s="1" t="n">
        <v>0.021493912</v>
      </c>
      <c r="K58" s="1" t="n">
        <v>0.021171808</v>
      </c>
      <c r="L58" s="1" t="n">
        <v>0.021076441</v>
      </c>
      <c r="M58" s="1" t="n">
        <v>0.021366119</v>
      </c>
      <c r="N58" s="1" t="n">
        <v>0.021423817</v>
      </c>
      <c r="O58" s="1" t="n">
        <v>0.021408319</v>
      </c>
      <c r="P58" s="1" t="n">
        <v>0.021916628</v>
      </c>
      <c r="R58" s="1" t="n">
        <f aca="false">PERCENTILE(G58:P58,0.9)</f>
        <v>0.0238159898</v>
      </c>
      <c r="S58" s="5" t="n">
        <f aca="false">spmv_1!R$6/R58</f>
        <v>7.06393528099344</v>
      </c>
      <c r="T58" s="6" t="n">
        <f aca="false">S58/32</f>
        <v>0.220747977531045</v>
      </c>
    </row>
    <row r="59" customFormat="false" ht="15" hidden="false" customHeight="false" outlineLevel="0" collapsed="false">
      <c r="A59" s="1" t="s">
        <v>16</v>
      </c>
      <c r="B59" s="1" t="n">
        <v>22</v>
      </c>
      <c r="D59" s="1" t="n">
        <v>3465402</v>
      </c>
      <c r="E59" s="1" t="n">
        <v>0.322471</v>
      </c>
      <c r="G59" s="1" t="n">
        <v>0.026000738</v>
      </c>
      <c r="H59" s="1" t="n">
        <v>0.020087719</v>
      </c>
      <c r="I59" s="1" t="n">
        <v>0.022935867</v>
      </c>
      <c r="J59" s="1" t="n">
        <v>0.020847321</v>
      </c>
      <c r="K59" s="1" t="n">
        <v>0.020792961</v>
      </c>
      <c r="L59" s="1" t="n">
        <v>0.020590544</v>
      </c>
      <c r="M59" s="1" t="n">
        <v>0.020785093</v>
      </c>
      <c r="N59" s="1" t="n">
        <v>0.020914316</v>
      </c>
      <c r="O59" s="1" t="n">
        <v>0.020843267</v>
      </c>
      <c r="P59" s="1" t="n">
        <v>0.021130085</v>
      </c>
      <c r="R59" s="1" t="n">
        <f aca="false">PERCENTILE(G59:P59,0.9)</f>
        <v>0.0232423541</v>
      </c>
      <c r="S59" s="5" t="n">
        <f aca="false">spmv_1!R$6/R59</f>
        <v>7.23827758049689</v>
      </c>
      <c r="T59" s="6" t="n">
        <f aca="false">S59/32</f>
        <v>0.226196174390528</v>
      </c>
    </row>
    <row r="60" customFormat="false" ht="15" hidden="false" customHeight="false" outlineLevel="0" collapsed="false">
      <c r="A60" s="1" t="s">
        <v>16</v>
      </c>
      <c r="B60" s="1" t="n">
        <v>23</v>
      </c>
      <c r="D60" s="1" t="n">
        <v>3465402</v>
      </c>
      <c r="E60" s="1" t="n">
        <v>0.317352</v>
      </c>
      <c r="G60" s="1" t="n">
        <v>0.025717735</v>
      </c>
      <c r="H60" s="1" t="n">
        <v>0.021094084</v>
      </c>
      <c r="I60" s="1" t="n">
        <v>0.022055387</v>
      </c>
      <c r="J60" s="1" t="n">
        <v>0.021314144</v>
      </c>
      <c r="K60" s="1" t="n">
        <v>0.021483183</v>
      </c>
      <c r="L60" s="1" t="n">
        <v>0.021534443</v>
      </c>
      <c r="M60" s="1" t="n">
        <v>0.020883322</v>
      </c>
      <c r="N60" s="1" t="n">
        <v>0.021546125</v>
      </c>
      <c r="O60" s="1" t="n">
        <v>0.02142024</v>
      </c>
      <c r="P60" s="1" t="n">
        <v>0.021346092</v>
      </c>
      <c r="R60" s="1" t="n">
        <f aca="false">PERCENTILE(G60:P60,0.9)</f>
        <v>0.0224216218</v>
      </c>
      <c r="S60" s="5" t="n">
        <f aca="false">spmv_1!R$6/R60</f>
        <v>7.50323112666186</v>
      </c>
      <c r="T60" s="6" t="n">
        <f aca="false">S60/32</f>
        <v>0.234475972708183</v>
      </c>
    </row>
    <row r="61" customFormat="false" ht="15" hidden="false" customHeight="false" outlineLevel="0" collapsed="false">
      <c r="A61" s="1" t="s">
        <v>16</v>
      </c>
      <c r="B61" s="1" t="n">
        <v>24</v>
      </c>
      <c r="D61" s="1" t="n">
        <v>3465624</v>
      </c>
      <c r="E61" s="1" t="n">
        <v>0.360495</v>
      </c>
      <c r="G61" s="1" t="n">
        <v>0.023662567</v>
      </c>
      <c r="H61" s="1" t="n">
        <v>0.018769979</v>
      </c>
      <c r="I61" s="1" t="n">
        <v>0.019163847</v>
      </c>
      <c r="J61" s="1" t="n">
        <v>0.018580675</v>
      </c>
      <c r="K61" s="1" t="n">
        <v>0.018738508</v>
      </c>
      <c r="L61" s="1" t="n">
        <v>0.018765211</v>
      </c>
      <c r="M61" s="1" t="n">
        <v>0.018558979</v>
      </c>
      <c r="N61" s="1" t="n">
        <v>0.018756866</v>
      </c>
      <c r="O61" s="1" t="n">
        <v>0.018777609</v>
      </c>
      <c r="P61" s="1" t="n">
        <v>0.018496275</v>
      </c>
      <c r="R61" s="1" t="n">
        <f aca="false">PERCENTILE(G61:P61,0.9)</f>
        <v>0.019613719</v>
      </c>
      <c r="S61" s="5" t="n">
        <f aca="false">spmv_1!R$6/R61</f>
        <v>8.57739476128928</v>
      </c>
      <c r="T61" s="6" t="n">
        <f aca="false">S61/32</f>
        <v>0.26804358629029</v>
      </c>
    </row>
    <row r="62" customFormat="false" ht="15" hidden="false" customHeight="false" outlineLevel="0" collapsed="false">
      <c r="A62" s="1" t="s">
        <v>16</v>
      </c>
      <c r="B62" s="1" t="n">
        <v>25</v>
      </c>
      <c r="D62" s="1" t="n">
        <v>3465624</v>
      </c>
      <c r="E62" s="1" t="n">
        <v>0.348362</v>
      </c>
      <c r="G62" s="1" t="n">
        <v>0.023295403</v>
      </c>
      <c r="H62" s="1" t="n">
        <v>0.019612312</v>
      </c>
      <c r="I62" s="1" t="n">
        <v>0.019607782</v>
      </c>
      <c r="J62" s="1" t="n">
        <v>0.019410372</v>
      </c>
      <c r="K62" s="1" t="n">
        <v>0.019569874</v>
      </c>
      <c r="L62" s="1" t="n">
        <v>0.019613743</v>
      </c>
      <c r="M62" s="1" t="n">
        <v>0.019328833</v>
      </c>
      <c r="N62" s="1" t="n">
        <v>0.019601345</v>
      </c>
      <c r="O62" s="1" t="n">
        <v>0.019572735</v>
      </c>
      <c r="P62" s="1" t="n">
        <v>0.019354582</v>
      </c>
      <c r="R62" s="1" t="n">
        <f aca="false">PERCENTILE(G62:P62,0.9)</f>
        <v>0.019981909</v>
      </c>
      <c r="S62" s="5" t="n">
        <f aca="false">spmv_1!R$6/R62</f>
        <v>8.41934624965012</v>
      </c>
      <c r="T62" s="6" t="n">
        <f aca="false">S62/32</f>
        <v>0.263104570301566</v>
      </c>
    </row>
    <row r="63" customFormat="false" ht="15" hidden="false" customHeight="false" outlineLevel="0" collapsed="false">
      <c r="A63" s="1" t="s">
        <v>16</v>
      </c>
      <c r="B63" s="1" t="n">
        <v>26</v>
      </c>
      <c r="D63" s="1" t="n">
        <v>3465222</v>
      </c>
      <c r="E63" s="1" t="n">
        <v>0.306624</v>
      </c>
      <c r="G63" s="1" t="n">
        <v>0.025033474</v>
      </c>
      <c r="H63" s="1" t="n">
        <v>0.021995068</v>
      </c>
      <c r="I63" s="1" t="n">
        <v>0.02227664</v>
      </c>
      <c r="J63" s="1" t="n">
        <v>0.022300482</v>
      </c>
      <c r="K63" s="1" t="n">
        <v>0.022493839</v>
      </c>
      <c r="L63" s="1" t="n">
        <v>0.022410154</v>
      </c>
      <c r="M63" s="1" t="n">
        <v>0.022122145</v>
      </c>
      <c r="N63" s="1" t="n">
        <v>0.022531509</v>
      </c>
      <c r="O63" s="1" t="n">
        <v>0.022325277</v>
      </c>
      <c r="P63" s="1" t="n">
        <v>0.022535801</v>
      </c>
      <c r="R63" s="1" t="n">
        <f aca="false">PERCENTILE(G63:P63,0.9)</f>
        <v>0.0227855683</v>
      </c>
      <c r="S63" s="5" t="n">
        <f aca="false">spmv_1!R$6/R63</f>
        <v>7.3833844469001</v>
      </c>
      <c r="T63" s="6" t="n">
        <f aca="false">S63/32</f>
        <v>0.230730763965628</v>
      </c>
    </row>
    <row r="64" customFormat="false" ht="15" hidden="false" customHeight="false" outlineLevel="0" collapsed="false">
      <c r="A64" s="1" t="s">
        <v>16</v>
      </c>
      <c r="B64" s="1" t="n">
        <v>27</v>
      </c>
      <c r="D64" s="1" t="n">
        <v>3465222</v>
      </c>
      <c r="E64" s="1" t="n">
        <v>0.299419</v>
      </c>
      <c r="G64" s="1" t="n">
        <v>0.024521589</v>
      </c>
      <c r="H64" s="1" t="n">
        <v>0.022493362</v>
      </c>
      <c r="I64" s="1" t="n">
        <v>0.023384333</v>
      </c>
      <c r="J64" s="1" t="n">
        <v>0.022976875</v>
      </c>
      <c r="K64" s="1" t="n">
        <v>0.02306366</v>
      </c>
      <c r="L64" s="1" t="n">
        <v>0.023085594</v>
      </c>
      <c r="M64" s="1" t="n">
        <v>0.022835016</v>
      </c>
      <c r="N64" s="1" t="n">
        <v>0.023085833</v>
      </c>
      <c r="O64" s="1" t="n">
        <v>0.022924185</v>
      </c>
      <c r="P64" s="1" t="n">
        <v>0.023092508</v>
      </c>
      <c r="R64" s="1" t="n">
        <f aca="false">PERCENTILE(G64:P64,0.9)</f>
        <v>0.0234980586</v>
      </c>
      <c r="S64" s="5" t="n">
        <f aca="false">spmv_1!R$6/R64</f>
        <v>7.15951106701215</v>
      </c>
      <c r="T64" s="6" t="n">
        <f aca="false">S64/32</f>
        <v>0.22373472084413</v>
      </c>
    </row>
    <row r="65" customFormat="false" ht="15" hidden="false" customHeight="false" outlineLevel="0" collapsed="false">
      <c r="A65" s="1" t="s">
        <v>16</v>
      </c>
      <c r="B65" s="1" t="n">
        <v>28</v>
      </c>
      <c r="D65" s="1" t="n">
        <v>3464924</v>
      </c>
      <c r="E65" s="1" t="n">
        <v>0.299501</v>
      </c>
      <c r="G65" s="1" t="n">
        <v>0.023916245</v>
      </c>
      <c r="H65" s="1" t="n">
        <v>0.022630215</v>
      </c>
      <c r="I65" s="1" t="n">
        <v>0.023477793</v>
      </c>
      <c r="J65" s="1" t="n">
        <v>0.022968292</v>
      </c>
      <c r="K65" s="1" t="n">
        <v>0.023101568</v>
      </c>
      <c r="L65" s="1" t="n">
        <v>0.02304697</v>
      </c>
      <c r="M65" s="1" t="n">
        <v>0.022892952</v>
      </c>
      <c r="N65" s="1" t="n">
        <v>0.023099184</v>
      </c>
      <c r="O65" s="1" t="n">
        <v>0.023093462</v>
      </c>
      <c r="P65" s="1" t="n">
        <v>0.023152828</v>
      </c>
      <c r="R65" s="1" t="n">
        <f aca="false">PERCENTILE(G65:P65,0.9)</f>
        <v>0.0235216382</v>
      </c>
      <c r="S65" s="5" t="n">
        <f aca="false">spmv_1!R$6/R65</f>
        <v>7.15233391354519</v>
      </c>
      <c r="T65" s="6" t="n">
        <f aca="false">S65/32</f>
        <v>0.223510434798287</v>
      </c>
    </row>
    <row r="66" customFormat="false" ht="15" hidden="false" customHeight="false" outlineLevel="0" collapsed="false">
      <c r="A66" s="1" t="s">
        <v>16</v>
      </c>
      <c r="B66" s="1" t="n">
        <v>29</v>
      </c>
      <c r="D66" s="1" t="n">
        <v>3464924</v>
      </c>
      <c r="E66" s="1" t="n">
        <v>0.325606</v>
      </c>
      <c r="G66" s="1" t="n">
        <v>0.021840334</v>
      </c>
      <c r="H66" s="1" t="n">
        <v>0.021174669</v>
      </c>
      <c r="I66" s="1" t="n">
        <v>0.021503687</v>
      </c>
      <c r="J66" s="1" t="n">
        <v>0.021108627</v>
      </c>
      <c r="K66" s="1" t="n">
        <v>0.021242142</v>
      </c>
      <c r="L66" s="1" t="n">
        <v>0.021206856</v>
      </c>
      <c r="M66" s="1" t="n">
        <v>0.021239996</v>
      </c>
      <c r="N66" s="1" t="n">
        <v>0.021369457</v>
      </c>
      <c r="O66" s="1" t="n">
        <v>0.021131277</v>
      </c>
      <c r="P66" s="1" t="n">
        <v>0.021012068</v>
      </c>
      <c r="R66" s="1" t="n">
        <f aca="false">PERCENTILE(G66:P66,0.9)</f>
        <v>0.0215373517</v>
      </c>
      <c r="S66" s="5" t="n">
        <f aca="false">spmv_1!R$6/R66</f>
        <v>7.81129513708967</v>
      </c>
      <c r="T66" s="6" t="n">
        <f aca="false">S66/32</f>
        <v>0.244102973034052</v>
      </c>
    </row>
    <row r="67" customFormat="false" ht="15" hidden="false" customHeight="false" outlineLevel="0" collapsed="false">
      <c r="A67" s="1" t="s">
        <v>16</v>
      </c>
      <c r="B67" s="1" t="n">
        <v>30</v>
      </c>
      <c r="D67" s="1" t="n">
        <v>3464170</v>
      </c>
      <c r="E67" s="1" t="n">
        <v>0.333484</v>
      </c>
      <c r="G67" s="1" t="n">
        <v>0.020973682</v>
      </c>
      <c r="H67" s="1" t="n">
        <v>0.020627975</v>
      </c>
      <c r="I67" s="1" t="n">
        <v>0.020949602</v>
      </c>
      <c r="J67" s="1" t="n">
        <v>0.020718575</v>
      </c>
      <c r="K67" s="1" t="n">
        <v>0.020802259</v>
      </c>
      <c r="L67" s="1" t="n">
        <v>0.020792961</v>
      </c>
      <c r="M67" s="1" t="n">
        <v>0.020787001</v>
      </c>
      <c r="N67" s="1" t="n">
        <v>0.020804405</v>
      </c>
      <c r="O67" s="1" t="n">
        <v>0.020694256</v>
      </c>
      <c r="P67" s="1" t="n">
        <v>0.020605326</v>
      </c>
      <c r="R67" s="1" t="n">
        <f aca="false">PERCENTILE(G67:P67,0.9)</f>
        <v>0.02095201</v>
      </c>
      <c r="S67" s="5" t="n">
        <f aca="false">spmv_1!R$6/R67</f>
        <v>8.02952130129759</v>
      </c>
      <c r="T67" s="6" t="n">
        <f aca="false">S67/32</f>
        <v>0.25092254066555</v>
      </c>
    </row>
    <row r="68" customFormat="false" ht="15" hidden="false" customHeight="false" outlineLevel="0" collapsed="false">
      <c r="A68" s="1" t="s">
        <v>16</v>
      </c>
      <c r="B68" s="1" t="n">
        <v>31</v>
      </c>
      <c r="D68" s="1" t="n">
        <v>3464170</v>
      </c>
      <c r="E68" s="1" t="n">
        <v>0.295281</v>
      </c>
      <c r="G68" s="1" t="n">
        <v>0.023332596</v>
      </c>
      <c r="H68" s="1" t="n">
        <v>0.023006439</v>
      </c>
      <c r="I68" s="1" t="n">
        <v>0.024050236</v>
      </c>
      <c r="J68" s="1" t="n">
        <v>0.023318768</v>
      </c>
      <c r="K68" s="1" t="n">
        <v>0.023490191</v>
      </c>
      <c r="L68" s="1" t="n">
        <v>0.023505926</v>
      </c>
      <c r="M68" s="1" t="n">
        <v>0.023433447</v>
      </c>
      <c r="N68" s="1" t="n">
        <v>0.023470879</v>
      </c>
      <c r="O68" s="1" t="n">
        <v>0.023440361</v>
      </c>
      <c r="P68" s="1" t="n">
        <v>0.023586512</v>
      </c>
      <c r="R68" s="1" t="n">
        <f aca="false">PERCENTILE(G68:P68,0.9)</f>
        <v>0.0236328844</v>
      </c>
      <c r="S68" s="5" t="n">
        <f aca="false">spmv_1!R$6/R68</f>
        <v>7.11866599745226</v>
      </c>
      <c r="T68" s="6" t="n">
        <f aca="false">S68/32</f>
        <v>0.222458312420383</v>
      </c>
    </row>
    <row r="71" customFormat="false" ht="15" hidden="false" customHeight="false" outlineLevel="0" collapsed="false">
      <c r="A71" s="2" t="s">
        <v>0</v>
      </c>
      <c r="B71" s="2" t="s">
        <v>1</v>
      </c>
      <c r="C71" s="3"/>
      <c r="D71" s="2" t="s">
        <v>2</v>
      </c>
      <c r="E71" s="2" t="s">
        <v>3</v>
      </c>
      <c r="F71" s="3"/>
      <c r="G71" s="2" t="s">
        <v>4</v>
      </c>
      <c r="H71" s="2" t="s">
        <v>5</v>
      </c>
      <c r="I71" s="2" t="s">
        <v>6</v>
      </c>
      <c r="J71" s="2" t="s">
        <v>7</v>
      </c>
      <c r="K71" s="2" t="s">
        <v>8</v>
      </c>
      <c r="L71" s="2" t="s">
        <v>9</v>
      </c>
      <c r="M71" s="2" t="s">
        <v>10</v>
      </c>
      <c r="N71" s="2" t="s">
        <v>11</v>
      </c>
      <c r="O71" s="2" t="s">
        <v>12</v>
      </c>
      <c r="P71" s="2" t="s">
        <v>13</v>
      </c>
      <c r="R71" s="4" t="s">
        <v>14</v>
      </c>
      <c r="S71" s="7" t="s">
        <v>20</v>
      </c>
      <c r="T71" s="8" t="s">
        <v>21</v>
      </c>
    </row>
    <row r="72" customFormat="false" ht="15" hidden="false" customHeight="false" outlineLevel="0" collapsed="false">
      <c r="A72" s="1" t="s">
        <v>17</v>
      </c>
      <c r="B72" s="1" t="n">
        <v>0</v>
      </c>
      <c r="D72" s="1" t="n">
        <v>633662</v>
      </c>
      <c r="E72" s="1" t="n">
        <v>0.227785</v>
      </c>
      <c r="G72" s="1" t="n">
        <v>0.008286715</v>
      </c>
      <c r="H72" s="1" t="n">
        <v>0.006331682</v>
      </c>
      <c r="I72" s="1" t="n">
        <v>0.006661415</v>
      </c>
      <c r="J72" s="1" t="n">
        <v>0.005061865</v>
      </c>
      <c r="K72" s="1" t="n">
        <v>0.004804611</v>
      </c>
      <c r="L72" s="1" t="n">
        <v>0.004809856</v>
      </c>
      <c r="M72" s="1" t="n">
        <v>0.004789829</v>
      </c>
      <c r="N72" s="1" t="n">
        <v>0.004846573</v>
      </c>
      <c r="O72" s="1" t="n">
        <v>0.004912138</v>
      </c>
      <c r="P72" s="1" t="n">
        <v>0.005132198</v>
      </c>
      <c r="R72" s="1" t="n">
        <f aca="false">PERCENTILE(G72:P72,0.9)</f>
        <v>0.006823945</v>
      </c>
      <c r="S72" s="5" t="n">
        <f aca="false">spmv_1!R$10/R72</f>
        <v>5.13364693003827</v>
      </c>
      <c r="T72" s="6" t="n">
        <f aca="false">S72/32</f>
        <v>0.160426466563696</v>
      </c>
    </row>
    <row r="73" customFormat="false" ht="15" hidden="false" customHeight="false" outlineLevel="0" collapsed="false">
      <c r="A73" s="1" t="s">
        <v>17</v>
      </c>
      <c r="B73" s="1" t="n">
        <v>1</v>
      </c>
      <c r="D73" s="1" t="n">
        <v>633672</v>
      </c>
      <c r="E73" s="1" t="n">
        <v>0.192063</v>
      </c>
      <c r="G73" s="1" t="n">
        <v>0.009399176</v>
      </c>
      <c r="H73" s="1" t="n">
        <v>0.007171154</v>
      </c>
      <c r="I73" s="1" t="n">
        <v>0.007662058</v>
      </c>
      <c r="J73" s="1" t="n">
        <v>0.006048679</v>
      </c>
      <c r="K73" s="1" t="n">
        <v>0.005916119</v>
      </c>
      <c r="L73" s="1" t="n">
        <v>0.005842686</v>
      </c>
      <c r="M73" s="1" t="n">
        <v>0.005843878</v>
      </c>
      <c r="N73" s="1" t="n">
        <v>0.005857706</v>
      </c>
      <c r="O73" s="1" t="n">
        <v>0.006007433</v>
      </c>
      <c r="P73" s="1" t="n">
        <v>0.00623703</v>
      </c>
      <c r="R73" s="1" t="n">
        <f aca="false">PERCENTILE(G73:P73,0.9)</f>
        <v>0.0078357698</v>
      </c>
      <c r="S73" s="5" t="n">
        <f aca="false">spmv_1!R$10/R73</f>
        <v>4.47074444427911</v>
      </c>
      <c r="T73" s="6" t="n">
        <f aca="false">S73/32</f>
        <v>0.139710763883722</v>
      </c>
    </row>
    <row r="74" customFormat="false" ht="15" hidden="false" customHeight="false" outlineLevel="0" collapsed="false">
      <c r="A74" s="1" t="s">
        <v>17</v>
      </c>
      <c r="B74" s="1" t="n">
        <v>2</v>
      </c>
      <c r="D74" s="1" t="n">
        <v>632774</v>
      </c>
      <c r="E74" s="1" t="n">
        <v>0.187752</v>
      </c>
      <c r="G74" s="1" t="n">
        <v>0.009730339</v>
      </c>
      <c r="H74" s="1" t="n">
        <v>0.007339478</v>
      </c>
      <c r="I74" s="1" t="n">
        <v>0.007738113</v>
      </c>
      <c r="J74" s="1" t="n">
        <v>0.006178617</v>
      </c>
      <c r="K74" s="1" t="n">
        <v>0.006119967</v>
      </c>
      <c r="L74" s="1" t="n">
        <v>0.005945444</v>
      </c>
      <c r="M74" s="1" t="n">
        <v>0.005950451</v>
      </c>
      <c r="N74" s="1" t="n">
        <v>0.005947351</v>
      </c>
      <c r="O74" s="1" t="n">
        <v>0.006011963</v>
      </c>
      <c r="P74" s="1" t="n">
        <v>0.006443501</v>
      </c>
      <c r="R74" s="1" t="n">
        <f aca="false">PERCENTILE(G74:P74,0.9)</f>
        <v>0.0079373356</v>
      </c>
      <c r="S74" s="5" t="n">
        <f aca="false">spmv_1!R$10/R74</f>
        <v>4.41353699344652</v>
      </c>
      <c r="T74" s="6" t="n">
        <f aca="false">S74/32</f>
        <v>0.137923031045204</v>
      </c>
    </row>
    <row r="75" customFormat="false" ht="15" hidden="false" customHeight="false" outlineLevel="0" collapsed="false">
      <c r="A75" s="1" t="s">
        <v>17</v>
      </c>
      <c r="B75" s="1" t="n">
        <v>3</v>
      </c>
      <c r="D75" s="1" t="n">
        <v>633655</v>
      </c>
      <c r="E75" s="1" t="n">
        <v>0.18707</v>
      </c>
      <c r="G75" s="1" t="n">
        <v>0.009932518</v>
      </c>
      <c r="H75" s="1" t="n">
        <v>0.007344007</v>
      </c>
      <c r="I75" s="1" t="n">
        <v>0.007789373</v>
      </c>
      <c r="J75" s="1" t="n">
        <v>0.006165743</v>
      </c>
      <c r="K75" s="1" t="n">
        <v>0.006127119</v>
      </c>
      <c r="L75" s="1" t="n">
        <v>0.005977869</v>
      </c>
      <c r="M75" s="1" t="n">
        <v>0.005960226</v>
      </c>
      <c r="N75" s="1" t="n">
        <v>0.005958796</v>
      </c>
      <c r="O75" s="1" t="n">
        <v>0.006031036</v>
      </c>
      <c r="P75" s="1" t="n">
        <v>0.006458521</v>
      </c>
      <c r="R75" s="1" t="n">
        <f aca="false">PERCENTILE(G75:P75,0.9)</f>
        <v>0.0080036875</v>
      </c>
      <c r="S75" s="5" t="n">
        <f aca="false">spmv_1!R$10/R75</f>
        <v>4.37694803801373</v>
      </c>
      <c r="T75" s="6" t="n">
        <f aca="false">S75/32</f>
        <v>0.136779626187929</v>
      </c>
    </row>
    <row r="76" customFormat="false" ht="15" hidden="false" customHeight="false" outlineLevel="0" collapsed="false">
      <c r="A76" s="1" t="s">
        <v>17</v>
      </c>
      <c r="B76" s="1" t="n">
        <v>4</v>
      </c>
      <c r="D76" s="1" t="n">
        <v>629153</v>
      </c>
      <c r="E76" s="1" t="n">
        <v>0.196807</v>
      </c>
      <c r="G76" s="1" t="n">
        <v>0.009148121</v>
      </c>
      <c r="H76" s="1" t="n">
        <v>0.007104874</v>
      </c>
      <c r="I76" s="1" t="n">
        <v>0.007245064</v>
      </c>
      <c r="J76" s="1" t="n">
        <v>0.005861998</v>
      </c>
      <c r="K76" s="1" t="n">
        <v>0.005882263</v>
      </c>
      <c r="L76" s="1" t="n">
        <v>0.005645275</v>
      </c>
      <c r="M76" s="1" t="n">
        <v>0.005640507</v>
      </c>
      <c r="N76" s="1" t="n">
        <v>0.005548954</v>
      </c>
      <c r="O76" s="1" t="n">
        <v>0.005753279</v>
      </c>
      <c r="P76" s="1" t="n">
        <v>0.006105661</v>
      </c>
      <c r="R76" s="1" t="n">
        <f aca="false">PERCENTILE(G76:P76,0.9)</f>
        <v>0.0074353697</v>
      </c>
      <c r="S76" s="5" t="n">
        <f aca="false">spmv_1!R$10/R76</f>
        <v>4.71149730456577</v>
      </c>
      <c r="T76" s="6" t="n">
        <f aca="false">S76/32</f>
        <v>0.14723429076768</v>
      </c>
    </row>
    <row r="77" customFormat="false" ht="15" hidden="false" customHeight="false" outlineLevel="0" collapsed="false">
      <c r="A77" s="1" t="s">
        <v>17</v>
      </c>
      <c r="B77" s="1" t="n">
        <v>5</v>
      </c>
      <c r="D77" s="1" t="n">
        <v>629935</v>
      </c>
      <c r="E77" s="1" t="n">
        <v>0.190578</v>
      </c>
      <c r="G77" s="1" t="n">
        <v>0.010015249</v>
      </c>
      <c r="H77" s="1" t="n">
        <v>0.007231951</v>
      </c>
      <c r="I77" s="1" t="n">
        <v>0.007456064</v>
      </c>
      <c r="J77" s="1" t="n">
        <v>0.005999088</v>
      </c>
      <c r="K77" s="1" t="n">
        <v>0.006040335</v>
      </c>
      <c r="L77" s="1" t="n">
        <v>0.005802393</v>
      </c>
      <c r="M77" s="1" t="n">
        <v>0.005812407</v>
      </c>
      <c r="N77" s="1" t="n">
        <v>0.00566268</v>
      </c>
      <c r="O77" s="1" t="n">
        <v>0.005818129</v>
      </c>
      <c r="P77" s="1" t="n">
        <v>0.006269693</v>
      </c>
      <c r="R77" s="1" t="n">
        <f aca="false">PERCENTILE(G77:P77,0.9)</f>
        <v>0.0077119825</v>
      </c>
      <c r="S77" s="5" t="n">
        <f aca="false">spmv_1!R$10/R77</f>
        <v>4.54250567866304</v>
      </c>
      <c r="T77" s="6" t="n">
        <f aca="false">S77/32</f>
        <v>0.14195330245822</v>
      </c>
    </row>
    <row r="78" customFormat="false" ht="15" hidden="false" customHeight="false" outlineLevel="0" collapsed="false">
      <c r="A78" s="1" t="s">
        <v>17</v>
      </c>
      <c r="B78" s="1" t="n">
        <v>6</v>
      </c>
      <c r="D78" s="1" t="n">
        <v>629646</v>
      </c>
      <c r="E78" s="1" t="n">
        <v>0.192262</v>
      </c>
      <c r="G78" s="1" t="n">
        <v>0.010082483</v>
      </c>
      <c r="H78" s="1" t="n">
        <v>0.007086754</v>
      </c>
      <c r="I78" s="1" t="n">
        <v>0.007221699</v>
      </c>
      <c r="J78" s="1" t="n">
        <v>0.005925417</v>
      </c>
      <c r="K78" s="1" t="n">
        <v>0.005926371</v>
      </c>
      <c r="L78" s="1" t="n">
        <v>0.00578618</v>
      </c>
      <c r="M78" s="1" t="n">
        <v>0.00579977</v>
      </c>
      <c r="N78" s="1" t="n">
        <v>0.00563097</v>
      </c>
      <c r="O78" s="1" t="n">
        <v>0.00579071</v>
      </c>
      <c r="P78" s="1" t="n">
        <v>0.006248474</v>
      </c>
      <c r="R78" s="1" t="n">
        <f aca="false">PERCENTILE(G78:P78,0.9)</f>
        <v>0.0075077774</v>
      </c>
      <c r="S78" s="5" t="n">
        <f aca="false">spmv_1!R$10/R78</f>
        <v>4.66605793347043</v>
      </c>
      <c r="T78" s="6" t="n">
        <f aca="false">S78/32</f>
        <v>0.145814310420951</v>
      </c>
    </row>
    <row r="79" customFormat="false" ht="15" hidden="false" customHeight="false" outlineLevel="0" collapsed="false">
      <c r="A79" s="1" t="s">
        <v>17</v>
      </c>
      <c r="B79" s="1" t="n">
        <v>7</v>
      </c>
      <c r="D79" s="1" t="n">
        <v>630566</v>
      </c>
      <c r="E79" s="1" t="n">
        <v>0.200573</v>
      </c>
      <c r="G79" s="1" t="n">
        <v>0.009457111</v>
      </c>
      <c r="H79" s="1" t="n">
        <v>0.00688076</v>
      </c>
      <c r="I79" s="1" t="n">
        <v>0.006973982</v>
      </c>
      <c r="J79" s="1" t="n">
        <v>0.005673409</v>
      </c>
      <c r="K79" s="1" t="n">
        <v>0.005719185</v>
      </c>
      <c r="L79" s="1" t="n">
        <v>0.005559444</v>
      </c>
      <c r="M79" s="1" t="n">
        <v>0.005563974</v>
      </c>
      <c r="N79" s="1" t="n">
        <v>0.005443811</v>
      </c>
      <c r="O79" s="1" t="n">
        <v>0.005609989</v>
      </c>
      <c r="P79" s="1" t="n">
        <v>0.005994797</v>
      </c>
      <c r="R79" s="1" t="n">
        <f aca="false">PERCENTILE(G79:P79,0.9)</f>
        <v>0.0072222949</v>
      </c>
      <c r="S79" s="5" t="n">
        <f aca="false">spmv_1!R$10/R79</f>
        <v>4.85049763060769</v>
      </c>
      <c r="T79" s="6" t="n">
        <f aca="false">S79/32</f>
        <v>0.15157805095649</v>
      </c>
    </row>
    <row r="80" customFormat="false" ht="15" hidden="false" customHeight="false" outlineLevel="0" collapsed="false">
      <c r="A80" s="1" t="s">
        <v>17</v>
      </c>
      <c r="B80" s="1" t="n">
        <v>8</v>
      </c>
      <c r="D80" s="1" t="n">
        <v>633998</v>
      </c>
      <c r="E80" s="1" t="n">
        <v>0.24531</v>
      </c>
      <c r="G80" s="1" t="n">
        <v>0.008658648</v>
      </c>
      <c r="H80" s="1" t="n">
        <v>0.005665779</v>
      </c>
      <c r="I80" s="1" t="n">
        <v>0.006279469</v>
      </c>
      <c r="J80" s="1" t="n">
        <v>0.004356861</v>
      </c>
      <c r="K80" s="1" t="n">
        <v>0.004386187</v>
      </c>
      <c r="L80" s="1" t="n">
        <v>0.004385948</v>
      </c>
      <c r="M80" s="1" t="n">
        <v>0.004354954</v>
      </c>
      <c r="N80" s="1" t="n">
        <v>0.004346848</v>
      </c>
      <c r="O80" s="1" t="n">
        <v>0.004491091</v>
      </c>
      <c r="P80" s="1" t="n">
        <v>0.004763842</v>
      </c>
      <c r="R80" s="1" t="n">
        <f aca="false">PERCENTILE(G80:P80,0.9)</f>
        <v>0.0065173869</v>
      </c>
      <c r="S80" s="5" t="n">
        <f aca="false">spmv_1!R$10/R80</f>
        <v>5.37511810139736</v>
      </c>
      <c r="T80" s="6" t="n">
        <f aca="false">S80/32</f>
        <v>0.167972440668667</v>
      </c>
    </row>
    <row r="81" customFormat="false" ht="15" hidden="false" customHeight="false" outlineLevel="0" collapsed="false">
      <c r="A81" s="1" t="s">
        <v>17</v>
      </c>
      <c r="B81" s="1" t="n">
        <v>9</v>
      </c>
      <c r="D81" s="1" t="n">
        <v>634978</v>
      </c>
      <c r="E81" s="1" t="n">
        <v>0.237118</v>
      </c>
      <c r="G81" s="1" t="n">
        <v>0.010519028</v>
      </c>
      <c r="H81" s="1" t="n">
        <v>0.005666256</v>
      </c>
      <c r="I81" s="1" t="n">
        <v>0.006269693</v>
      </c>
      <c r="J81" s="1" t="n">
        <v>0.004358768</v>
      </c>
      <c r="K81" s="1" t="n">
        <v>0.004383087</v>
      </c>
      <c r="L81" s="1" t="n">
        <v>0.004386425</v>
      </c>
      <c r="M81" s="1" t="n">
        <v>0.004362345</v>
      </c>
      <c r="N81" s="1" t="n">
        <v>0.004361868</v>
      </c>
      <c r="O81" s="1" t="n">
        <v>0.004497528</v>
      </c>
      <c r="P81" s="1" t="n">
        <v>0.004752874</v>
      </c>
      <c r="R81" s="1" t="n">
        <f aca="false">PERCENTILE(G81:P81,0.9)</f>
        <v>0.0066946265</v>
      </c>
      <c r="S81" s="5" t="n">
        <f aca="false">spmv_1!R$10/R81</f>
        <v>5.2328123607792</v>
      </c>
      <c r="T81" s="6" t="n">
        <f aca="false">S81/32</f>
        <v>0.16352538627435</v>
      </c>
    </row>
    <row r="82" customFormat="false" ht="15" hidden="false" customHeight="false" outlineLevel="0" collapsed="false">
      <c r="A82" s="1" t="s">
        <v>17</v>
      </c>
      <c r="B82" s="1" t="n">
        <v>10</v>
      </c>
      <c r="D82" s="1" t="n">
        <v>633758</v>
      </c>
      <c r="E82" s="1" t="n">
        <v>0.241637</v>
      </c>
      <c r="G82" s="1" t="n">
        <v>0.00871563</v>
      </c>
      <c r="H82" s="1" t="n">
        <v>0.005672216</v>
      </c>
      <c r="I82" s="1" t="n">
        <v>0.006277084</v>
      </c>
      <c r="J82" s="1" t="n">
        <v>0.004450083</v>
      </c>
      <c r="K82" s="1" t="n">
        <v>0.004466772</v>
      </c>
      <c r="L82" s="1" t="n">
        <v>0.004475594</v>
      </c>
      <c r="M82" s="1" t="n">
        <v>0.004475832</v>
      </c>
      <c r="N82" s="1" t="n">
        <v>0.004453421</v>
      </c>
      <c r="O82" s="1" t="n">
        <v>0.004601717</v>
      </c>
      <c r="P82" s="1" t="n">
        <v>0.004867077</v>
      </c>
      <c r="R82" s="1" t="n">
        <f aca="false">PERCENTILE(G82:P82,0.9)</f>
        <v>0.0065209386</v>
      </c>
      <c r="S82" s="5" t="n">
        <f aca="false">spmv_1!R$10/R82</f>
        <v>5.37219048497098</v>
      </c>
      <c r="T82" s="6" t="n">
        <f aca="false">S82/32</f>
        <v>0.167880952655343</v>
      </c>
    </row>
    <row r="83" customFormat="false" ht="15" hidden="false" customHeight="false" outlineLevel="0" collapsed="false">
      <c r="A83" s="1" t="s">
        <v>17</v>
      </c>
      <c r="B83" s="1" t="n">
        <v>11</v>
      </c>
      <c r="D83" s="1" t="n">
        <v>634593</v>
      </c>
      <c r="E83" s="1" t="n">
        <v>0.243579</v>
      </c>
      <c r="G83" s="1" t="n">
        <v>0.008641005</v>
      </c>
      <c r="H83" s="1" t="n">
        <v>0.005654335</v>
      </c>
      <c r="I83" s="1" t="n">
        <v>0.006325483</v>
      </c>
      <c r="J83" s="1" t="n">
        <v>0.00440979</v>
      </c>
      <c r="K83" s="1" t="n">
        <v>0.004542828</v>
      </c>
      <c r="L83" s="1" t="n">
        <v>0.004430771</v>
      </c>
      <c r="M83" s="1" t="n">
        <v>0.004423857</v>
      </c>
      <c r="N83" s="1" t="n">
        <v>0.004420519</v>
      </c>
      <c r="O83" s="1" t="n">
        <v>0.004461765</v>
      </c>
      <c r="P83" s="1" t="n">
        <v>0.004795313</v>
      </c>
      <c r="R83" s="1" t="n">
        <f aca="false">PERCENTILE(G83:P83,0.9)</f>
        <v>0.0065570352</v>
      </c>
      <c r="S83" s="5" t="n">
        <f aca="false">spmv_1!R$10/R83</f>
        <v>5.34261647703218</v>
      </c>
      <c r="T83" s="6" t="n">
        <f aca="false">S83/32</f>
        <v>0.166956764907256</v>
      </c>
    </row>
    <row r="84" customFormat="false" ht="15" hidden="false" customHeight="false" outlineLevel="0" collapsed="false">
      <c r="A84" s="1" t="s">
        <v>17</v>
      </c>
      <c r="B84" s="1" t="n">
        <v>12</v>
      </c>
      <c r="D84" s="1" t="n">
        <v>630045</v>
      </c>
      <c r="E84" s="1" t="n">
        <v>0.242667</v>
      </c>
      <c r="G84" s="1" t="n">
        <v>0.0085814</v>
      </c>
      <c r="H84" s="1" t="n">
        <v>0.005541325</v>
      </c>
      <c r="I84" s="1" t="n">
        <v>0.006283998</v>
      </c>
      <c r="J84" s="1" t="n">
        <v>0.004387856</v>
      </c>
      <c r="K84" s="1" t="n">
        <v>0.004453421</v>
      </c>
      <c r="L84" s="1" t="n">
        <v>0.004456997</v>
      </c>
      <c r="M84" s="1" t="n">
        <v>0.004435539</v>
      </c>
      <c r="N84" s="1" t="n">
        <v>0.004423618</v>
      </c>
      <c r="O84" s="1" t="n">
        <v>0.004532814</v>
      </c>
      <c r="P84" s="1" t="n">
        <v>0.004829645</v>
      </c>
      <c r="R84" s="1" t="n">
        <f aca="false">PERCENTILE(G84:P84,0.9)</f>
        <v>0.0065137382</v>
      </c>
      <c r="S84" s="5" t="n">
        <f aca="false">spmv_1!R$10/R84</f>
        <v>5.37812899818418</v>
      </c>
      <c r="T84" s="6" t="n">
        <f aca="false">S84/32</f>
        <v>0.168066531193256</v>
      </c>
    </row>
    <row r="85" customFormat="false" ht="15" hidden="false" customHeight="false" outlineLevel="0" collapsed="false">
      <c r="A85" s="1" t="s">
        <v>17</v>
      </c>
      <c r="B85" s="1" t="n">
        <v>13</v>
      </c>
      <c r="D85" s="1" t="n">
        <v>630327</v>
      </c>
      <c r="E85" s="1" t="n">
        <v>0.245142</v>
      </c>
      <c r="G85" s="1" t="n">
        <v>0.008507729</v>
      </c>
      <c r="H85" s="1" t="n">
        <v>0.005483389</v>
      </c>
      <c r="I85" s="1" t="n">
        <v>0.006239414</v>
      </c>
      <c r="J85" s="1" t="n">
        <v>0.004337788</v>
      </c>
      <c r="K85" s="1" t="n">
        <v>0.004403114</v>
      </c>
      <c r="L85" s="1" t="n">
        <v>0.004441738</v>
      </c>
      <c r="M85" s="1" t="n">
        <v>0.00438261</v>
      </c>
      <c r="N85" s="1" t="n">
        <v>0.004374266</v>
      </c>
      <c r="O85" s="1" t="n">
        <v>0.004483461</v>
      </c>
      <c r="P85" s="1" t="n">
        <v>0.004771948</v>
      </c>
      <c r="R85" s="1" t="n">
        <f aca="false">PERCENTILE(G85:P85,0.9)</f>
        <v>0.0064662455</v>
      </c>
      <c r="S85" s="5" t="n">
        <f aca="false">spmv_1!R$10/R85</f>
        <v>5.41762979769327</v>
      </c>
      <c r="T85" s="6" t="n">
        <f aca="false">S85/32</f>
        <v>0.169300931177915</v>
      </c>
    </row>
    <row r="86" customFormat="false" ht="15" hidden="false" customHeight="false" outlineLevel="0" collapsed="false">
      <c r="A86" s="1" t="s">
        <v>17</v>
      </c>
      <c r="B86" s="1" t="n">
        <v>14</v>
      </c>
      <c r="D86" s="1" t="n">
        <v>629929</v>
      </c>
      <c r="E86" s="1" t="n">
        <v>0.24828</v>
      </c>
      <c r="G86" s="1" t="n">
        <v>0.008313417</v>
      </c>
      <c r="H86" s="1" t="n">
        <v>0.005357027</v>
      </c>
      <c r="I86" s="1" t="n">
        <v>0.006192446</v>
      </c>
      <c r="J86" s="1" t="n">
        <v>0.004312277</v>
      </c>
      <c r="K86" s="1" t="n">
        <v>0.004362106</v>
      </c>
      <c r="L86" s="1" t="n">
        <v>0.004365921</v>
      </c>
      <c r="M86" s="1" t="n">
        <v>0.004342079</v>
      </c>
      <c r="N86" s="1" t="n">
        <v>0.004328012</v>
      </c>
      <c r="O86" s="1" t="n">
        <v>0.004439831</v>
      </c>
      <c r="P86" s="1" t="n">
        <v>0.004730225</v>
      </c>
      <c r="R86" s="1" t="n">
        <f aca="false">PERCENTILE(G86:P86,0.9)</f>
        <v>0.0064045431</v>
      </c>
      <c r="S86" s="5" t="n">
        <f aca="false">spmv_1!R$10/R86</f>
        <v>5.4698241159467</v>
      </c>
      <c r="T86" s="6" t="n">
        <f aca="false">S86/32</f>
        <v>0.170932003623334</v>
      </c>
    </row>
    <row r="87" customFormat="false" ht="15" hidden="false" customHeight="false" outlineLevel="0" collapsed="false">
      <c r="A87" s="1" t="s">
        <v>17</v>
      </c>
      <c r="B87" s="1" t="n">
        <v>15</v>
      </c>
      <c r="D87" s="1" t="n">
        <v>630931</v>
      </c>
      <c r="E87" s="1" t="n">
        <v>0.257603</v>
      </c>
      <c r="G87" s="1" t="n">
        <v>0.008161306</v>
      </c>
      <c r="H87" s="1" t="n">
        <v>0.005199194</v>
      </c>
      <c r="I87" s="1" t="n">
        <v>0.006011009</v>
      </c>
      <c r="J87" s="1" t="n">
        <v>0.004148483</v>
      </c>
      <c r="K87" s="1" t="n">
        <v>0.004170656</v>
      </c>
      <c r="L87" s="1" t="n">
        <v>0.004176617</v>
      </c>
      <c r="M87" s="1" t="n">
        <v>0.004157782</v>
      </c>
      <c r="N87" s="1" t="n">
        <v>0.004140854</v>
      </c>
      <c r="O87" s="1" t="n">
        <v>0.004268646</v>
      </c>
      <c r="P87" s="1" t="n">
        <v>0.004550219</v>
      </c>
      <c r="R87" s="1" t="n">
        <f aca="false">PERCENTILE(G87:P87,0.9)</f>
        <v>0.0062260387</v>
      </c>
      <c r="S87" s="5" t="n">
        <f aca="false">spmv_1!R$10/R87</f>
        <v>5.62664737371453</v>
      </c>
      <c r="T87" s="6" t="n">
        <f aca="false">S87/32</f>
        <v>0.175832730428579</v>
      </c>
    </row>
    <row r="88" customFormat="false" ht="15" hidden="false" customHeight="false" outlineLevel="0" collapsed="false">
      <c r="A88" s="1" t="s">
        <v>17</v>
      </c>
      <c r="B88" s="1" t="n">
        <v>16</v>
      </c>
      <c r="D88" s="1" t="n">
        <v>634333</v>
      </c>
      <c r="E88" s="1" t="n">
        <v>0.208821</v>
      </c>
      <c r="G88" s="1" t="n">
        <v>0.008930683</v>
      </c>
      <c r="H88" s="1" t="n">
        <v>0.006495237</v>
      </c>
      <c r="I88" s="1" t="n">
        <v>0.007477522</v>
      </c>
      <c r="J88" s="1" t="n">
        <v>0.005420446</v>
      </c>
      <c r="K88" s="1" t="n">
        <v>0.005396128</v>
      </c>
      <c r="L88" s="1" t="n">
        <v>0.005386353</v>
      </c>
      <c r="M88" s="1" t="n">
        <v>0.005351067</v>
      </c>
      <c r="N88" s="1" t="n">
        <v>0.005324125</v>
      </c>
      <c r="O88" s="1" t="n">
        <v>0.005429506</v>
      </c>
      <c r="P88" s="1" t="n">
        <v>0.005542755</v>
      </c>
      <c r="R88" s="1" t="n">
        <f aca="false">PERCENTILE(G88:P88,0.9)</f>
        <v>0.0076228381</v>
      </c>
      <c r="S88" s="5" t="n">
        <f aca="false">spmv_1!R$10/R88</f>
        <v>4.59562748682804</v>
      </c>
      <c r="T88" s="6" t="n">
        <f aca="false">S88/32</f>
        <v>0.143613358963376</v>
      </c>
    </row>
    <row r="89" customFormat="false" ht="15" hidden="false" customHeight="false" outlineLevel="0" collapsed="false">
      <c r="A89" s="1" t="s">
        <v>17</v>
      </c>
      <c r="B89" s="1" t="n">
        <v>17</v>
      </c>
      <c r="D89" s="1" t="n">
        <v>635277</v>
      </c>
      <c r="E89" s="1" t="n">
        <v>0.208598</v>
      </c>
      <c r="G89" s="1" t="n">
        <v>0.009078026</v>
      </c>
      <c r="H89" s="1" t="n">
        <v>0.006492138</v>
      </c>
      <c r="I89" s="1" t="n">
        <v>0.007519245</v>
      </c>
      <c r="J89" s="1" t="n">
        <v>0.005420208</v>
      </c>
      <c r="K89" s="1" t="n">
        <v>0.005367756</v>
      </c>
      <c r="L89" s="1" t="n">
        <v>0.005375862</v>
      </c>
      <c r="M89" s="1" t="n">
        <v>0.005356073</v>
      </c>
      <c r="N89" s="1" t="n">
        <v>0.005318165</v>
      </c>
      <c r="O89" s="1" t="n">
        <v>0.005449057</v>
      </c>
      <c r="P89" s="1" t="n">
        <v>0.005532742</v>
      </c>
      <c r="R89" s="1" t="n">
        <f aca="false">PERCENTILE(G89:P89,0.9)</f>
        <v>0.0076751231</v>
      </c>
      <c r="S89" s="5" t="n">
        <f aca="false">spmv_1!R$10/R89</f>
        <v>4.56432083805926</v>
      </c>
      <c r="T89" s="6" t="n">
        <f aca="false">S89/32</f>
        <v>0.142635026189352</v>
      </c>
    </row>
    <row r="90" customFormat="false" ht="15" hidden="false" customHeight="false" outlineLevel="0" collapsed="false">
      <c r="A90" s="1" t="s">
        <v>17</v>
      </c>
      <c r="B90" s="1" t="n">
        <v>18</v>
      </c>
      <c r="D90" s="1" t="n">
        <v>633480</v>
      </c>
      <c r="E90" s="1" t="n">
        <v>0.204996</v>
      </c>
      <c r="G90" s="1" t="n">
        <v>0.009181261</v>
      </c>
      <c r="H90" s="1" t="n">
        <v>0.006684065</v>
      </c>
      <c r="I90" s="1" t="n">
        <v>0.007653713</v>
      </c>
      <c r="J90" s="1" t="n">
        <v>0.005529642</v>
      </c>
      <c r="K90" s="1" t="n">
        <v>0.00551486</v>
      </c>
      <c r="L90" s="1" t="n">
        <v>0.005460501</v>
      </c>
      <c r="M90" s="1" t="n">
        <v>0.005324364</v>
      </c>
      <c r="N90" s="1" t="n">
        <v>0.005432606</v>
      </c>
      <c r="O90" s="1" t="n">
        <v>0.005486012</v>
      </c>
      <c r="P90" s="1" t="n">
        <v>0.005537033</v>
      </c>
      <c r="R90" s="1" t="n">
        <f aca="false">PERCENTILE(G90:P90,0.9)</f>
        <v>0.0078064678</v>
      </c>
      <c r="S90" s="5" t="n">
        <f aca="false">spmv_1!R$10/R90</f>
        <v>4.48752562586629</v>
      </c>
      <c r="T90" s="6" t="n">
        <f aca="false">S90/32</f>
        <v>0.140235175808321</v>
      </c>
    </row>
    <row r="91" customFormat="false" ht="15" hidden="false" customHeight="false" outlineLevel="0" collapsed="false">
      <c r="A91" s="1" t="s">
        <v>17</v>
      </c>
      <c r="B91" s="1" t="n">
        <v>19</v>
      </c>
      <c r="D91" s="1" t="n">
        <v>635084</v>
      </c>
      <c r="E91" s="1" t="n">
        <v>0.205329</v>
      </c>
      <c r="G91" s="1" t="n">
        <v>0.00915575</v>
      </c>
      <c r="H91" s="1" t="n">
        <v>0.006604671</v>
      </c>
      <c r="I91" s="1" t="n">
        <v>0.007630825</v>
      </c>
      <c r="J91" s="1" t="n">
        <v>0.005459785</v>
      </c>
      <c r="K91" s="1" t="n">
        <v>0.005502939</v>
      </c>
      <c r="L91" s="1" t="n">
        <v>0.005470276</v>
      </c>
      <c r="M91" s="1" t="n">
        <v>0.005428314</v>
      </c>
      <c r="N91" s="1" t="n">
        <v>0.005467415</v>
      </c>
      <c r="O91" s="1" t="n">
        <v>0.005534172</v>
      </c>
      <c r="P91" s="1" t="n">
        <v>0.005605936</v>
      </c>
      <c r="R91" s="1" t="n">
        <f aca="false">PERCENTILE(G91:P91,0.9)</f>
        <v>0.0077833175</v>
      </c>
      <c r="S91" s="5" t="n">
        <f aca="false">spmv_1!R$10/R91</f>
        <v>4.50087309171186</v>
      </c>
      <c r="T91" s="6" t="n">
        <f aca="false">S91/32</f>
        <v>0.140652284115996</v>
      </c>
    </row>
    <row r="92" customFormat="false" ht="15" hidden="false" customHeight="false" outlineLevel="0" collapsed="false">
      <c r="A92" s="1" t="s">
        <v>17</v>
      </c>
      <c r="B92" s="1" t="n">
        <v>20</v>
      </c>
      <c r="D92" s="1" t="n">
        <v>631138</v>
      </c>
      <c r="E92" s="1" t="n">
        <v>0.210336</v>
      </c>
      <c r="G92" s="1" t="n">
        <v>0.009062529</v>
      </c>
      <c r="H92" s="1" t="n">
        <v>0.006383181</v>
      </c>
      <c r="I92" s="1" t="n">
        <v>0.007530451</v>
      </c>
      <c r="J92" s="1" t="n">
        <v>0.005293369</v>
      </c>
      <c r="K92" s="1" t="n">
        <v>0.005278349</v>
      </c>
      <c r="L92" s="1" t="n">
        <v>0.005227089</v>
      </c>
      <c r="M92" s="1" t="n">
        <v>0.005210638</v>
      </c>
      <c r="N92" s="1" t="n">
        <v>0.005284548</v>
      </c>
      <c r="O92" s="1" t="n">
        <v>0.005358696</v>
      </c>
      <c r="P92" s="1" t="n">
        <v>0.005383492</v>
      </c>
      <c r="R92" s="1" t="n">
        <f aca="false">PERCENTILE(G92:P92,0.9)</f>
        <v>0.0076836588</v>
      </c>
      <c r="S92" s="5" t="n">
        <f aca="false">spmv_1!R$10/R92</f>
        <v>4.55925037951972</v>
      </c>
      <c r="T92" s="6" t="n">
        <f aca="false">S92/32</f>
        <v>0.142476574359991</v>
      </c>
    </row>
    <row r="93" customFormat="false" ht="15" hidden="false" customHeight="false" outlineLevel="0" collapsed="false">
      <c r="A93" s="1" t="s">
        <v>17</v>
      </c>
      <c r="B93" s="1" t="n">
        <v>21</v>
      </c>
      <c r="D93" s="1" t="n">
        <v>631512</v>
      </c>
      <c r="E93" s="1" t="n">
        <v>0.20239</v>
      </c>
      <c r="G93" s="1" t="n">
        <v>0.009188175</v>
      </c>
      <c r="H93" s="1" t="n">
        <v>0.006671667</v>
      </c>
      <c r="I93" s="1" t="n">
        <v>0.007708549</v>
      </c>
      <c r="J93" s="1" t="n">
        <v>0.005510092</v>
      </c>
      <c r="K93" s="1" t="n">
        <v>0.005554914</v>
      </c>
      <c r="L93" s="1" t="n">
        <v>0.005503416</v>
      </c>
      <c r="M93" s="1" t="n">
        <v>0.005470276</v>
      </c>
      <c r="N93" s="1" t="n">
        <v>0.005538702</v>
      </c>
      <c r="O93" s="1" t="n">
        <v>0.005614281</v>
      </c>
      <c r="P93" s="1" t="n">
        <v>0.005645275</v>
      </c>
      <c r="R93" s="1" t="n">
        <f aca="false">PERCENTILE(G93:P93,0.9)</f>
        <v>0.0078565116</v>
      </c>
      <c r="S93" s="5" t="n">
        <f aca="false">spmv_1!R$10/R93</f>
        <v>4.45894133218107</v>
      </c>
      <c r="T93" s="6" t="n">
        <f aca="false">S93/32</f>
        <v>0.139341916630658</v>
      </c>
    </row>
    <row r="94" customFormat="false" ht="15" hidden="false" customHeight="false" outlineLevel="0" collapsed="false">
      <c r="A94" s="1" t="s">
        <v>17</v>
      </c>
      <c r="B94" s="1" t="n">
        <v>22</v>
      </c>
      <c r="D94" s="1" t="n">
        <v>630840</v>
      </c>
      <c r="E94" s="1" t="n">
        <v>0.199738</v>
      </c>
      <c r="G94" s="1" t="n">
        <v>0.009330273</v>
      </c>
      <c r="H94" s="1" t="n">
        <v>0.006818056</v>
      </c>
      <c r="I94" s="1" t="n">
        <v>0.007851362</v>
      </c>
      <c r="J94" s="1" t="n">
        <v>0.005603552</v>
      </c>
      <c r="K94" s="1" t="n">
        <v>0.005645752</v>
      </c>
      <c r="L94" s="1" t="n">
        <v>0.005552053</v>
      </c>
      <c r="M94" s="1" t="n">
        <v>0.005431175</v>
      </c>
      <c r="N94" s="1" t="n">
        <v>0.005635262</v>
      </c>
      <c r="O94" s="1" t="n">
        <v>0.005652905</v>
      </c>
      <c r="P94" s="1" t="n">
        <v>0.005646229</v>
      </c>
      <c r="R94" s="1" t="n">
        <f aca="false">PERCENTILE(G94:P94,0.9)</f>
        <v>0.0079992531</v>
      </c>
      <c r="S94" s="5" t="n">
        <f aca="false">spmv_1!R$10/R94</f>
        <v>4.37937440684306</v>
      </c>
      <c r="T94" s="6" t="n">
        <f aca="false">S94/32</f>
        <v>0.136855450213846</v>
      </c>
    </row>
    <row r="95" customFormat="false" ht="15" hidden="false" customHeight="false" outlineLevel="0" collapsed="false">
      <c r="A95" s="1" t="s">
        <v>17</v>
      </c>
      <c r="B95" s="1" t="n">
        <v>23</v>
      </c>
      <c r="D95" s="1" t="n">
        <v>631524</v>
      </c>
      <c r="E95" s="1" t="n">
        <v>0.194928</v>
      </c>
      <c r="G95" s="1" t="n">
        <v>0.011124849</v>
      </c>
      <c r="H95" s="1" t="n">
        <v>0.006655931</v>
      </c>
      <c r="I95" s="1" t="n">
        <v>0.007773638</v>
      </c>
      <c r="J95" s="1" t="n">
        <v>0.005563498</v>
      </c>
      <c r="K95" s="1" t="n">
        <v>0.005592108</v>
      </c>
      <c r="L95" s="1" t="n">
        <v>0.005539894</v>
      </c>
      <c r="M95" s="1" t="n">
        <v>0.005542755</v>
      </c>
      <c r="N95" s="1" t="n">
        <v>0.00565505</v>
      </c>
      <c r="O95" s="1" t="n">
        <v>0.005638361</v>
      </c>
      <c r="P95" s="1" t="n">
        <v>0.00570941</v>
      </c>
      <c r="R95" s="1" t="n">
        <f aca="false">PERCENTILE(G95:P95,0.9)</f>
        <v>0.0081087591</v>
      </c>
      <c r="S95" s="5" t="n">
        <f aca="false">spmv_1!R$10/R95</f>
        <v>4.3202324631891</v>
      </c>
      <c r="T95" s="6" t="n">
        <f aca="false">S95/32</f>
        <v>0.135007264474659</v>
      </c>
    </row>
    <row r="96" customFormat="false" ht="15" hidden="false" customHeight="false" outlineLevel="0" collapsed="false">
      <c r="A96" s="1" t="s">
        <v>17</v>
      </c>
      <c r="B96" s="1" t="n">
        <v>24</v>
      </c>
      <c r="D96" s="1" t="n">
        <v>635449</v>
      </c>
      <c r="E96" s="1" t="n">
        <v>0.208533</v>
      </c>
      <c r="G96" s="1" t="n">
        <v>0.009270191</v>
      </c>
      <c r="H96" s="1" t="n">
        <v>0.006432056</v>
      </c>
      <c r="I96" s="1" t="n">
        <v>0.007657766</v>
      </c>
      <c r="J96" s="1" t="n">
        <v>0.005332708</v>
      </c>
      <c r="K96" s="1" t="n">
        <v>0.005328178</v>
      </c>
      <c r="L96" s="1" t="n">
        <v>0.005284309</v>
      </c>
      <c r="M96" s="1" t="n">
        <v>0.005261898</v>
      </c>
      <c r="N96" s="1" t="n">
        <v>0.005482197</v>
      </c>
      <c r="O96" s="1" t="n">
        <v>0.005452871</v>
      </c>
      <c r="P96" s="1" t="n">
        <v>0.005442381</v>
      </c>
      <c r="R96" s="1" t="n">
        <f aca="false">PERCENTILE(G96:P96,0.9)</f>
        <v>0.0078190085</v>
      </c>
      <c r="S96" s="5" t="n">
        <f aca="false">spmv_1!R$10/R96</f>
        <v>4.48032820273824</v>
      </c>
      <c r="T96" s="6" t="n">
        <f aca="false">S96/32</f>
        <v>0.14001025633557</v>
      </c>
    </row>
    <row r="97" customFormat="false" ht="15" hidden="false" customHeight="false" outlineLevel="0" collapsed="false">
      <c r="A97" s="1" t="s">
        <v>17</v>
      </c>
      <c r="B97" s="1" t="n">
        <v>25</v>
      </c>
      <c r="D97" s="1" t="n">
        <v>636618</v>
      </c>
      <c r="E97" s="1" t="n">
        <v>0.204074</v>
      </c>
      <c r="G97" s="1" t="n">
        <v>0.009250402</v>
      </c>
      <c r="H97" s="1" t="n">
        <v>0.006631136</v>
      </c>
      <c r="I97" s="1" t="n">
        <v>0.007700682</v>
      </c>
      <c r="J97" s="1" t="n">
        <v>0.005472422</v>
      </c>
      <c r="K97" s="1" t="n">
        <v>0.005554676</v>
      </c>
      <c r="L97" s="1" t="n">
        <v>0.005494118</v>
      </c>
      <c r="M97" s="1" t="n">
        <v>0.005491734</v>
      </c>
      <c r="N97" s="1" t="n">
        <v>0.005559921</v>
      </c>
      <c r="O97" s="1" t="n">
        <v>0.005585194</v>
      </c>
      <c r="P97" s="1" t="n">
        <v>0.00565052</v>
      </c>
      <c r="R97" s="1" t="n">
        <f aca="false">PERCENTILE(G97:P97,0.9)</f>
        <v>0.007855654</v>
      </c>
      <c r="S97" s="5" t="n">
        <f aca="false">spmv_1!R$10/R97</f>
        <v>4.45942811381459</v>
      </c>
      <c r="T97" s="6" t="n">
        <f aca="false">S97/32</f>
        <v>0.139357128556706</v>
      </c>
    </row>
    <row r="98" customFormat="false" ht="15" hidden="false" customHeight="false" outlineLevel="0" collapsed="false">
      <c r="A98" s="1" t="s">
        <v>17</v>
      </c>
      <c r="B98" s="1" t="n">
        <v>26</v>
      </c>
      <c r="D98" s="1" t="n">
        <v>635811</v>
      </c>
      <c r="E98" s="1" t="n">
        <v>0.219509</v>
      </c>
      <c r="G98" s="1" t="n">
        <v>0.008881092</v>
      </c>
      <c r="H98" s="1" t="n">
        <v>0.006221771</v>
      </c>
      <c r="I98" s="1" t="n">
        <v>0.00733757</v>
      </c>
      <c r="J98" s="1" t="n">
        <v>0.005036592</v>
      </c>
      <c r="K98" s="1" t="n">
        <v>0.005074024</v>
      </c>
      <c r="L98" s="1" t="n">
        <v>0.005008698</v>
      </c>
      <c r="M98" s="1" t="n">
        <v>0.005016804</v>
      </c>
      <c r="N98" s="1" t="n">
        <v>0.00505352</v>
      </c>
      <c r="O98" s="1" t="n">
        <v>0.005140066</v>
      </c>
      <c r="P98" s="1" t="n">
        <v>0.005160093</v>
      </c>
      <c r="R98" s="1" t="n">
        <f aca="false">PERCENTILE(G98:P98,0.9)</f>
        <v>0.0074919222</v>
      </c>
      <c r="S98" s="5" t="n">
        <f aca="false">spmv_1!R$10/R98</f>
        <v>4.67593273993155</v>
      </c>
      <c r="T98" s="6" t="n">
        <f aca="false">S98/32</f>
        <v>0.146122898122861</v>
      </c>
    </row>
    <row r="99" customFormat="false" ht="15" hidden="false" customHeight="false" outlineLevel="0" collapsed="false">
      <c r="A99" s="1" t="s">
        <v>17</v>
      </c>
      <c r="B99" s="1" t="n">
        <v>27</v>
      </c>
      <c r="D99" s="1" t="n">
        <v>636439</v>
      </c>
      <c r="E99" s="1" t="n">
        <v>0.205139</v>
      </c>
      <c r="G99" s="1" t="n">
        <v>0.009213686</v>
      </c>
      <c r="H99" s="1" t="n">
        <v>0.006676912</v>
      </c>
      <c r="I99" s="1" t="n">
        <v>0.007707834</v>
      </c>
      <c r="J99" s="1" t="n">
        <v>0.005516529</v>
      </c>
      <c r="K99" s="1" t="n">
        <v>0.005542994</v>
      </c>
      <c r="L99" s="1" t="n">
        <v>0.005460501</v>
      </c>
      <c r="M99" s="1" t="n">
        <v>0.005330801</v>
      </c>
      <c r="N99" s="1" t="n">
        <v>0.005495787</v>
      </c>
      <c r="O99" s="1" t="n">
        <v>0.005567551</v>
      </c>
      <c r="P99" s="1" t="n">
        <v>0.005537033</v>
      </c>
      <c r="R99" s="1" t="n">
        <f aca="false">PERCENTILE(G99:P99,0.9)</f>
        <v>0.0078584192</v>
      </c>
      <c r="S99" s="5" t="n">
        <f aca="false">spmv_1!R$10/R99</f>
        <v>4.45785894191035</v>
      </c>
      <c r="T99" s="6" t="n">
        <f aca="false">S99/32</f>
        <v>0.139308091934699</v>
      </c>
    </row>
    <row r="100" customFormat="false" ht="15" hidden="false" customHeight="false" outlineLevel="0" collapsed="false">
      <c r="A100" s="1" t="s">
        <v>17</v>
      </c>
      <c r="B100" s="1" t="n">
        <v>28</v>
      </c>
      <c r="D100" s="1" t="n">
        <v>630937</v>
      </c>
      <c r="E100" s="1" t="n">
        <v>0.206166</v>
      </c>
      <c r="G100" s="1" t="n">
        <v>0.009027719</v>
      </c>
      <c r="H100" s="1" t="n">
        <v>0.006607056</v>
      </c>
      <c r="I100" s="1" t="n">
        <v>0.007576466</v>
      </c>
      <c r="J100" s="1" t="n">
        <v>0.005463839</v>
      </c>
      <c r="K100" s="1" t="n">
        <v>0.005470037</v>
      </c>
      <c r="L100" s="1" t="n">
        <v>0.005395651</v>
      </c>
      <c r="M100" s="1" t="n">
        <v>0.005280256</v>
      </c>
      <c r="N100" s="1" t="n">
        <v>0.005411148</v>
      </c>
      <c r="O100" s="1" t="n">
        <v>0.005434275</v>
      </c>
      <c r="P100" s="1" t="n">
        <v>0.005540133</v>
      </c>
      <c r="R100" s="1" t="n">
        <f aca="false">PERCENTILE(G100:P100,0.9)</f>
        <v>0.0077215913</v>
      </c>
      <c r="S100" s="5" t="n">
        <f aca="false">spmv_1!R$10/R100</f>
        <v>4.53685295413136</v>
      </c>
      <c r="T100" s="6" t="n">
        <f aca="false">S100/32</f>
        <v>0.141776654816605</v>
      </c>
    </row>
    <row r="101" customFormat="false" ht="15" hidden="false" customHeight="false" outlineLevel="0" collapsed="false">
      <c r="A101" s="1" t="s">
        <v>17</v>
      </c>
      <c r="B101" s="1" t="n">
        <v>29</v>
      </c>
      <c r="D101" s="1" t="n">
        <v>631473</v>
      </c>
      <c r="E101" s="1" t="n">
        <v>0.212839</v>
      </c>
      <c r="G101" s="1" t="n">
        <v>0.00880909</v>
      </c>
      <c r="H101" s="1" t="n">
        <v>0.006342888</v>
      </c>
      <c r="I101" s="1" t="n">
        <v>0.007344484</v>
      </c>
      <c r="J101" s="1" t="n">
        <v>0.005246878</v>
      </c>
      <c r="K101" s="1" t="n">
        <v>0.005240202</v>
      </c>
      <c r="L101" s="1" t="n">
        <v>0.005250931</v>
      </c>
      <c r="M101" s="1" t="n">
        <v>0.005226374</v>
      </c>
      <c r="N101" s="1" t="n">
        <v>0.005213976</v>
      </c>
      <c r="O101" s="1" t="n">
        <v>0.005292892</v>
      </c>
      <c r="P101" s="1" t="n">
        <v>0.005370378</v>
      </c>
      <c r="R101" s="1" t="n">
        <f aca="false">PERCENTILE(G101:P101,0.9)</f>
        <v>0.0074909446</v>
      </c>
      <c r="S101" s="5" t="n">
        <f aca="false">spmv_1!R$10/R101</f>
        <v>4.67654296896015</v>
      </c>
      <c r="T101" s="6" t="n">
        <f aca="false">S101/32</f>
        <v>0.146141967780005</v>
      </c>
    </row>
    <row r="102" customFormat="false" ht="15" hidden="false" customHeight="false" outlineLevel="0" collapsed="false">
      <c r="A102" s="1" t="s">
        <v>17</v>
      </c>
      <c r="B102" s="1" t="n">
        <v>30</v>
      </c>
      <c r="D102" s="1" t="n">
        <v>629619</v>
      </c>
      <c r="E102" s="1" t="n">
        <v>0.211562</v>
      </c>
      <c r="G102" s="1" t="n">
        <v>0.008651495</v>
      </c>
      <c r="H102" s="1" t="n">
        <v>0.009054184</v>
      </c>
      <c r="I102" s="1" t="n">
        <v>0.00666523</v>
      </c>
      <c r="J102" s="1" t="n">
        <v>0.005067348</v>
      </c>
      <c r="K102" s="1" t="n">
        <v>0.004957676</v>
      </c>
      <c r="L102" s="1" t="n">
        <v>0.004953623</v>
      </c>
      <c r="M102" s="1" t="n">
        <v>0.004983187</v>
      </c>
      <c r="N102" s="1" t="n">
        <v>0.004985094</v>
      </c>
      <c r="O102" s="1" t="n">
        <v>0.005078793</v>
      </c>
      <c r="P102" s="1" t="n">
        <v>0.005124331</v>
      </c>
      <c r="R102" s="1" t="n">
        <f aca="false">PERCENTILE(G102:P102,0.9)</f>
        <v>0.0086917639</v>
      </c>
      <c r="S102" s="5" t="n">
        <f aca="false">spmv_1!R$10/R102</f>
        <v>4.03045051649413</v>
      </c>
      <c r="T102" s="6" t="n">
        <f aca="false">S102/32</f>
        <v>0.125951578640441</v>
      </c>
    </row>
    <row r="103" customFormat="false" ht="15" hidden="false" customHeight="false" outlineLevel="0" collapsed="false">
      <c r="A103" s="1" t="s">
        <v>17</v>
      </c>
      <c r="B103" s="1" t="n">
        <v>31</v>
      </c>
      <c r="D103" s="1" t="n">
        <v>629779</v>
      </c>
      <c r="E103" s="1" t="n">
        <v>0.218902</v>
      </c>
      <c r="G103" s="1" t="n">
        <v>0.008595705</v>
      </c>
      <c r="H103" s="1" t="n">
        <v>0.006275415</v>
      </c>
      <c r="I103" s="1" t="n">
        <v>0.006849527</v>
      </c>
      <c r="J103" s="1" t="n">
        <v>0.005182981</v>
      </c>
      <c r="K103" s="1" t="n">
        <v>0.005137205</v>
      </c>
      <c r="L103" s="1" t="n">
        <v>0.005110741</v>
      </c>
      <c r="M103" s="1" t="n">
        <v>0.004962921</v>
      </c>
      <c r="N103" s="1" t="n">
        <v>0.005088329</v>
      </c>
      <c r="O103" s="1" t="n">
        <v>0.005151987</v>
      </c>
      <c r="P103" s="1" t="n">
        <v>0.005185127</v>
      </c>
      <c r="R103" s="1" t="n">
        <f aca="false">PERCENTILE(G103:P103,0.9)</f>
        <v>0.0070241448</v>
      </c>
      <c r="S103" s="5" t="n">
        <f aca="false">spmv_1!R$10/R103</f>
        <v>4.9873294610897</v>
      </c>
      <c r="T103" s="6" t="n">
        <f aca="false">S103/32</f>
        <v>0.155854045659053</v>
      </c>
    </row>
    <row r="106" customFormat="false" ht="15" hidden="false" customHeight="false" outlineLevel="0" collapsed="false">
      <c r="A106" s="2" t="s">
        <v>0</v>
      </c>
      <c r="B106" s="2" t="s">
        <v>1</v>
      </c>
      <c r="C106" s="3"/>
      <c r="D106" s="2" t="s">
        <v>2</v>
      </c>
      <c r="E106" s="2" t="s">
        <v>3</v>
      </c>
      <c r="F106" s="3"/>
      <c r="G106" s="2" t="s">
        <v>4</v>
      </c>
      <c r="H106" s="2" t="s">
        <v>5</v>
      </c>
      <c r="I106" s="2" t="s">
        <v>6</v>
      </c>
      <c r="J106" s="2" t="s">
        <v>7</v>
      </c>
      <c r="K106" s="2" t="s">
        <v>8</v>
      </c>
      <c r="L106" s="2" t="s">
        <v>9</v>
      </c>
      <c r="M106" s="2" t="s">
        <v>10</v>
      </c>
      <c r="N106" s="2" t="s">
        <v>11</v>
      </c>
      <c r="O106" s="2" t="s">
        <v>12</v>
      </c>
      <c r="P106" s="2" t="s">
        <v>13</v>
      </c>
      <c r="R106" s="4" t="s">
        <v>14</v>
      </c>
      <c r="S106" s="7" t="s">
        <v>20</v>
      </c>
      <c r="T106" s="8" t="s">
        <v>21</v>
      </c>
    </row>
    <row r="107" customFormat="false" ht="15" hidden="false" customHeight="false" outlineLevel="0" collapsed="false">
      <c r="A107" s="1" t="s">
        <v>18</v>
      </c>
      <c r="B107" s="1" t="n">
        <v>0</v>
      </c>
      <c r="D107" s="1" t="n">
        <v>24198312</v>
      </c>
      <c r="E107" s="1" t="n">
        <v>0.087379</v>
      </c>
      <c r="G107" s="1" t="n">
        <v>0.570175171</v>
      </c>
      <c r="H107" s="1" t="n">
        <v>0.557523727</v>
      </c>
      <c r="I107" s="1" t="n">
        <v>0.552493572</v>
      </c>
      <c r="J107" s="1" t="n">
        <v>0.549797773</v>
      </c>
      <c r="K107" s="1" t="n">
        <v>0.556061745</v>
      </c>
      <c r="L107" s="1" t="n">
        <v>0.543336153</v>
      </c>
      <c r="M107" s="1" t="n">
        <v>0.549296379</v>
      </c>
      <c r="N107" s="1" t="n">
        <v>0.549686432</v>
      </c>
      <c r="O107" s="1" t="n">
        <v>0.552152634</v>
      </c>
      <c r="P107" s="1" t="n">
        <v>0.558207273</v>
      </c>
      <c r="R107" s="1" t="n">
        <f aca="false">PERCENTILE(G107:P107,0.9)</f>
        <v>0.5594040628</v>
      </c>
      <c r="S107" s="5" t="n">
        <f aca="false">spmv_1!R$14/R107</f>
        <v>1.9745015028518</v>
      </c>
      <c r="T107" s="6" t="n">
        <f aca="false">S107/32</f>
        <v>0.0617031719641186</v>
      </c>
    </row>
    <row r="108" customFormat="false" ht="15" hidden="false" customHeight="false" outlineLevel="0" collapsed="false">
      <c r="A108" s="1" t="s">
        <v>18</v>
      </c>
      <c r="B108" s="1" t="n">
        <v>1</v>
      </c>
      <c r="D108" s="1" t="n">
        <v>24201902</v>
      </c>
      <c r="E108" s="1" t="n">
        <v>0.105318</v>
      </c>
      <c r="G108" s="1" t="n">
        <v>0.472419977</v>
      </c>
      <c r="H108" s="1" t="n">
        <v>0.464462757</v>
      </c>
      <c r="I108" s="1" t="n">
        <v>0.464527369</v>
      </c>
      <c r="J108" s="1" t="n">
        <v>0.453494072</v>
      </c>
      <c r="K108" s="1" t="n">
        <v>0.461079359</v>
      </c>
      <c r="L108" s="1" t="n">
        <v>0.461085081</v>
      </c>
      <c r="M108" s="1" t="n">
        <v>0.457870007</v>
      </c>
      <c r="N108" s="1" t="n">
        <v>0.450819731</v>
      </c>
      <c r="O108" s="1" t="n">
        <v>0.449509144</v>
      </c>
      <c r="P108" s="1" t="n">
        <v>0.460690022</v>
      </c>
      <c r="R108" s="1" t="n">
        <f aca="false">PERCENTILE(G108:P108,0.9)</f>
        <v>0.4653166298</v>
      </c>
      <c r="S108" s="5" t="n">
        <f aca="false">spmv_1!R$14/R108</f>
        <v>2.37374744843044</v>
      </c>
      <c r="T108" s="6" t="n">
        <f aca="false">S108/32</f>
        <v>0.0741796077634511</v>
      </c>
    </row>
    <row r="109" customFormat="false" ht="15" hidden="false" customHeight="false" outlineLevel="0" collapsed="false">
      <c r="A109" s="1" t="s">
        <v>18</v>
      </c>
      <c r="B109" s="1" t="n">
        <v>2</v>
      </c>
      <c r="D109" s="1" t="n">
        <v>24202620</v>
      </c>
      <c r="E109" s="1" t="n">
        <v>0.106909</v>
      </c>
      <c r="G109" s="1" t="n">
        <v>0.46551466</v>
      </c>
      <c r="H109" s="1" t="n">
        <v>0.457701683</v>
      </c>
      <c r="I109" s="1" t="n">
        <v>0.457509518</v>
      </c>
      <c r="J109" s="1" t="n">
        <v>0.44660306</v>
      </c>
      <c r="K109" s="1" t="n">
        <v>0.454432487</v>
      </c>
      <c r="L109" s="1" t="n">
        <v>0.454718351</v>
      </c>
      <c r="M109" s="1" t="n">
        <v>0.45101738</v>
      </c>
      <c r="N109" s="1" t="n">
        <v>0.443613529</v>
      </c>
      <c r="O109" s="1" t="n">
        <v>0.442676544</v>
      </c>
      <c r="P109" s="1" t="n">
        <v>0.453903437</v>
      </c>
      <c r="R109" s="1" t="n">
        <f aca="false">PERCENTILE(G109:P109,0.9)</f>
        <v>0.4584829807</v>
      </c>
      <c r="S109" s="5" t="n">
        <f aca="false">spmv_1!R$14/R109</f>
        <v>2.4091279484652</v>
      </c>
      <c r="T109" s="6" t="n">
        <f aca="false">S109/32</f>
        <v>0.0752852483895374</v>
      </c>
    </row>
    <row r="110" customFormat="false" ht="15" hidden="false" customHeight="false" outlineLevel="0" collapsed="false">
      <c r="A110" s="1" t="s">
        <v>18</v>
      </c>
      <c r="B110" s="1" t="n">
        <v>3</v>
      </c>
      <c r="D110" s="1" t="n">
        <v>24202620</v>
      </c>
      <c r="E110" s="1" t="n">
        <v>0.109378</v>
      </c>
      <c r="G110" s="1" t="n">
        <v>0.455532551</v>
      </c>
      <c r="H110" s="1" t="n">
        <v>0.447519779</v>
      </c>
      <c r="I110" s="1" t="n">
        <v>0.446996212</v>
      </c>
      <c r="J110" s="1" t="n">
        <v>0.436523199</v>
      </c>
      <c r="K110" s="1" t="n">
        <v>0.443726063</v>
      </c>
      <c r="L110" s="1" t="n">
        <v>0.444777489</v>
      </c>
      <c r="M110" s="1" t="n">
        <v>0.440684557</v>
      </c>
      <c r="N110" s="1" t="n">
        <v>0.433578968</v>
      </c>
      <c r="O110" s="1" t="n">
        <v>0.432621002</v>
      </c>
      <c r="P110" s="1" t="n">
        <v>0.44355154</v>
      </c>
      <c r="R110" s="1" t="n">
        <f aca="false">PERCENTILE(G110:P110,0.9)</f>
        <v>0.4483210562</v>
      </c>
      <c r="S110" s="5" t="n">
        <f aca="false">spmv_1!R$14/R110</f>
        <v>2.46373474416346</v>
      </c>
      <c r="T110" s="6" t="n">
        <f aca="false">S110/32</f>
        <v>0.0769917107551082</v>
      </c>
    </row>
    <row r="111" customFormat="false" ht="15" hidden="false" customHeight="false" outlineLevel="0" collapsed="false">
      <c r="A111" s="1" t="s">
        <v>18</v>
      </c>
      <c r="B111" s="1" t="n">
        <v>4</v>
      </c>
      <c r="D111" s="1" t="n">
        <v>24202620</v>
      </c>
      <c r="E111" s="1" t="n">
        <v>0.093274</v>
      </c>
      <c r="G111" s="1" t="n">
        <v>0.53492856</v>
      </c>
      <c r="H111" s="1" t="n">
        <v>0.521462679</v>
      </c>
      <c r="I111" s="1" t="n">
        <v>0.515988111</v>
      </c>
      <c r="J111" s="1" t="n">
        <v>0.514685154</v>
      </c>
      <c r="K111" s="1" t="n">
        <v>0.521001577</v>
      </c>
      <c r="L111" s="1" t="n">
        <v>0.50992775</v>
      </c>
      <c r="M111" s="1" t="n">
        <v>0.515435457</v>
      </c>
      <c r="N111" s="1" t="n">
        <v>0.51526475</v>
      </c>
      <c r="O111" s="1" t="n">
        <v>0.518957615</v>
      </c>
      <c r="P111" s="1" t="n">
        <v>0.521922827</v>
      </c>
      <c r="R111" s="1" t="n">
        <f aca="false">PERCENTILE(G111:P111,0.9)</f>
        <v>0.5232234003</v>
      </c>
      <c r="S111" s="5" t="n">
        <f aca="false">spmv_1!R$14/R111</f>
        <v>2.11103739256824</v>
      </c>
      <c r="T111" s="6" t="n">
        <f aca="false">S111/32</f>
        <v>0.0659699185177575</v>
      </c>
    </row>
    <row r="112" customFormat="false" ht="15" hidden="false" customHeight="false" outlineLevel="0" collapsed="false">
      <c r="A112" s="1" t="s">
        <v>18</v>
      </c>
      <c r="B112" s="1" t="n">
        <v>5</v>
      </c>
      <c r="D112" s="1" t="n">
        <v>24202620</v>
      </c>
      <c r="E112" s="1" t="n">
        <v>0.106087</v>
      </c>
      <c r="G112" s="1" t="n">
        <v>0.464574814</v>
      </c>
      <c r="H112" s="1" t="n">
        <v>0.454641581</v>
      </c>
      <c r="I112" s="1" t="n">
        <v>0.453507185</v>
      </c>
      <c r="J112" s="1" t="n">
        <v>0.444577694</v>
      </c>
      <c r="K112" s="1" t="n">
        <v>0.451924801</v>
      </c>
      <c r="L112" s="1" t="n">
        <v>0.450385332</v>
      </c>
      <c r="M112" s="1" t="n">
        <v>0.448207855</v>
      </c>
      <c r="N112" s="1" t="n">
        <v>0.454323053</v>
      </c>
      <c r="O112" s="1" t="n">
        <v>0.489096165</v>
      </c>
      <c r="P112" s="1" t="n">
        <v>0.451534748</v>
      </c>
      <c r="R112" s="1" t="n">
        <f aca="false">PERCENTILE(G112:P112,0.9)</f>
        <v>0.4670269491</v>
      </c>
      <c r="S112" s="5" t="n">
        <f aca="false">spmv_1!R$14/R112</f>
        <v>2.36505444670495</v>
      </c>
      <c r="T112" s="6" t="n">
        <f aca="false">S112/32</f>
        <v>0.0739079514595296</v>
      </c>
    </row>
    <row r="113" customFormat="false" ht="15" hidden="false" customHeight="false" outlineLevel="0" collapsed="false">
      <c r="A113" s="1" t="s">
        <v>18</v>
      </c>
      <c r="B113" s="1" t="n">
        <v>6</v>
      </c>
      <c r="D113" s="1" t="n">
        <v>24202620</v>
      </c>
      <c r="E113" s="1" t="n">
        <v>0.115776</v>
      </c>
      <c r="G113" s="1" t="n">
        <v>0.430985451</v>
      </c>
      <c r="H113" s="1" t="n">
        <v>0.421939135</v>
      </c>
      <c r="I113" s="1" t="n">
        <v>0.422004223</v>
      </c>
      <c r="J113" s="1" t="n">
        <v>0.410556316</v>
      </c>
      <c r="K113" s="1" t="n">
        <v>0.420197964</v>
      </c>
      <c r="L113" s="1" t="n">
        <v>0.419434071</v>
      </c>
      <c r="M113" s="1" t="n">
        <v>0.416745901</v>
      </c>
      <c r="N113" s="1" t="n">
        <v>0.40980196</v>
      </c>
      <c r="O113" s="1" t="n">
        <v>0.408846855</v>
      </c>
      <c r="P113" s="1" t="n">
        <v>0.420442581</v>
      </c>
      <c r="R113" s="1" t="n">
        <f aca="false">PERCENTILE(G113:P113,0.9)</f>
        <v>0.4229023458</v>
      </c>
      <c r="S113" s="5" t="n">
        <f aca="false">spmv_1!R$14/R113</f>
        <v>2.61181848166518</v>
      </c>
      <c r="T113" s="6" t="n">
        <f aca="false">S113/32</f>
        <v>0.081619327552037</v>
      </c>
    </row>
    <row r="114" customFormat="false" ht="15" hidden="false" customHeight="false" outlineLevel="0" collapsed="false">
      <c r="A114" s="1" t="s">
        <v>18</v>
      </c>
      <c r="B114" s="1" t="n">
        <v>7</v>
      </c>
      <c r="D114" s="1" t="n">
        <v>24202620</v>
      </c>
      <c r="E114" s="1" t="n">
        <v>0.096232</v>
      </c>
      <c r="G114" s="1" t="n">
        <v>0.519554377</v>
      </c>
      <c r="H114" s="1" t="n">
        <v>0.503966093</v>
      </c>
      <c r="I114" s="1" t="n">
        <v>0.502013445</v>
      </c>
      <c r="J114" s="1" t="n">
        <v>0.496362925</v>
      </c>
      <c r="K114" s="1" t="n">
        <v>0.505551577</v>
      </c>
      <c r="L114" s="1" t="n">
        <v>0.495017052</v>
      </c>
      <c r="M114" s="1" t="n">
        <v>0.49751091</v>
      </c>
      <c r="N114" s="1" t="n">
        <v>0.500938416</v>
      </c>
      <c r="O114" s="1" t="n">
        <v>0.50162077</v>
      </c>
      <c r="P114" s="1" t="n">
        <v>0.50750041</v>
      </c>
      <c r="R114" s="1" t="n">
        <f aca="false">PERCENTILE(G114:P114,0.9)</f>
        <v>0.5087058067</v>
      </c>
      <c r="S114" s="5" t="n">
        <f aca="false">spmv_1!R$14/R114</f>
        <v>2.17128278889764</v>
      </c>
      <c r="T114" s="6" t="n">
        <f aca="false">S114/32</f>
        <v>0.0678525871530513</v>
      </c>
    </row>
    <row r="115" customFormat="false" ht="15" hidden="false" customHeight="false" outlineLevel="0" collapsed="false">
      <c r="A115" s="1" t="s">
        <v>18</v>
      </c>
      <c r="B115" s="1" t="n">
        <v>8</v>
      </c>
      <c r="D115" s="1" t="n">
        <v>24202620</v>
      </c>
      <c r="E115" s="1" t="n">
        <v>0.126251</v>
      </c>
      <c r="G115" s="1" t="n">
        <v>0.3995502</v>
      </c>
      <c r="H115" s="1" t="n">
        <v>0.388168573</v>
      </c>
      <c r="I115" s="1" t="n">
        <v>0.382474899</v>
      </c>
      <c r="J115" s="1" t="n">
        <v>0.380326986</v>
      </c>
      <c r="K115" s="1" t="n">
        <v>0.387094021</v>
      </c>
      <c r="L115" s="1" t="n">
        <v>0.375960112</v>
      </c>
      <c r="M115" s="1" t="n">
        <v>0.379528522</v>
      </c>
      <c r="N115" s="1" t="n">
        <v>0.380218029</v>
      </c>
      <c r="O115" s="1" t="n">
        <v>0.379986048</v>
      </c>
      <c r="P115" s="1" t="n">
        <v>0.380742311</v>
      </c>
      <c r="R115" s="1" t="n">
        <f aca="false">PERCENTILE(G115:P115,0.9)</f>
        <v>0.3893067357</v>
      </c>
      <c r="S115" s="5" t="n">
        <f aca="false">spmv_1!R$14/R115</f>
        <v>2.83720794276512</v>
      </c>
      <c r="T115" s="6" t="n">
        <f aca="false">S115/32</f>
        <v>0.0886627482114099</v>
      </c>
    </row>
    <row r="116" customFormat="false" ht="15" hidden="false" customHeight="false" outlineLevel="0" collapsed="false">
      <c r="A116" s="1" t="s">
        <v>18</v>
      </c>
      <c r="B116" s="1" t="n">
        <v>9</v>
      </c>
      <c r="D116" s="1" t="n">
        <v>24202620</v>
      </c>
      <c r="E116" s="1" t="n">
        <v>0.1284</v>
      </c>
      <c r="G116" s="1" t="n">
        <v>0.392709017</v>
      </c>
      <c r="H116" s="1" t="n">
        <v>0.382096052</v>
      </c>
      <c r="I116" s="1" t="n">
        <v>0.377225637</v>
      </c>
      <c r="J116" s="1" t="n">
        <v>0.374608517</v>
      </c>
      <c r="K116" s="1" t="n">
        <v>0.380652905</v>
      </c>
      <c r="L116" s="1" t="n">
        <v>0.369366169</v>
      </c>
      <c r="M116" s="1" t="n">
        <v>0.374025106</v>
      </c>
      <c r="N116" s="1" t="n">
        <v>0.373543978</v>
      </c>
      <c r="O116" s="1" t="n">
        <v>0.373380184</v>
      </c>
      <c r="P116" s="1" t="n">
        <v>0.372259855</v>
      </c>
      <c r="R116" s="1" t="n">
        <f aca="false">PERCENTILE(G116:P116,0.9)</f>
        <v>0.3831573485</v>
      </c>
      <c r="S116" s="5" t="n">
        <f aca="false">spmv_1!R$14/R116</f>
        <v>2.88274299585827</v>
      </c>
      <c r="T116" s="6" t="n">
        <f aca="false">S116/32</f>
        <v>0.0900857186205709</v>
      </c>
    </row>
    <row r="117" customFormat="false" ht="15" hidden="false" customHeight="false" outlineLevel="0" collapsed="false">
      <c r="A117" s="1" t="s">
        <v>18</v>
      </c>
      <c r="B117" s="1" t="n">
        <v>10</v>
      </c>
      <c r="D117" s="1" t="n">
        <v>24202620</v>
      </c>
      <c r="E117" s="1" t="n">
        <v>0.133397</v>
      </c>
      <c r="G117" s="1" t="n">
        <v>0.379157066</v>
      </c>
      <c r="H117" s="1" t="n">
        <v>0.362804651</v>
      </c>
      <c r="I117" s="1" t="n">
        <v>0.362639904</v>
      </c>
      <c r="J117" s="1" t="n">
        <v>0.360236406</v>
      </c>
      <c r="K117" s="1" t="n">
        <v>0.366850615</v>
      </c>
      <c r="L117" s="1" t="n">
        <v>0.362007618</v>
      </c>
      <c r="M117" s="1" t="n">
        <v>0.359369278</v>
      </c>
      <c r="N117" s="1" t="n">
        <v>0.356599331</v>
      </c>
      <c r="O117" s="1" t="n">
        <v>0.361956835</v>
      </c>
      <c r="P117" s="1" t="n">
        <v>0.357045174</v>
      </c>
      <c r="R117" s="1" t="n">
        <f aca="false">PERCENTILE(G117:P117,0.9)</f>
        <v>0.3680812601</v>
      </c>
      <c r="S117" s="5" t="n">
        <f aca="false">spmv_1!R$14/R117</f>
        <v>3.00081607631945</v>
      </c>
      <c r="T117" s="6" t="n">
        <f aca="false">S117/32</f>
        <v>0.0937755023849828</v>
      </c>
    </row>
    <row r="118" customFormat="false" ht="15" hidden="false" customHeight="false" outlineLevel="0" collapsed="false">
      <c r="A118" s="1" t="s">
        <v>18</v>
      </c>
      <c r="B118" s="1" t="n">
        <v>11</v>
      </c>
      <c r="D118" s="1" t="n">
        <v>24202620</v>
      </c>
      <c r="E118" s="1" t="n">
        <v>0.131402</v>
      </c>
      <c r="G118" s="1" t="n">
        <v>0.378383398</v>
      </c>
      <c r="H118" s="1" t="n">
        <v>0.361820698</v>
      </c>
      <c r="I118" s="1" t="n">
        <v>0.368326426</v>
      </c>
      <c r="J118" s="1" t="n">
        <v>0.371590376</v>
      </c>
      <c r="K118" s="1" t="n">
        <v>0.36230135</v>
      </c>
      <c r="L118" s="1" t="n">
        <v>0.373808384</v>
      </c>
      <c r="M118" s="1" t="n">
        <v>0.363200426</v>
      </c>
      <c r="N118" s="1" t="n">
        <v>0.365479708</v>
      </c>
      <c r="O118" s="1" t="n">
        <v>0.372866631</v>
      </c>
      <c r="P118" s="1" t="n">
        <v>0.36596489</v>
      </c>
      <c r="R118" s="1" t="n">
        <f aca="false">PERCENTILE(G118:P118,0.9)</f>
        <v>0.3742658854</v>
      </c>
      <c r="S118" s="5" t="n">
        <f aca="false">spmv_1!R$14/R118</f>
        <v>2.95122854042523</v>
      </c>
      <c r="T118" s="6" t="n">
        <f aca="false">S118/32</f>
        <v>0.0922258918882886</v>
      </c>
    </row>
    <row r="119" customFormat="false" ht="15" hidden="false" customHeight="false" outlineLevel="0" collapsed="false">
      <c r="A119" s="1" t="s">
        <v>18</v>
      </c>
      <c r="B119" s="1" t="n">
        <v>12</v>
      </c>
      <c r="D119" s="1" t="n">
        <v>24202620</v>
      </c>
      <c r="E119" s="1" t="n">
        <v>0.131887</v>
      </c>
      <c r="G119" s="1" t="n">
        <v>0.358925819</v>
      </c>
      <c r="H119" s="1" t="n">
        <v>0.352940083</v>
      </c>
      <c r="I119" s="1" t="n">
        <v>0.3704319</v>
      </c>
      <c r="J119" s="1" t="n">
        <v>0.370649576</v>
      </c>
      <c r="K119" s="1" t="n">
        <v>0.364978075</v>
      </c>
      <c r="L119" s="1" t="n">
        <v>0.376482725</v>
      </c>
      <c r="M119" s="1" t="n">
        <v>0.365313053</v>
      </c>
      <c r="N119" s="1" t="n">
        <v>0.367441654</v>
      </c>
      <c r="O119" s="1" t="n">
        <v>0.37534833</v>
      </c>
      <c r="P119" s="1" t="n">
        <v>0.367693424</v>
      </c>
      <c r="R119" s="1" t="n">
        <f aca="false">PERCENTILE(G119:P119,0.9)</f>
        <v>0.3754617695</v>
      </c>
      <c r="S119" s="5" t="n">
        <f aca="false">spmv_1!R$14/R119</f>
        <v>2.9418285759717</v>
      </c>
      <c r="T119" s="6" t="n">
        <f aca="false">S119/32</f>
        <v>0.0919321429991157</v>
      </c>
    </row>
    <row r="120" customFormat="false" ht="15" hidden="false" customHeight="false" outlineLevel="0" collapsed="false">
      <c r="A120" s="1" t="s">
        <v>18</v>
      </c>
      <c r="B120" s="1" t="n">
        <v>13</v>
      </c>
      <c r="D120" s="1" t="n">
        <v>24202620</v>
      </c>
      <c r="E120" s="1" t="n">
        <v>0.107383</v>
      </c>
      <c r="G120" s="1" t="n">
        <v>0.36090827</v>
      </c>
      <c r="H120" s="1" t="n">
        <v>0.472879171</v>
      </c>
      <c r="I120" s="1" t="n">
        <v>0.523368359</v>
      </c>
      <c r="J120" s="1" t="n">
        <v>0.523637295</v>
      </c>
      <c r="K120" s="1" t="n">
        <v>0.519230366</v>
      </c>
      <c r="L120" s="1" t="n">
        <v>0.528035402</v>
      </c>
      <c r="M120" s="1" t="n">
        <v>0.425661802</v>
      </c>
      <c r="N120" s="1" t="n">
        <v>0.382313251</v>
      </c>
      <c r="O120" s="1" t="n">
        <v>0.388473272</v>
      </c>
      <c r="P120" s="1" t="n">
        <v>0.383226871</v>
      </c>
      <c r="R120" s="1" t="n">
        <f aca="false">PERCENTILE(G120:P120,0.9)</f>
        <v>0.5240771057</v>
      </c>
      <c r="S120" s="5" t="n">
        <f aca="false">spmv_1!R$14/R120</f>
        <v>2.10759857793193</v>
      </c>
      <c r="T120" s="6" t="n">
        <f aca="false">S120/32</f>
        <v>0.0658624555603727</v>
      </c>
    </row>
    <row r="121" customFormat="false" ht="15" hidden="false" customHeight="false" outlineLevel="0" collapsed="false">
      <c r="A121" s="1" t="s">
        <v>18</v>
      </c>
      <c r="B121" s="1" t="n">
        <v>14</v>
      </c>
      <c r="D121" s="1" t="n">
        <v>24203338</v>
      </c>
      <c r="E121" s="1" t="n">
        <v>0.125205</v>
      </c>
      <c r="G121" s="1" t="n">
        <v>0.368379831</v>
      </c>
      <c r="H121" s="1" t="n">
        <v>0.374793291</v>
      </c>
      <c r="I121" s="1" t="n">
        <v>0.389947891</v>
      </c>
      <c r="J121" s="1" t="n">
        <v>0.391484261</v>
      </c>
      <c r="K121" s="1" t="n">
        <v>0.385701418</v>
      </c>
      <c r="L121" s="1" t="n">
        <v>0.394129276</v>
      </c>
      <c r="M121" s="1" t="n">
        <v>0.387386322</v>
      </c>
      <c r="N121" s="1" t="n">
        <v>0.389661789</v>
      </c>
      <c r="O121" s="1" t="n">
        <v>0.394862652</v>
      </c>
      <c r="P121" s="1" t="n">
        <v>0.389831781</v>
      </c>
      <c r="R121" s="1" t="n">
        <f aca="false">PERCENTILE(G121:P121,0.9)</f>
        <v>0.3942026136</v>
      </c>
      <c r="S121" s="5" t="n">
        <f aca="false">spmv_1!R$14/R121</f>
        <v>2.80197067343848</v>
      </c>
      <c r="T121" s="6" t="n">
        <f aca="false">S121/32</f>
        <v>0.0875615835449524</v>
      </c>
    </row>
    <row r="122" customFormat="false" ht="15" hidden="false" customHeight="false" outlineLevel="0" collapsed="false">
      <c r="A122" s="1" t="s">
        <v>18</v>
      </c>
      <c r="B122" s="1" t="n">
        <v>15</v>
      </c>
      <c r="D122" s="1" t="n">
        <v>24201184</v>
      </c>
      <c r="E122" s="1" t="n">
        <v>0.125039</v>
      </c>
      <c r="G122" s="1" t="n">
        <v>0.366911173</v>
      </c>
      <c r="H122" s="1" t="n">
        <v>0.37151289</v>
      </c>
      <c r="I122" s="1" t="n">
        <v>0.390244961</v>
      </c>
      <c r="J122" s="1" t="n">
        <v>0.392951012</v>
      </c>
      <c r="K122" s="1" t="n">
        <v>0.388863802</v>
      </c>
      <c r="L122" s="1" t="n">
        <v>0.39444375</v>
      </c>
      <c r="M122" s="1" t="n">
        <v>0.385294437</v>
      </c>
      <c r="N122" s="1" t="n">
        <v>0.390302658</v>
      </c>
      <c r="O122" s="1" t="n">
        <v>0.396658659</v>
      </c>
      <c r="P122" s="1" t="n">
        <v>0.393808603</v>
      </c>
      <c r="R122" s="1" t="n">
        <f aca="false">PERCENTILE(G122:P122,0.9)</f>
        <v>0.3946652409</v>
      </c>
      <c r="S122" s="5" t="n">
        <f aca="false">spmv_1!R$14/R122</f>
        <v>2.79868619841257</v>
      </c>
      <c r="T122" s="6" t="n">
        <f aca="false">S122/32</f>
        <v>0.0874589437003927</v>
      </c>
    </row>
    <row r="123" customFormat="false" ht="15" hidden="false" customHeight="false" outlineLevel="0" collapsed="false">
      <c r="A123" s="1" t="s">
        <v>18</v>
      </c>
      <c r="B123" s="1" t="n">
        <v>16</v>
      </c>
      <c r="D123" s="1" t="n">
        <v>24201184</v>
      </c>
      <c r="E123" s="1" t="n">
        <v>0.116616</v>
      </c>
      <c r="G123" s="1" t="n">
        <v>0.392426729</v>
      </c>
      <c r="H123" s="1" t="n">
        <v>0.40060544</v>
      </c>
      <c r="I123" s="1" t="n">
        <v>0.418355703</v>
      </c>
      <c r="J123" s="1" t="n">
        <v>0.421069145</v>
      </c>
      <c r="K123" s="1" t="n">
        <v>0.416546106</v>
      </c>
      <c r="L123" s="1" t="n">
        <v>0.424417734</v>
      </c>
      <c r="M123" s="1" t="n">
        <v>0.415271044</v>
      </c>
      <c r="N123" s="1" t="n">
        <v>0.420125484</v>
      </c>
      <c r="O123" s="1" t="n">
        <v>0.424288273</v>
      </c>
      <c r="P123" s="1" t="n">
        <v>0.417475224</v>
      </c>
      <c r="R123" s="1" t="n">
        <f aca="false">PERCENTILE(G123:P123,0.9)</f>
        <v>0.4243012191</v>
      </c>
      <c r="S123" s="5" t="n">
        <f aca="false">spmv_1!R$14/R123</f>
        <v>2.60320761048693</v>
      </c>
      <c r="T123" s="6" t="n">
        <f aca="false">S123/32</f>
        <v>0.0813502378277164</v>
      </c>
    </row>
    <row r="124" customFormat="false" ht="15" hidden="false" customHeight="false" outlineLevel="0" collapsed="false">
      <c r="A124" s="1" t="s">
        <v>18</v>
      </c>
      <c r="B124" s="1" t="n">
        <v>17</v>
      </c>
      <c r="D124" s="1" t="n">
        <v>24203338</v>
      </c>
      <c r="E124" s="1" t="n">
        <v>0.088751</v>
      </c>
      <c r="G124" s="1" t="n">
        <v>0.525715113</v>
      </c>
      <c r="H124" s="1" t="n">
        <v>0.531213284</v>
      </c>
      <c r="I124" s="1" t="n">
        <v>0.548600674</v>
      </c>
      <c r="J124" s="1" t="n">
        <v>0.549940109</v>
      </c>
      <c r="K124" s="1" t="n">
        <v>0.547414303</v>
      </c>
      <c r="L124" s="1" t="n">
        <v>0.554489851</v>
      </c>
      <c r="M124" s="1" t="n">
        <v>0.545324564</v>
      </c>
      <c r="N124" s="1" t="n">
        <v>0.54788065</v>
      </c>
      <c r="O124" s="1" t="n">
        <v>0.554274321</v>
      </c>
      <c r="P124" s="1" t="n">
        <v>0.549333811</v>
      </c>
      <c r="R124" s="1" t="n">
        <f aca="false">PERCENTILE(G124:P124,0.9)</f>
        <v>0.554295874</v>
      </c>
      <c r="S124" s="5" t="n">
        <f aca="false">spmv_1!R$14/R124</f>
        <v>1.99269778923161</v>
      </c>
      <c r="T124" s="6" t="n">
        <f aca="false">S124/32</f>
        <v>0.0622718059134877</v>
      </c>
    </row>
    <row r="125" customFormat="false" ht="15" hidden="false" customHeight="false" outlineLevel="0" collapsed="false">
      <c r="A125" s="1" t="s">
        <v>18</v>
      </c>
      <c r="B125" s="1" t="n">
        <v>18</v>
      </c>
      <c r="D125" s="1" t="n">
        <v>24202620</v>
      </c>
      <c r="E125" s="1" t="n">
        <v>0.119436</v>
      </c>
      <c r="G125" s="1" t="n">
        <v>0.382984161</v>
      </c>
      <c r="H125" s="1" t="n">
        <v>0.391059399</v>
      </c>
      <c r="I125" s="1" t="n">
        <v>0.409568071</v>
      </c>
      <c r="J125" s="1" t="n">
        <v>0.409455776</v>
      </c>
      <c r="K125" s="1" t="n">
        <v>0.404786825</v>
      </c>
      <c r="L125" s="1" t="n">
        <v>0.415816069</v>
      </c>
      <c r="M125" s="1" t="n">
        <v>0.406402349</v>
      </c>
      <c r="N125" s="1" t="n">
        <v>0.408982515</v>
      </c>
      <c r="O125" s="1" t="n">
        <v>0.415137053</v>
      </c>
      <c r="P125" s="1" t="n">
        <v>0.408623934</v>
      </c>
      <c r="R125" s="1" t="n">
        <f aca="false">PERCENTILE(G125:P125,0.9)</f>
        <v>0.4152049546</v>
      </c>
      <c r="S125" s="5" t="n">
        <f aca="false">spmv_1!R$14/R125</f>
        <v>2.66023839663497</v>
      </c>
      <c r="T125" s="6" t="n">
        <f aca="false">S125/32</f>
        <v>0.0831324498948429</v>
      </c>
    </row>
    <row r="126" customFormat="false" ht="15" hidden="false" customHeight="false" outlineLevel="0" collapsed="false">
      <c r="A126" s="1" t="s">
        <v>18</v>
      </c>
      <c r="B126" s="1" t="n">
        <v>19</v>
      </c>
      <c r="D126" s="1" t="n">
        <v>24202620</v>
      </c>
      <c r="E126" s="1" t="n">
        <v>0.122095</v>
      </c>
      <c r="G126" s="1" t="n">
        <v>0.376609087</v>
      </c>
      <c r="H126" s="1" t="n">
        <v>0.38129735</v>
      </c>
      <c r="I126" s="1" t="n">
        <v>0.400446653</v>
      </c>
      <c r="J126" s="1" t="n">
        <v>0.401685476</v>
      </c>
      <c r="K126" s="1" t="n">
        <v>0.39479208</v>
      </c>
      <c r="L126" s="1" t="n">
        <v>0.407402039</v>
      </c>
      <c r="M126" s="1" t="n">
        <v>0.396156311</v>
      </c>
      <c r="N126" s="1" t="n">
        <v>0.399936676</v>
      </c>
      <c r="O126" s="1" t="n">
        <v>0.407507658</v>
      </c>
      <c r="P126" s="1" t="n">
        <v>0.398714304</v>
      </c>
      <c r="R126" s="1" t="n">
        <f aca="false">PERCENTILE(G126:P126,0.9)</f>
        <v>0.4074126009</v>
      </c>
      <c r="S126" s="5" t="n">
        <f aca="false">spmv_1!R$14/R126</f>
        <v>2.71111929346317</v>
      </c>
      <c r="T126" s="6" t="n">
        <f aca="false">S126/32</f>
        <v>0.084722477920724</v>
      </c>
    </row>
    <row r="127" customFormat="false" ht="15" hidden="false" customHeight="false" outlineLevel="0" collapsed="false">
      <c r="A127" s="1" t="s">
        <v>18</v>
      </c>
      <c r="B127" s="1" t="n">
        <v>20</v>
      </c>
      <c r="D127" s="1" t="n">
        <v>24202620</v>
      </c>
      <c r="E127" s="1" t="n">
        <v>0.090837</v>
      </c>
      <c r="G127" s="1" t="n">
        <v>0.528417587</v>
      </c>
      <c r="H127" s="1" t="n">
        <v>0.520266533</v>
      </c>
      <c r="I127" s="1" t="n">
        <v>0.534553766</v>
      </c>
      <c r="J127" s="1" t="n">
        <v>0.536953926</v>
      </c>
      <c r="K127" s="1" t="n">
        <v>0.533015013</v>
      </c>
      <c r="L127" s="1" t="n">
        <v>0.539404392</v>
      </c>
      <c r="M127" s="1" t="n">
        <v>0.530428171</v>
      </c>
      <c r="N127" s="1" t="n">
        <v>0.531761169</v>
      </c>
      <c r="O127" s="1" t="n">
        <v>0.538226843</v>
      </c>
      <c r="P127" s="1" t="n">
        <v>0.53574729</v>
      </c>
      <c r="R127" s="1" t="n">
        <f aca="false">PERCENTILE(G127:P127,0.9)</f>
        <v>0.5383445979</v>
      </c>
      <c r="S127" s="5" t="n">
        <f aca="false">spmv_1!R$14/R127</f>
        <v>2.05174188987622</v>
      </c>
      <c r="T127" s="6" t="n">
        <f aca="false">S127/32</f>
        <v>0.0641169340586319</v>
      </c>
    </row>
    <row r="128" customFormat="false" ht="15" hidden="false" customHeight="false" outlineLevel="0" collapsed="false">
      <c r="A128" s="1" t="s">
        <v>18</v>
      </c>
      <c r="B128" s="1" t="n">
        <v>21</v>
      </c>
      <c r="D128" s="1" t="n">
        <v>24202620</v>
      </c>
      <c r="E128" s="1" t="n">
        <v>0.124887</v>
      </c>
      <c r="G128" s="1" t="n">
        <v>0.390940189</v>
      </c>
      <c r="H128" s="1" t="n">
        <v>0.381876707</v>
      </c>
      <c r="I128" s="1" t="n">
        <v>0.385273695</v>
      </c>
      <c r="J128" s="1" t="n">
        <v>0.390685558</v>
      </c>
      <c r="K128" s="1" t="n">
        <v>0.384636164</v>
      </c>
      <c r="L128" s="1" t="n">
        <v>0.394626379</v>
      </c>
      <c r="M128" s="1" t="n">
        <v>0.383669853</v>
      </c>
      <c r="N128" s="1" t="n">
        <v>0.386771441</v>
      </c>
      <c r="O128" s="1" t="n">
        <v>0.393047571</v>
      </c>
      <c r="P128" s="1" t="n">
        <v>0.384380579</v>
      </c>
      <c r="R128" s="1" t="n">
        <f aca="false">PERCENTILE(G128:P128,0.9)</f>
        <v>0.3932054518</v>
      </c>
      <c r="S128" s="5" t="n">
        <f aca="false">spmv_1!R$14/R128</f>
        <v>2.80907641957573</v>
      </c>
      <c r="T128" s="6" t="n">
        <f aca="false">S128/32</f>
        <v>0.0877836381117415</v>
      </c>
    </row>
    <row r="129" customFormat="false" ht="15" hidden="false" customHeight="false" outlineLevel="0" collapsed="false">
      <c r="A129" s="1" t="s">
        <v>18</v>
      </c>
      <c r="B129" s="1" t="n">
        <v>22</v>
      </c>
      <c r="D129" s="1" t="n">
        <v>24202620</v>
      </c>
      <c r="E129" s="1" t="n">
        <v>0.091789</v>
      </c>
      <c r="G129" s="1" t="n">
        <v>0.538762093</v>
      </c>
      <c r="H129" s="1" t="n">
        <v>0.527161121</v>
      </c>
      <c r="I129" s="1" t="n">
        <v>0.527731657</v>
      </c>
      <c r="J129" s="1" t="n">
        <v>0.526718378</v>
      </c>
      <c r="K129" s="1" t="n">
        <v>0.532322884</v>
      </c>
      <c r="L129" s="1" t="n">
        <v>0.525604486</v>
      </c>
      <c r="M129" s="1" t="n">
        <v>0.522204399</v>
      </c>
      <c r="N129" s="1" t="n">
        <v>0.523301601</v>
      </c>
      <c r="O129" s="1" t="n">
        <v>0.525432587</v>
      </c>
      <c r="P129" s="1" t="n">
        <v>0.524312735</v>
      </c>
      <c r="R129" s="1" t="n">
        <f aca="false">PERCENTILE(G129:P129,0.9)</f>
        <v>0.5329668049</v>
      </c>
      <c r="S129" s="5" t="n">
        <f aca="false">spmv_1!R$14/R129</f>
        <v>2.07244457355509</v>
      </c>
      <c r="T129" s="6" t="n">
        <f aca="false">S129/32</f>
        <v>0.0647638929235966</v>
      </c>
    </row>
    <row r="130" customFormat="false" ht="15" hidden="false" customHeight="false" outlineLevel="0" collapsed="false">
      <c r="A130" s="1" t="s">
        <v>18</v>
      </c>
      <c r="B130" s="1" t="n">
        <v>23</v>
      </c>
      <c r="D130" s="1" t="n">
        <v>24202620</v>
      </c>
      <c r="E130" s="1" t="n">
        <v>0.12988</v>
      </c>
      <c r="G130" s="1" t="n">
        <v>0.38863492</v>
      </c>
      <c r="H130" s="1" t="n">
        <v>0.37504077</v>
      </c>
      <c r="I130" s="1" t="n">
        <v>0.373519897</v>
      </c>
      <c r="J130" s="1" t="n">
        <v>0.367124081</v>
      </c>
      <c r="K130" s="1" t="n">
        <v>0.378161669</v>
      </c>
      <c r="L130" s="1" t="n">
        <v>0.366012096</v>
      </c>
      <c r="M130" s="1" t="n">
        <v>0.369635582</v>
      </c>
      <c r="N130" s="1" t="n">
        <v>0.370169878</v>
      </c>
      <c r="O130" s="1" t="n">
        <v>0.369400024</v>
      </c>
      <c r="P130" s="1" t="n">
        <v>0.369218111</v>
      </c>
      <c r="R130" s="1" t="n">
        <f aca="false">PERCENTILE(G130:P130,0.9)</f>
        <v>0.3792089941</v>
      </c>
      <c r="S130" s="5" t="n">
        <f aca="false">spmv_1!R$14/R130</f>
        <v>2.91275834667762</v>
      </c>
      <c r="T130" s="6" t="n">
        <f aca="false">S130/32</f>
        <v>0.0910236983336757</v>
      </c>
    </row>
    <row r="131" customFormat="false" ht="15" hidden="false" customHeight="false" outlineLevel="0" collapsed="false">
      <c r="A131" s="1" t="s">
        <v>18</v>
      </c>
      <c r="B131" s="1" t="n">
        <v>24</v>
      </c>
      <c r="D131" s="1" t="n">
        <v>24202620</v>
      </c>
      <c r="E131" s="1" t="n">
        <v>0.120358</v>
      </c>
      <c r="G131" s="1" t="n">
        <v>0.414989233</v>
      </c>
      <c r="H131" s="1" t="n">
        <v>0.402112722</v>
      </c>
      <c r="I131" s="1" t="n">
        <v>0.403442383</v>
      </c>
      <c r="J131" s="1" t="n">
        <v>0.398185968</v>
      </c>
      <c r="K131" s="1" t="n">
        <v>0.40595746</v>
      </c>
      <c r="L131" s="1" t="n">
        <v>0.396558285</v>
      </c>
      <c r="M131" s="1" t="n">
        <v>0.397837162</v>
      </c>
      <c r="N131" s="1" t="n">
        <v>0.398884773</v>
      </c>
      <c r="O131" s="1" t="n">
        <v>0.400443792</v>
      </c>
      <c r="P131" s="1" t="n">
        <v>0.403350115</v>
      </c>
      <c r="R131" s="1" t="n">
        <f aca="false">PERCENTILE(G131:P131,0.9)</f>
        <v>0.4068606373</v>
      </c>
      <c r="S131" s="5" t="n">
        <f aca="false">spmv_1!R$14/R131</f>
        <v>2.71479730757429</v>
      </c>
      <c r="T131" s="6" t="n">
        <f aca="false">S131/32</f>
        <v>0.0848374158616966</v>
      </c>
    </row>
    <row r="132" customFormat="false" ht="15" hidden="false" customHeight="false" outlineLevel="0" collapsed="false">
      <c r="A132" s="1" t="s">
        <v>18</v>
      </c>
      <c r="B132" s="1" t="n">
        <v>25</v>
      </c>
      <c r="D132" s="1" t="n">
        <v>24202620</v>
      </c>
      <c r="E132" s="1" t="n">
        <v>0.117959</v>
      </c>
      <c r="G132" s="1" t="n">
        <v>0.421730042</v>
      </c>
      <c r="H132" s="1" t="n">
        <v>0.410694838</v>
      </c>
      <c r="I132" s="1" t="n">
        <v>0.411179304</v>
      </c>
      <c r="J132" s="1" t="n">
        <v>0.407708883</v>
      </c>
      <c r="K132" s="1" t="n">
        <v>0.412706614</v>
      </c>
      <c r="L132" s="1" t="n">
        <v>0.403973579</v>
      </c>
      <c r="M132" s="1" t="n">
        <v>0.407574177</v>
      </c>
      <c r="N132" s="1" t="n">
        <v>0.405919552</v>
      </c>
      <c r="O132" s="1" t="n">
        <v>0.408332825</v>
      </c>
      <c r="P132" s="1" t="n">
        <v>0.413755655</v>
      </c>
      <c r="R132" s="1" t="n">
        <f aca="false">PERCENTILE(G132:P132,0.9)</f>
        <v>0.4145530937</v>
      </c>
      <c r="S132" s="5" t="n">
        <f aca="false">spmv_1!R$14/R132</f>
        <v>2.66442146853046</v>
      </c>
      <c r="T132" s="6" t="n">
        <f aca="false">S132/32</f>
        <v>0.0832631708915769</v>
      </c>
    </row>
    <row r="133" customFormat="false" ht="15" hidden="false" customHeight="false" outlineLevel="0" collapsed="false">
      <c r="A133" s="1" t="s">
        <v>18</v>
      </c>
      <c r="B133" s="1" t="n">
        <v>26</v>
      </c>
      <c r="D133" s="1" t="n">
        <v>24202620</v>
      </c>
      <c r="E133" s="1" t="n">
        <v>0.114515</v>
      </c>
      <c r="G133" s="1" t="n">
        <v>0.430716515</v>
      </c>
      <c r="H133" s="1" t="n">
        <v>0.419739485</v>
      </c>
      <c r="I133" s="1" t="n">
        <v>0.418064117</v>
      </c>
      <c r="J133" s="1" t="n">
        <v>0.417258263</v>
      </c>
      <c r="K133" s="1" t="n">
        <v>0.42160368</v>
      </c>
      <c r="L133" s="1" t="n">
        <v>0.412490129</v>
      </c>
      <c r="M133" s="1" t="n">
        <v>0.41649437</v>
      </c>
      <c r="N133" s="1" t="n">
        <v>0.415638208</v>
      </c>
      <c r="O133" s="1" t="n">
        <v>0.447405577</v>
      </c>
      <c r="P133" s="1" t="n">
        <v>0.427579403</v>
      </c>
      <c r="R133" s="1" t="n">
        <f aca="false">PERCENTILE(G133:P133,0.9)</f>
        <v>0.4323854212</v>
      </c>
      <c r="S133" s="5" t="n">
        <f aca="false">spmv_1!R$14/R133</f>
        <v>2.55453608873897</v>
      </c>
      <c r="T133" s="6" t="n">
        <f aca="false">S133/32</f>
        <v>0.0798292527730928</v>
      </c>
    </row>
    <row r="134" customFormat="false" ht="15" hidden="false" customHeight="false" outlineLevel="0" collapsed="false">
      <c r="A134" s="1" t="s">
        <v>18</v>
      </c>
      <c r="B134" s="1" t="n">
        <v>27</v>
      </c>
      <c r="D134" s="1" t="n">
        <v>24202620</v>
      </c>
      <c r="E134" s="1" t="n">
        <v>0.113603</v>
      </c>
      <c r="G134" s="1" t="n">
        <v>0.436969757</v>
      </c>
      <c r="H134" s="1" t="n">
        <v>0.426811457</v>
      </c>
      <c r="I134" s="1" t="n">
        <v>0.424773455</v>
      </c>
      <c r="J134" s="1" t="n">
        <v>0.424356222</v>
      </c>
      <c r="K134" s="1" t="n">
        <v>0.428621292</v>
      </c>
      <c r="L134" s="1" t="n">
        <v>0.420119047</v>
      </c>
      <c r="M134" s="1" t="n">
        <v>0.423449516</v>
      </c>
      <c r="N134" s="1" t="n">
        <v>0.422398567</v>
      </c>
      <c r="O134" s="1" t="n">
        <v>0.424568892</v>
      </c>
      <c r="P134" s="1" t="n">
        <v>0.428843021</v>
      </c>
      <c r="R134" s="1" t="n">
        <f aca="false">PERCENTILE(G134:P134,0.9)</f>
        <v>0.4296556946</v>
      </c>
      <c r="S134" s="5" t="n">
        <f aca="false">spmv_1!R$14/R134</f>
        <v>2.57076579359272</v>
      </c>
      <c r="T134" s="6" t="n">
        <f aca="false">S134/32</f>
        <v>0.0803364310497725</v>
      </c>
    </row>
    <row r="135" customFormat="false" ht="15" hidden="false" customHeight="false" outlineLevel="0" collapsed="false">
      <c r="A135" s="1" t="s">
        <v>18</v>
      </c>
      <c r="B135" s="1" t="n">
        <v>28</v>
      </c>
      <c r="D135" s="1" t="n">
        <v>24202620</v>
      </c>
      <c r="E135" s="1" t="n">
        <v>0.111687</v>
      </c>
      <c r="G135" s="1" t="n">
        <v>0.444044113</v>
      </c>
      <c r="H135" s="1" t="n">
        <v>0.434440851</v>
      </c>
      <c r="I135" s="1" t="n">
        <v>0.433177233</v>
      </c>
      <c r="J135" s="1" t="n">
        <v>0.431153059</v>
      </c>
      <c r="K135" s="1" t="n">
        <v>0.435552597</v>
      </c>
      <c r="L135" s="1" t="n">
        <v>0.427675009</v>
      </c>
      <c r="M135" s="1" t="n">
        <v>0.430660725</v>
      </c>
      <c r="N135" s="1" t="n">
        <v>0.429382086</v>
      </c>
      <c r="O135" s="1" t="n">
        <v>0.432132244</v>
      </c>
      <c r="P135" s="1" t="n">
        <v>0.435795546</v>
      </c>
      <c r="R135" s="1" t="n">
        <f aca="false">PERCENTILE(G135:P135,0.9)</f>
        <v>0.4366204027</v>
      </c>
      <c r="S135" s="5" t="n">
        <f aca="false">spmv_1!R$14/R135</f>
        <v>2.52975847182049</v>
      </c>
      <c r="T135" s="6" t="n">
        <f aca="false">S135/32</f>
        <v>0.0790549522443904</v>
      </c>
    </row>
    <row r="136" customFormat="false" ht="15" hidden="false" customHeight="false" outlineLevel="0" collapsed="false">
      <c r="A136" s="1" t="s">
        <v>18</v>
      </c>
      <c r="B136" s="1" t="n">
        <v>29</v>
      </c>
      <c r="D136" s="1" t="n">
        <v>24202620</v>
      </c>
      <c r="E136" s="1" t="n">
        <v>0.082627</v>
      </c>
      <c r="G136" s="1" t="n">
        <v>0.59964776</v>
      </c>
      <c r="H136" s="1" t="n">
        <v>0.588449001</v>
      </c>
      <c r="I136" s="1" t="n">
        <v>0.586362362</v>
      </c>
      <c r="J136" s="1" t="n">
        <v>0.582652569</v>
      </c>
      <c r="K136" s="1" t="n">
        <v>0.589490652</v>
      </c>
      <c r="L136" s="1" t="n">
        <v>0.576527596</v>
      </c>
      <c r="M136" s="1" t="n">
        <v>0.581806898</v>
      </c>
      <c r="N136" s="1" t="n">
        <v>0.580327749</v>
      </c>
      <c r="O136" s="1" t="n">
        <v>0.583209276</v>
      </c>
      <c r="P136" s="1" t="n">
        <v>0.589776278</v>
      </c>
      <c r="R136" s="1" t="n">
        <f aca="false">PERCENTILE(G136:P136,0.9)</f>
        <v>0.5907634262</v>
      </c>
      <c r="S136" s="5" t="n">
        <f aca="false">spmv_1!R$14/R136</f>
        <v>1.86968947926384</v>
      </c>
      <c r="T136" s="6" t="n">
        <f aca="false">S136/32</f>
        <v>0.058427796226995</v>
      </c>
    </row>
    <row r="137" customFormat="false" ht="15" hidden="false" customHeight="false" outlineLevel="0" collapsed="false">
      <c r="A137" s="1" t="s">
        <v>18</v>
      </c>
      <c r="B137" s="1" t="n">
        <v>30</v>
      </c>
      <c r="D137" s="1" t="n">
        <v>24201902</v>
      </c>
      <c r="E137" s="1" t="n">
        <v>0.083059</v>
      </c>
      <c r="G137" s="1" t="n">
        <v>0.596972942</v>
      </c>
      <c r="H137" s="1" t="n">
        <v>0.585125208</v>
      </c>
      <c r="I137" s="1" t="n">
        <v>0.583586216</v>
      </c>
      <c r="J137" s="1" t="n">
        <v>0.579463243</v>
      </c>
      <c r="K137" s="1" t="n">
        <v>0.586307764</v>
      </c>
      <c r="L137" s="1" t="n">
        <v>0.573408604</v>
      </c>
      <c r="M137" s="1" t="n">
        <v>0.578803062</v>
      </c>
      <c r="N137" s="1" t="n">
        <v>0.577060938</v>
      </c>
      <c r="O137" s="1" t="n">
        <v>0.580089092</v>
      </c>
      <c r="P137" s="1" t="n">
        <v>0.586794853</v>
      </c>
      <c r="R137" s="1" t="n">
        <f aca="false">PERCENTILE(G137:P137,0.9)</f>
        <v>0.5878126619</v>
      </c>
      <c r="S137" s="5" t="n">
        <f aca="false">spmv_1!R$14/R137</f>
        <v>1.87907514467238</v>
      </c>
      <c r="T137" s="6" t="n">
        <f aca="false">S137/32</f>
        <v>0.0587210982710119</v>
      </c>
    </row>
    <row r="138" customFormat="false" ht="15" hidden="false" customHeight="false" outlineLevel="0" collapsed="false">
      <c r="A138" s="1" t="s">
        <v>18</v>
      </c>
      <c r="B138" s="1" t="n">
        <v>31</v>
      </c>
      <c r="D138" s="1" t="n">
        <v>24198312</v>
      </c>
      <c r="E138" s="1" t="n">
        <v>0.082283</v>
      </c>
      <c r="G138" s="1" t="n">
        <v>0.602681398</v>
      </c>
      <c r="H138" s="1" t="n">
        <v>0.590860128</v>
      </c>
      <c r="I138" s="1" t="n">
        <v>0.589043856</v>
      </c>
      <c r="J138" s="1" t="n">
        <v>0.584800005</v>
      </c>
      <c r="K138" s="1" t="n">
        <v>0.591524363</v>
      </c>
      <c r="L138" s="1" t="n">
        <v>0.578327656</v>
      </c>
      <c r="M138" s="1" t="n">
        <v>0.58465147</v>
      </c>
      <c r="N138" s="1" t="n">
        <v>0.582108259</v>
      </c>
      <c r="O138" s="1" t="n">
        <v>0.585171223</v>
      </c>
      <c r="P138" s="1" t="n">
        <v>0.59256649</v>
      </c>
      <c r="R138" s="1" t="n">
        <f aca="false">PERCENTILE(G138:P138,0.9)</f>
        <v>0.5935779808</v>
      </c>
      <c r="S138" s="5" t="n">
        <f aca="false">spmv_1!R$14/R138</f>
        <v>1.8608240171095</v>
      </c>
      <c r="T138" s="6" t="n">
        <f aca="false">S138/32</f>
        <v>0.0581507505346718</v>
      </c>
    </row>
    <row r="141" customFormat="false" ht="15" hidden="false" customHeight="false" outlineLevel="0" collapsed="false">
      <c r="A141" s="2" t="s">
        <v>0</v>
      </c>
      <c r="B141" s="2" t="s">
        <v>1</v>
      </c>
      <c r="C141" s="3"/>
      <c r="D141" s="2" t="s">
        <v>2</v>
      </c>
      <c r="E141" s="2" t="s">
        <v>3</v>
      </c>
      <c r="F141" s="3"/>
      <c r="G141" s="2" t="s">
        <v>4</v>
      </c>
      <c r="H141" s="2" t="s">
        <v>5</v>
      </c>
      <c r="I141" s="2" t="s">
        <v>6</v>
      </c>
      <c r="J141" s="2" t="s">
        <v>7</v>
      </c>
      <c r="K141" s="2" t="s">
        <v>8</v>
      </c>
      <c r="L141" s="2" t="s">
        <v>9</v>
      </c>
      <c r="M141" s="2" t="s">
        <v>10</v>
      </c>
      <c r="N141" s="2" t="s">
        <v>11</v>
      </c>
      <c r="O141" s="2" t="s">
        <v>12</v>
      </c>
      <c r="P141" s="2" t="s">
        <v>13</v>
      </c>
      <c r="R141" s="4" t="s">
        <v>14</v>
      </c>
      <c r="S141" s="7" t="s">
        <v>20</v>
      </c>
      <c r="T141" s="8" t="s">
        <v>21</v>
      </c>
    </row>
    <row r="142" customFormat="false" ht="15" hidden="false" customHeight="false" outlineLevel="0" collapsed="false">
      <c r="A142" s="1" t="s">
        <v>19</v>
      </c>
      <c r="B142" s="1" t="n">
        <v>0</v>
      </c>
      <c r="D142" s="1" t="n">
        <v>1163752</v>
      </c>
      <c r="E142" s="1" t="n">
        <v>0.190845</v>
      </c>
      <c r="G142" s="1" t="n">
        <v>0.012688637</v>
      </c>
      <c r="H142" s="1" t="n">
        <v>0.012151957</v>
      </c>
      <c r="I142" s="1" t="n">
        <v>0.012263536</v>
      </c>
      <c r="J142" s="1" t="n">
        <v>0.012297869</v>
      </c>
      <c r="K142" s="1" t="n">
        <v>0.012175083</v>
      </c>
      <c r="L142" s="1" t="n">
        <v>0.012238264</v>
      </c>
      <c r="M142" s="1" t="n">
        <v>0.011821508</v>
      </c>
      <c r="N142" s="1" t="n">
        <v>0.01213789</v>
      </c>
      <c r="O142" s="1" t="n">
        <v>0.012097836</v>
      </c>
      <c r="P142" s="1" t="n">
        <v>0.012085199</v>
      </c>
      <c r="R142" s="1" t="n">
        <f aca="false">PERCENTILE(G142:P142,0.9)</f>
        <v>0.0123369458</v>
      </c>
      <c r="S142" s="5" t="n">
        <f aca="false">spmv_1!R$18/R142</f>
        <v>6.28508303894794</v>
      </c>
      <c r="T142" s="6" t="n">
        <f aca="false">S142/32</f>
        <v>0.196408844967123</v>
      </c>
    </row>
    <row r="143" customFormat="false" ht="15" hidden="false" customHeight="false" outlineLevel="0" collapsed="false">
      <c r="A143" s="1" t="s">
        <v>19</v>
      </c>
      <c r="B143" s="1" t="n">
        <v>1</v>
      </c>
      <c r="D143" s="1" t="n">
        <v>1150316</v>
      </c>
      <c r="E143" s="1" t="n">
        <v>0.187303</v>
      </c>
      <c r="G143" s="1" t="n">
        <v>0.012783766</v>
      </c>
      <c r="H143" s="1" t="n">
        <v>0.01230526</v>
      </c>
      <c r="I143" s="1" t="n">
        <v>0.012272835</v>
      </c>
      <c r="J143" s="1" t="n">
        <v>0.01233077</v>
      </c>
      <c r="K143" s="1" t="n">
        <v>0.012278318</v>
      </c>
      <c r="L143" s="1" t="n">
        <v>0.012344122</v>
      </c>
      <c r="M143" s="1" t="n">
        <v>0.011882544</v>
      </c>
      <c r="N143" s="1" t="n">
        <v>0.012187719</v>
      </c>
      <c r="O143" s="1" t="n">
        <v>0.012229919</v>
      </c>
      <c r="P143" s="1" t="n">
        <v>0.012214422</v>
      </c>
      <c r="R143" s="1" t="n">
        <f aca="false">PERCENTILE(G143:P143,0.9)</f>
        <v>0.0123880864</v>
      </c>
      <c r="S143" s="5" t="n">
        <f aca="false">spmv_1!R$18/R143</f>
        <v>6.25913690753723</v>
      </c>
      <c r="T143" s="6" t="n">
        <f aca="false">S143/32</f>
        <v>0.195598028360538</v>
      </c>
    </row>
    <row r="144" customFormat="false" ht="15" hidden="false" customHeight="false" outlineLevel="0" collapsed="false">
      <c r="A144" s="1" t="s">
        <v>19</v>
      </c>
      <c r="B144" s="1" t="n">
        <v>2</v>
      </c>
      <c r="D144" s="1" t="n">
        <v>1142874</v>
      </c>
      <c r="E144" s="1" t="n">
        <v>0.19837</v>
      </c>
      <c r="G144" s="1" t="n">
        <v>0.012648582</v>
      </c>
      <c r="H144" s="1" t="n">
        <v>0.011519194</v>
      </c>
      <c r="I144" s="1" t="n">
        <v>0.011385441</v>
      </c>
      <c r="J144" s="1" t="n">
        <v>0.011436462</v>
      </c>
      <c r="K144" s="1" t="n">
        <v>0.011512518</v>
      </c>
      <c r="L144" s="1" t="n">
        <v>0.011461973</v>
      </c>
      <c r="M144" s="1" t="n">
        <v>0.011089325</v>
      </c>
      <c r="N144" s="1" t="n">
        <v>0.011396646</v>
      </c>
      <c r="O144" s="1" t="n">
        <v>0.011353254</v>
      </c>
      <c r="P144" s="1" t="n">
        <v>0.011422873</v>
      </c>
      <c r="R144" s="1" t="n">
        <f aca="false">PERCENTILE(G144:P144,0.9)</f>
        <v>0.0116321328</v>
      </c>
      <c r="S144" s="5" t="n">
        <f aca="false">spmv_1!R$18/R144</f>
        <v>6.66590814712844</v>
      </c>
      <c r="T144" s="6" t="n">
        <f aca="false">S144/32</f>
        <v>0.208309629597764</v>
      </c>
    </row>
    <row r="145" customFormat="false" ht="15" hidden="false" customHeight="false" outlineLevel="0" collapsed="false">
      <c r="A145" s="1" t="s">
        <v>19</v>
      </c>
      <c r="B145" s="1" t="n">
        <v>3</v>
      </c>
      <c r="D145" s="1" t="n">
        <v>1191523</v>
      </c>
      <c r="E145" s="1" t="n">
        <v>0.199029</v>
      </c>
      <c r="G145" s="1" t="n">
        <v>0.012209177</v>
      </c>
      <c r="H145" s="1" t="n">
        <v>0.011977196</v>
      </c>
      <c r="I145" s="1" t="n">
        <v>0.012018681</v>
      </c>
      <c r="J145" s="1" t="n">
        <v>0.012071848</v>
      </c>
      <c r="K145" s="1" t="n">
        <v>0.011976004</v>
      </c>
      <c r="L145" s="1" t="n">
        <v>0.012064934</v>
      </c>
      <c r="M145" s="1" t="n">
        <v>0.011642456</v>
      </c>
      <c r="N145" s="1" t="n">
        <v>0.01194191</v>
      </c>
      <c r="O145" s="1" t="n">
        <v>0.011874676</v>
      </c>
      <c r="P145" s="1" t="n">
        <v>0.011956453</v>
      </c>
      <c r="R145" s="1" t="n">
        <f aca="false">PERCENTILE(G145:P145,0.9)</f>
        <v>0.0120855809</v>
      </c>
      <c r="S145" s="5" t="n">
        <f aca="false">spmv_1!R$18/R145</f>
        <v>6.4158048704138</v>
      </c>
      <c r="T145" s="6" t="n">
        <f aca="false">S145/32</f>
        <v>0.200493902200431</v>
      </c>
    </row>
    <row r="146" customFormat="false" ht="15" hidden="false" customHeight="false" outlineLevel="0" collapsed="false">
      <c r="A146" s="1" t="s">
        <v>19</v>
      </c>
      <c r="B146" s="1" t="n">
        <v>4</v>
      </c>
      <c r="D146" s="1" t="n">
        <v>1162939</v>
      </c>
      <c r="E146" s="1" t="n">
        <v>0.224393</v>
      </c>
      <c r="G146" s="1" t="n">
        <v>0.010504246</v>
      </c>
      <c r="H146" s="1" t="n">
        <v>0.010297775</v>
      </c>
      <c r="I146" s="1" t="n">
        <v>0.010462761</v>
      </c>
      <c r="J146" s="1" t="n">
        <v>0.010338545</v>
      </c>
      <c r="K146" s="1" t="n">
        <v>0.010411263</v>
      </c>
      <c r="L146" s="1" t="n">
        <v>0.010567427</v>
      </c>
      <c r="M146" s="1" t="n">
        <v>0.010075331</v>
      </c>
      <c r="N146" s="1" t="n">
        <v>0.010341883</v>
      </c>
      <c r="O146" s="1" t="n">
        <v>0.010370255</v>
      </c>
      <c r="P146" s="1" t="n">
        <v>0.010282278</v>
      </c>
      <c r="R146" s="1" t="n">
        <f aca="false">PERCENTILE(G146:P146,0.9)</f>
        <v>0.0105105641</v>
      </c>
      <c r="S146" s="5" t="n">
        <f aca="false">spmv_1!R$18/R146</f>
        <v>7.37721858334892</v>
      </c>
      <c r="T146" s="6" t="n">
        <f aca="false">S146/32</f>
        <v>0.230538080729654</v>
      </c>
    </row>
    <row r="147" customFormat="false" ht="15" hidden="false" customHeight="false" outlineLevel="0" collapsed="false">
      <c r="A147" s="1" t="s">
        <v>19</v>
      </c>
      <c r="B147" s="1" t="n">
        <v>5</v>
      </c>
      <c r="D147" s="1" t="n">
        <v>1149526</v>
      </c>
      <c r="E147" s="1" t="n">
        <v>0.215519</v>
      </c>
      <c r="G147" s="1" t="n">
        <v>0.010766983</v>
      </c>
      <c r="H147" s="1" t="n">
        <v>0.010510683</v>
      </c>
      <c r="I147" s="1" t="n">
        <v>0.010882139</v>
      </c>
      <c r="J147" s="1" t="n">
        <v>0.010656357</v>
      </c>
      <c r="K147" s="1" t="n">
        <v>0.010670185</v>
      </c>
      <c r="L147" s="1" t="n">
        <v>0.010694504</v>
      </c>
      <c r="M147" s="1" t="n">
        <v>0.010569096</v>
      </c>
      <c r="N147" s="1" t="n">
        <v>0.010668039</v>
      </c>
      <c r="O147" s="1" t="n">
        <v>0.010608196</v>
      </c>
      <c r="P147" s="1" t="n">
        <v>0.010648727</v>
      </c>
      <c r="R147" s="1" t="n">
        <f aca="false">PERCENTILE(G147:P147,0.9)</f>
        <v>0.0107784986</v>
      </c>
      <c r="S147" s="5" t="n">
        <f aca="false">spmv_1!R$18/R147</f>
        <v>7.19383391672009</v>
      </c>
      <c r="T147" s="6" t="n">
        <f aca="false">S147/32</f>
        <v>0.224807309897503</v>
      </c>
    </row>
    <row r="148" customFormat="false" ht="15" hidden="false" customHeight="false" outlineLevel="0" collapsed="false">
      <c r="A148" s="1" t="s">
        <v>19</v>
      </c>
      <c r="B148" s="1" t="n">
        <v>6</v>
      </c>
      <c r="D148" s="1" t="n">
        <v>1141798</v>
      </c>
      <c r="E148" s="1" t="n">
        <v>0.19667</v>
      </c>
      <c r="G148" s="1" t="n">
        <v>0.01251626</v>
      </c>
      <c r="H148" s="1" t="n">
        <v>0.011392832</v>
      </c>
      <c r="I148" s="1" t="n">
        <v>0.011528015</v>
      </c>
      <c r="J148" s="1" t="n">
        <v>0.011708736</v>
      </c>
      <c r="K148" s="1" t="n">
        <v>0.011633635</v>
      </c>
      <c r="L148" s="1" t="n">
        <v>0.011460543</v>
      </c>
      <c r="M148" s="1" t="n">
        <v>0.011403561</v>
      </c>
      <c r="N148" s="1" t="n">
        <v>0.011602163</v>
      </c>
      <c r="O148" s="1" t="n">
        <v>0.011423111</v>
      </c>
      <c r="P148" s="1" t="n">
        <v>0.01144433</v>
      </c>
      <c r="R148" s="1" t="n">
        <f aca="false">PERCENTILE(G148:P148,0.9)</f>
        <v>0.0117894884</v>
      </c>
      <c r="S148" s="5" t="n">
        <f aca="false">spmv_1!R$18/R148</f>
        <v>6.57693753700118</v>
      </c>
      <c r="T148" s="6" t="n">
        <f aca="false">S148/32</f>
        <v>0.205529298031287</v>
      </c>
    </row>
    <row r="149" customFormat="false" ht="15" hidden="false" customHeight="false" outlineLevel="0" collapsed="false">
      <c r="A149" s="1" t="s">
        <v>19</v>
      </c>
      <c r="B149" s="1" t="n">
        <v>7</v>
      </c>
      <c r="D149" s="1" t="n">
        <v>1188979</v>
      </c>
      <c r="E149" s="1" t="n">
        <v>0.196395</v>
      </c>
      <c r="G149" s="1" t="n">
        <v>0.012987137</v>
      </c>
      <c r="H149" s="1" t="n">
        <v>0.011896849</v>
      </c>
      <c r="I149" s="1" t="n">
        <v>0.012052298</v>
      </c>
      <c r="J149" s="1" t="n">
        <v>0.012198448</v>
      </c>
      <c r="K149" s="1" t="n">
        <v>0.012092829</v>
      </c>
      <c r="L149" s="1" t="n">
        <v>0.011937141</v>
      </c>
      <c r="M149" s="1" t="n">
        <v>0.011904478</v>
      </c>
      <c r="N149" s="1" t="n">
        <v>0.012013912</v>
      </c>
      <c r="O149" s="1" t="n">
        <v>0.011953354</v>
      </c>
      <c r="P149" s="1" t="n">
        <v>0.012044191</v>
      </c>
      <c r="R149" s="1" t="n">
        <f aca="false">PERCENTILE(G149:P149,0.9)</f>
        <v>0.0122773169</v>
      </c>
      <c r="S149" s="5" t="n">
        <f aca="false">spmv_1!R$18/R149</f>
        <v>6.31560864898747</v>
      </c>
      <c r="T149" s="6" t="n">
        <f aca="false">S149/32</f>
        <v>0.197362770280858</v>
      </c>
    </row>
    <row r="150" customFormat="false" ht="15" hidden="false" customHeight="false" outlineLevel="0" collapsed="false">
      <c r="A150" s="1" t="s">
        <v>19</v>
      </c>
      <c r="B150" s="1" t="n">
        <v>8</v>
      </c>
      <c r="D150" s="1" t="n">
        <v>1162794</v>
      </c>
      <c r="E150" s="1" t="n">
        <v>0.197871</v>
      </c>
      <c r="G150" s="1" t="n">
        <v>0.011571407</v>
      </c>
      <c r="H150" s="1" t="n">
        <v>0.011387587</v>
      </c>
      <c r="I150" s="1" t="n">
        <v>0.011896849</v>
      </c>
      <c r="J150" s="1" t="n">
        <v>0.011781931</v>
      </c>
      <c r="K150" s="1" t="n">
        <v>0.011874914</v>
      </c>
      <c r="L150" s="1" t="n">
        <v>0.011830807</v>
      </c>
      <c r="M150" s="1" t="n">
        <v>0.011718988</v>
      </c>
      <c r="N150" s="1" t="n">
        <v>0.011875391</v>
      </c>
      <c r="O150" s="1" t="n">
        <v>0.011803389</v>
      </c>
      <c r="P150" s="1" t="n">
        <v>0.011789322</v>
      </c>
      <c r="R150" s="1" t="n">
        <f aca="false">PERCENTILE(G150:P150,0.9)</f>
        <v>0.0118775368</v>
      </c>
      <c r="S150" s="5" t="n">
        <f aca="false">spmv_1!R$18/R150</f>
        <v>6.52818257738423</v>
      </c>
      <c r="T150" s="6" t="n">
        <f aca="false">S150/32</f>
        <v>0.204005705543257</v>
      </c>
    </row>
    <row r="151" customFormat="false" ht="15" hidden="false" customHeight="false" outlineLevel="0" collapsed="false">
      <c r="A151" s="1" t="s">
        <v>19</v>
      </c>
      <c r="B151" s="1" t="n">
        <v>9</v>
      </c>
      <c r="D151" s="1" t="n">
        <v>1147314</v>
      </c>
      <c r="E151" s="1" t="n">
        <v>0.197597</v>
      </c>
      <c r="G151" s="1" t="n">
        <v>0.011430502</v>
      </c>
      <c r="H151" s="1" t="n">
        <v>0.011253357</v>
      </c>
      <c r="I151" s="1" t="n">
        <v>0.011772394</v>
      </c>
      <c r="J151" s="1" t="n">
        <v>0.011636496</v>
      </c>
      <c r="K151" s="1" t="n">
        <v>0.011754751</v>
      </c>
      <c r="L151" s="1" t="n">
        <v>0.011666775</v>
      </c>
      <c r="M151" s="1" t="n">
        <v>0.011561632</v>
      </c>
      <c r="N151" s="1" t="n">
        <v>0.011753559</v>
      </c>
      <c r="O151" s="1" t="n">
        <v>0.011653662</v>
      </c>
      <c r="P151" s="1" t="n">
        <v>0.01164341</v>
      </c>
      <c r="R151" s="1" t="n">
        <f aca="false">PERCENTILE(G151:P151,0.9)</f>
        <v>0.0117565153</v>
      </c>
      <c r="S151" s="5" t="n">
        <f aca="false">spmv_1!R$18/R151</f>
        <v>6.59538365079999</v>
      </c>
      <c r="T151" s="6" t="n">
        <f aca="false">S151/32</f>
        <v>0.2061057390875</v>
      </c>
    </row>
    <row r="152" customFormat="false" ht="15" hidden="false" customHeight="false" outlineLevel="0" collapsed="false">
      <c r="A152" s="1" t="s">
        <v>19</v>
      </c>
      <c r="B152" s="1" t="n">
        <v>10</v>
      </c>
      <c r="D152" s="1" t="n">
        <v>1143166</v>
      </c>
      <c r="E152" s="1" t="n">
        <v>0.200922</v>
      </c>
      <c r="G152" s="1" t="n">
        <v>0.011231184</v>
      </c>
      <c r="H152" s="1" t="n">
        <v>0.011070013</v>
      </c>
      <c r="I152" s="1" t="n">
        <v>0.01148653</v>
      </c>
      <c r="J152" s="1" t="n">
        <v>0.011419296</v>
      </c>
      <c r="K152" s="1" t="n">
        <v>0.011565447</v>
      </c>
      <c r="L152" s="1" t="n">
        <v>0.011457682</v>
      </c>
      <c r="M152" s="1" t="n">
        <v>0.011316061</v>
      </c>
      <c r="N152" s="1" t="n">
        <v>0.011477709</v>
      </c>
      <c r="O152" s="1" t="n">
        <v>0.011407614</v>
      </c>
      <c r="P152" s="1" t="n">
        <v>0.011360645</v>
      </c>
      <c r="R152" s="1" t="n">
        <f aca="false">PERCENTILE(G152:P152,0.9)</f>
        <v>0.0114944217</v>
      </c>
      <c r="S152" s="5" t="n">
        <f aca="false">spmv_1!R$18/R152</f>
        <v>6.74577032440005</v>
      </c>
      <c r="T152" s="6" t="n">
        <f aca="false">S152/32</f>
        <v>0.210805322637502</v>
      </c>
    </row>
    <row r="153" customFormat="false" ht="15" hidden="false" customHeight="false" outlineLevel="0" collapsed="false">
      <c r="A153" s="1" t="s">
        <v>19</v>
      </c>
      <c r="B153" s="1" t="n">
        <v>11</v>
      </c>
      <c r="D153" s="1" t="n">
        <v>1189676</v>
      </c>
      <c r="E153" s="1" t="n">
        <v>0.209279</v>
      </c>
      <c r="G153" s="1" t="n">
        <v>0.011214733</v>
      </c>
      <c r="H153" s="1" t="n">
        <v>0.011077166</v>
      </c>
      <c r="I153" s="1" t="n">
        <v>0.011484623</v>
      </c>
      <c r="J153" s="1" t="n">
        <v>0.011406422</v>
      </c>
      <c r="K153" s="1" t="n">
        <v>0.011469364</v>
      </c>
      <c r="L153" s="1" t="n">
        <v>0.011462688</v>
      </c>
      <c r="M153" s="1" t="n">
        <v>0.01134038</v>
      </c>
      <c r="N153" s="1" t="n">
        <v>0.011472702</v>
      </c>
      <c r="O153" s="1" t="n">
        <v>0.011400938</v>
      </c>
      <c r="P153" s="1" t="n">
        <v>0.011363983</v>
      </c>
      <c r="R153" s="1" t="n">
        <f aca="false">PERCENTILE(G153:P153,0.9)</f>
        <v>0.0114738941</v>
      </c>
      <c r="S153" s="5" t="n">
        <f aca="false">spmv_1!R$18/R153</f>
        <v>6.75783897988042</v>
      </c>
      <c r="T153" s="6" t="n">
        <f aca="false">S153/32</f>
        <v>0.211182468121263</v>
      </c>
    </row>
    <row r="154" customFormat="false" ht="15" hidden="false" customHeight="false" outlineLevel="0" collapsed="false">
      <c r="A154" s="1" t="s">
        <v>19</v>
      </c>
      <c r="B154" s="1" t="n">
        <v>12</v>
      </c>
      <c r="D154" s="1" t="n">
        <v>1164195</v>
      </c>
      <c r="E154" s="1" t="n">
        <v>0.212806</v>
      </c>
      <c r="G154" s="1" t="n">
        <v>0.010810137</v>
      </c>
      <c r="H154" s="1" t="n">
        <v>0.01072526</v>
      </c>
      <c r="I154" s="1" t="n">
        <v>0.011041641</v>
      </c>
      <c r="J154" s="1" t="n">
        <v>0.010945082</v>
      </c>
      <c r="K154" s="1" t="n">
        <v>0.011113882</v>
      </c>
      <c r="L154" s="1" t="n">
        <v>0.011008978</v>
      </c>
      <c r="M154" s="1" t="n">
        <v>0.010881662</v>
      </c>
      <c r="N154" s="1" t="n">
        <v>0.011031389</v>
      </c>
      <c r="O154" s="1" t="n">
        <v>0.010950327</v>
      </c>
      <c r="P154" s="1" t="n">
        <v>0.010905504</v>
      </c>
      <c r="R154" s="1" t="n">
        <f aca="false">PERCENTILE(G154:P154,0.9)</f>
        <v>0.0110488651</v>
      </c>
      <c r="S154" s="5" t="n">
        <f aca="false">spmv_1!R$18/R154</f>
        <v>7.01780029878363</v>
      </c>
      <c r="T154" s="6" t="n">
        <f aca="false">S154/32</f>
        <v>0.219306259336988</v>
      </c>
    </row>
    <row r="155" customFormat="false" ht="15" hidden="false" customHeight="false" outlineLevel="0" collapsed="false">
      <c r="A155" s="1" t="s">
        <v>19</v>
      </c>
      <c r="B155" s="1" t="n">
        <v>13</v>
      </c>
      <c r="D155" s="1" t="n">
        <v>1147199</v>
      </c>
      <c r="E155" s="1" t="n">
        <v>0.212616</v>
      </c>
      <c r="G155" s="1" t="n">
        <v>0.010694504</v>
      </c>
      <c r="H155" s="1" t="n">
        <v>0.010583162</v>
      </c>
      <c r="I155" s="1" t="n">
        <v>0.010881662</v>
      </c>
      <c r="J155" s="1" t="n">
        <v>0.010844469</v>
      </c>
      <c r="K155" s="1" t="n">
        <v>0.010892868</v>
      </c>
      <c r="L155" s="1" t="n">
        <v>0.010840416</v>
      </c>
      <c r="M155" s="1" t="n">
        <v>0.010700226</v>
      </c>
      <c r="N155" s="1" t="n">
        <v>0.010878325</v>
      </c>
      <c r="O155" s="1" t="n">
        <v>0.010846138</v>
      </c>
      <c r="P155" s="1" t="n">
        <v>0.010751009</v>
      </c>
      <c r="R155" s="1" t="n">
        <f aca="false">PERCENTILE(G155:P155,0.9)</f>
        <v>0.0108827826</v>
      </c>
      <c r="S155" s="5" t="n">
        <f aca="false">spmv_1!R$18/R155</f>
        <v>7.12489917789959</v>
      </c>
      <c r="T155" s="6" t="n">
        <f aca="false">S155/32</f>
        <v>0.222653099309362</v>
      </c>
    </row>
    <row r="156" customFormat="false" ht="15" hidden="false" customHeight="false" outlineLevel="0" collapsed="false">
      <c r="A156" s="1" t="s">
        <v>19</v>
      </c>
      <c r="B156" s="1" t="n">
        <v>14</v>
      </c>
      <c r="D156" s="1" t="n">
        <v>1143020</v>
      </c>
      <c r="E156" s="1" t="n">
        <v>0.21845</v>
      </c>
      <c r="G156" s="1" t="n">
        <v>0.01073122</v>
      </c>
      <c r="H156" s="1" t="n">
        <v>0.010248184</v>
      </c>
      <c r="I156" s="1" t="n">
        <v>0.010486603</v>
      </c>
      <c r="J156" s="1" t="n">
        <v>0.010381699</v>
      </c>
      <c r="K156" s="1" t="n">
        <v>0.010478258</v>
      </c>
      <c r="L156" s="1" t="n">
        <v>0.010679483</v>
      </c>
      <c r="M156" s="1" t="n">
        <v>0.0103302</v>
      </c>
      <c r="N156" s="1" t="n">
        <v>0.010478258</v>
      </c>
      <c r="O156" s="1" t="n">
        <v>0.010452271</v>
      </c>
      <c r="P156" s="1" t="n">
        <v>0.010381937</v>
      </c>
      <c r="R156" s="1" t="n">
        <f aca="false">PERCENTILE(G156:P156,0.9)</f>
        <v>0.0106846567</v>
      </c>
      <c r="S156" s="5" t="n">
        <f aca="false">spmv_1!R$18/R156</f>
        <v>7.25701639061553</v>
      </c>
      <c r="T156" s="6" t="n">
        <f aca="false">S156/32</f>
        <v>0.226781762206735</v>
      </c>
    </row>
    <row r="157" customFormat="false" ht="15" hidden="false" customHeight="false" outlineLevel="0" collapsed="false">
      <c r="A157" s="1" t="s">
        <v>19</v>
      </c>
      <c r="B157" s="1" t="n">
        <v>15</v>
      </c>
      <c r="D157" s="1" t="n">
        <v>1188788</v>
      </c>
      <c r="E157" s="1" t="n">
        <v>0.222817</v>
      </c>
      <c r="G157" s="1" t="n">
        <v>0.011009693</v>
      </c>
      <c r="H157" s="1" t="n">
        <v>0.010052204</v>
      </c>
      <c r="I157" s="1" t="n">
        <v>0.0107584</v>
      </c>
      <c r="J157" s="1" t="n">
        <v>0.010644436</v>
      </c>
      <c r="K157" s="1" t="n">
        <v>0.010710239</v>
      </c>
      <c r="L157" s="1" t="n">
        <v>0.010952711</v>
      </c>
      <c r="M157" s="1" t="n">
        <v>0.010599375</v>
      </c>
      <c r="N157" s="1" t="n">
        <v>0.01070261</v>
      </c>
      <c r="O157" s="1" t="n">
        <v>0.01064229</v>
      </c>
      <c r="P157" s="1" t="n">
        <v>0.010633469</v>
      </c>
      <c r="R157" s="1" t="n">
        <f aca="false">PERCENTILE(G157:P157,0.9)</f>
        <v>0.0109584092</v>
      </c>
      <c r="S157" s="5" t="n">
        <f aca="false">spmv_1!R$18/R157</f>
        <v>7.07572854643902</v>
      </c>
      <c r="T157" s="6" t="n">
        <f aca="false">S157/32</f>
        <v>0.221116517076219</v>
      </c>
    </row>
    <row r="158" customFormat="false" ht="15" hidden="false" customHeight="false" outlineLevel="0" collapsed="false">
      <c r="A158" s="1" t="s">
        <v>19</v>
      </c>
      <c r="B158" s="1" t="n">
        <v>16</v>
      </c>
      <c r="D158" s="1" t="n">
        <v>1162065</v>
      </c>
      <c r="E158" s="1" t="n">
        <v>0.211956</v>
      </c>
      <c r="G158" s="1" t="n">
        <v>0.011276245</v>
      </c>
      <c r="H158" s="1" t="n">
        <v>0.010335684</v>
      </c>
      <c r="I158" s="1" t="n">
        <v>0.011028767</v>
      </c>
      <c r="J158" s="1" t="n">
        <v>0.010923862</v>
      </c>
      <c r="K158" s="1" t="n">
        <v>0.011032581</v>
      </c>
      <c r="L158" s="1" t="n">
        <v>0.011292934</v>
      </c>
      <c r="M158" s="1" t="n">
        <v>0.01091814</v>
      </c>
      <c r="N158" s="1" t="n">
        <v>0.010994911</v>
      </c>
      <c r="O158" s="1" t="n">
        <v>0.010943413</v>
      </c>
      <c r="P158" s="1" t="n">
        <v>0.010904789</v>
      </c>
      <c r="R158" s="1" t="n">
        <f aca="false">PERCENTILE(G158:P158,0.9)</f>
        <v>0.0112779139</v>
      </c>
      <c r="S158" s="5" t="n">
        <f aca="false">spmv_1!R$18/R158</f>
        <v>6.87527227885646</v>
      </c>
      <c r="T158" s="6" t="n">
        <f aca="false">S158/32</f>
        <v>0.214852258714265</v>
      </c>
    </row>
    <row r="159" customFormat="false" ht="15" hidden="false" customHeight="false" outlineLevel="0" collapsed="false">
      <c r="A159" s="1" t="s">
        <v>19</v>
      </c>
      <c r="B159" s="1" t="n">
        <v>17</v>
      </c>
      <c r="D159" s="1" t="n">
        <v>1146262</v>
      </c>
      <c r="E159" s="1" t="n">
        <v>0.206608</v>
      </c>
      <c r="G159" s="1" t="n">
        <v>0.011298656</v>
      </c>
      <c r="H159" s="1" t="n">
        <v>0.010623217</v>
      </c>
      <c r="I159" s="1" t="n">
        <v>0.01119256</v>
      </c>
      <c r="J159" s="1" t="n">
        <v>0.01102972</v>
      </c>
      <c r="K159" s="1" t="n">
        <v>0.011157513</v>
      </c>
      <c r="L159" s="1" t="n">
        <v>0.011389971</v>
      </c>
      <c r="M159" s="1" t="n">
        <v>0.010991812</v>
      </c>
      <c r="N159" s="1" t="n">
        <v>0.011126995</v>
      </c>
      <c r="O159" s="1" t="n">
        <v>0.011081219</v>
      </c>
      <c r="P159" s="1" t="n">
        <v>0.011068344</v>
      </c>
      <c r="R159" s="1" t="n">
        <f aca="false">PERCENTILE(G159:P159,0.9)</f>
        <v>0.0113077875</v>
      </c>
      <c r="S159" s="5" t="n">
        <f aca="false">spmv_1!R$18/R159</f>
        <v>6.85710876685647</v>
      </c>
      <c r="T159" s="6" t="n">
        <f aca="false">S159/32</f>
        <v>0.214284648964265</v>
      </c>
    </row>
    <row r="160" customFormat="false" ht="15" hidden="false" customHeight="false" outlineLevel="0" collapsed="false">
      <c r="A160" s="1" t="s">
        <v>19</v>
      </c>
      <c r="B160" s="1" t="n">
        <v>18</v>
      </c>
      <c r="D160" s="1" t="n">
        <v>1141308</v>
      </c>
      <c r="E160" s="1" t="n">
        <v>0.209512</v>
      </c>
      <c r="G160" s="1" t="n">
        <v>0.011199236</v>
      </c>
      <c r="H160" s="1" t="n">
        <v>0.010401726</v>
      </c>
      <c r="I160" s="1" t="n">
        <v>0.01092577</v>
      </c>
      <c r="J160" s="1" t="n">
        <v>0.010862589</v>
      </c>
      <c r="K160" s="1" t="n">
        <v>0.010922432</v>
      </c>
      <c r="L160" s="1" t="n">
        <v>0.011243582</v>
      </c>
      <c r="M160" s="1" t="n">
        <v>0.01074481</v>
      </c>
      <c r="N160" s="1" t="n">
        <v>0.010969162</v>
      </c>
      <c r="O160" s="1" t="n">
        <v>0.010863781</v>
      </c>
      <c r="P160" s="1" t="n">
        <v>0.010816097</v>
      </c>
      <c r="R160" s="1" t="n">
        <f aca="false">PERCENTILE(G160:P160,0.9)</f>
        <v>0.0112036706</v>
      </c>
      <c r="S160" s="5" t="n">
        <f aca="false">spmv_1!R$18/R160</f>
        <v>6.92083260641383</v>
      </c>
      <c r="T160" s="6" t="n">
        <f aca="false">S160/32</f>
        <v>0.216276018950432</v>
      </c>
    </row>
    <row r="161" customFormat="false" ht="15" hidden="false" customHeight="false" outlineLevel="0" collapsed="false">
      <c r="A161" s="1" t="s">
        <v>19</v>
      </c>
      <c r="B161" s="1" t="n">
        <v>19</v>
      </c>
      <c r="D161" s="1" t="n">
        <v>1187978</v>
      </c>
      <c r="E161" s="1" t="n">
        <v>0.23094</v>
      </c>
      <c r="G161" s="1" t="n">
        <v>0.010704279</v>
      </c>
      <c r="H161" s="1" t="n">
        <v>0.009776354</v>
      </c>
      <c r="I161" s="1" t="n">
        <v>0.010350704</v>
      </c>
      <c r="J161" s="1" t="n">
        <v>0.010231256</v>
      </c>
      <c r="K161" s="1" t="n">
        <v>0.010267019</v>
      </c>
      <c r="L161" s="1" t="n">
        <v>0.010597467</v>
      </c>
      <c r="M161" s="1" t="n">
        <v>0.01014328</v>
      </c>
      <c r="N161" s="1" t="n">
        <v>0.010285616</v>
      </c>
      <c r="O161" s="1" t="n">
        <v>0.01028347</v>
      </c>
      <c r="P161" s="1" t="n">
        <v>0.010242701</v>
      </c>
      <c r="R161" s="1" t="n">
        <f aca="false">PERCENTILE(G161:P161,0.9)</f>
        <v>0.0106081482</v>
      </c>
      <c r="S161" s="5" t="n">
        <f aca="false">spmv_1!R$18/R161</f>
        <v>7.30935572713813</v>
      </c>
      <c r="T161" s="6" t="n">
        <f aca="false">S161/32</f>
        <v>0.228417366473066</v>
      </c>
    </row>
    <row r="162" customFormat="false" ht="15" hidden="false" customHeight="false" outlineLevel="0" collapsed="false">
      <c r="A162" s="1" t="s">
        <v>19</v>
      </c>
      <c r="B162" s="1" t="n">
        <v>20</v>
      </c>
      <c r="D162" s="1" t="n">
        <v>1161782</v>
      </c>
      <c r="E162" s="1" t="n">
        <v>0.228555</v>
      </c>
      <c r="G162" s="1" t="n">
        <v>0.010581732</v>
      </c>
      <c r="H162" s="1" t="n">
        <v>0.009826422</v>
      </c>
      <c r="I162" s="1" t="n">
        <v>0.010173321</v>
      </c>
      <c r="J162" s="1" t="n">
        <v>0.010010481</v>
      </c>
      <c r="K162" s="1" t="n">
        <v>0.010179758</v>
      </c>
      <c r="L162" s="1" t="n">
        <v>0.010454178</v>
      </c>
      <c r="M162" s="1" t="n">
        <v>0.010052681</v>
      </c>
      <c r="N162" s="1" t="n">
        <v>0.010227919</v>
      </c>
      <c r="O162" s="1" t="n">
        <v>0.010047913</v>
      </c>
      <c r="P162" s="1" t="n">
        <v>0.010108709</v>
      </c>
      <c r="R162" s="1" t="n">
        <f aca="false">PERCENTILE(G162:P162,0.9)</f>
        <v>0.0104669334</v>
      </c>
      <c r="S162" s="5" t="n">
        <f aca="false">spmv_1!R$18/R162</f>
        <v>7.40797001727364</v>
      </c>
      <c r="T162" s="6" t="n">
        <f aca="false">S162/32</f>
        <v>0.231499063039801</v>
      </c>
    </row>
    <row r="163" customFormat="false" ht="15" hidden="false" customHeight="false" outlineLevel="0" collapsed="false">
      <c r="A163" s="1" t="s">
        <v>19</v>
      </c>
      <c r="B163" s="1" t="n">
        <v>21</v>
      </c>
      <c r="D163" s="1" t="n">
        <v>1147406</v>
      </c>
      <c r="E163" s="1" t="n">
        <v>0.217576</v>
      </c>
      <c r="G163" s="1" t="n">
        <v>0.010689974</v>
      </c>
      <c r="H163" s="1" t="n">
        <v>0.010334492</v>
      </c>
      <c r="I163" s="1" t="n">
        <v>0.010627747</v>
      </c>
      <c r="J163" s="1" t="n">
        <v>0.010456324</v>
      </c>
      <c r="K163" s="1" t="n">
        <v>0.010588646</v>
      </c>
      <c r="L163" s="1" t="n">
        <v>0.010852814</v>
      </c>
      <c r="M163" s="1" t="n">
        <v>0.010336876</v>
      </c>
      <c r="N163" s="1" t="n">
        <v>0.010627985</v>
      </c>
      <c r="O163" s="1" t="n">
        <v>0.01047802</v>
      </c>
      <c r="P163" s="1" t="n">
        <v>0.010478973</v>
      </c>
      <c r="R163" s="1" t="n">
        <f aca="false">PERCENTILE(G163:P163,0.9)</f>
        <v>0.010706258</v>
      </c>
      <c r="S163" s="5" t="n">
        <f aca="false">spmv_1!R$18/R163</f>
        <v>7.24237439448965</v>
      </c>
      <c r="T163" s="6" t="n">
        <f aca="false">S163/32</f>
        <v>0.226324199827802</v>
      </c>
    </row>
    <row r="164" customFormat="false" ht="15" hidden="false" customHeight="false" outlineLevel="0" collapsed="false">
      <c r="A164" s="1" t="s">
        <v>19</v>
      </c>
      <c r="B164" s="1" t="n">
        <v>22</v>
      </c>
      <c r="D164" s="1" t="n">
        <v>1141377</v>
      </c>
      <c r="E164" s="1" t="n">
        <v>0.215344</v>
      </c>
      <c r="G164" s="1" t="n">
        <v>0.010581255</v>
      </c>
      <c r="H164" s="1" t="n">
        <v>0.010425091</v>
      </c>
      <c r="I164" s="1" t="n">
        <v>0.010709763</v>
      </c>
      <c r="J164" s="1" t="n">
        <v>0.010530949</v>
      </c>
      <c r="K164" s="1" t="n">
        <v>0.010650873</v>
      </c>
      <c r="L164" s="1" t="n">
        <v>0.010913849</v>
      </c>
      <c r="M164" s="1" t="n">
        <v>0.010456324</v>
      </c>
      <c r="N164" s="1" t="n">
        <v>0.01066637</v>
      </c>
      <c r="O164" s="1" t="n">
        <v>0.010574579</v>
      </c>
      <c r="P164" s="1" t="n">
        <v>0.01049614</v>
      </c>
      <c r="R164" s="1" t="n">
        <f aca="false">PERCENTILE(G164:P164,0.9)</f>
        <v>0.0107301716</v>
      </c>
      <c r="S164" s="5" t="n">
        <f aca="false">spmv_1!R$18/R164</f>
        <v>7.22623380971838</v>
      </c>
      <c r="T164" s="6" t="n">
        <f aca="false">S164/32</f>
        <v>0.225819806553699</v>
      </c>
    </row>
    <row r="165" customFormat="false" ht="15" hidden="false" customHeight="false" outlineLevel="0" collapsed="false">
      <c r="A165" s="1" t="s">
        <v>19</v>
      </c>
      <c r="B165" s="1" t="n">
        <v>23</v>
      </c>
      <c r="D165" s="1" t="n">
        <v>1187234</v>
      </c>
      <c r="E165" s="1" t="n">
        <v>0.227551</v>
      </c>
      <c r="G165" s="1" t="n">
        <v>0.010427237</v>
      </c>
      <c r="H165" s="1" t="n">
        <v>0.010237455</v>
      </c>
      <c r="I165" s="1" t="n">
        <v>0.010483503</v>
      </c>
      <c r="J165" s="1" t="n">
        <v>0.010367155</v>
      </c>
      <c r="K165" s="1" t="n">
        <v>0.010540962</v>
      </c>
      <c r="L165" s="1" t="n">
        <v>0.010734558</v>
      </c>
      <c r="M165" s="1" t="n">
        <v>0.010235071</v>
      </c>
      <c r="N165" s="1" t="n">
        <v>0.010529518</v>
      </c>
      <c r="O165" s="1" t="n">
        <v>0.010383844</v>
      </c>
      <c r="P165" s="1" t="n">
        <v>0.010409594</v>
      </c>
      <c r="R165" s="1" t="n">
        <f aca="false">PERCENTILE(G165:P165,0.9)</f>
        <v>0.0105603216</v>
      </c>
      <c r="S165" s="5" t="n">
        <f aca="false">spmv_1!R$18/R165</f>
        <v>7.34245904026256</v>
      </c>
      <c r="T165" s="6" t="n">
        <f aca="false">S165/32</f>
        <v>0.229451845008205</v>
      </c>
    </row>
    <row r="166" customFormat="false" ht="15" hidden="false" customHeight="false" outlineLevel="0" collapsed="false">
      <c r="A166" s="1" t="s">
        <v>19</v>
      </c>
      <c r="B166" s="1" t="n">
        <v>24</v>
      </c>
      <c r="D166" s="1" t="n">
        <v>1162210</v>
      </c>
      <c r="E166" s="1" t="n">
        <v>0.2156</v>
      </c>
      <c r="G166" s="1" t="n">
        <v>0.010809422</v>
      </c>
      <c r="H166" s="1" t="n">
        <v>0.010617495</v>
      </c>
      <c r="I166" s="1" t="n">
        <v>0.01086545</v>
      </c>
      <c r="J166" s="1" t="n">
        <v>0.010717869</v>
      </c>
      <c r="K166" s="1" t="n">
        <v>0.010846376</v>
      </c>
      <c r="L166" s="1" t="n">
        <v>0.011056662</v>
      </c>
      <c r="M166" s="1" t="n">
        <v>0.010582924</v>
      </c>
      <c r="N166" s="1" t="n">
        <v>0.010837078</v>
      </c>
      <c r="O166" s="1" t="n">
        <v>0.010799885</v>
      </c>
      <c r="P166" s="1" t="n">
        <v>0.010678291</v>
      </c>
      <c r="R166" s="1" t="n">
        <f aca="false">PERCENTILE(G166:P166,0.9)</f>
        <v>0.0108845712</v>
      </c>
      <c r="S166" s="5" t="n">
        <f aca="false">spmv_1!R$18/R166</f>
        <v>7.12372838353063</v>
      </c>
      <c r="T166" s="6" t="n">
        <f aca="false">S166/32</f>
        <v>0.222616511985332</v>
      </c>
    </row>
    <row r="167" customFormat="false" ht="15" hidden="false" customHeight="false" outlineLevel="0" collapsed="false">
      <c r="A167" s="1" t="s">
        <v>19</v>
      </c>
      <c r="B167" s="1" t="n">
        <v>25</v>
      </c>
      <c r="D167" s="1" t="n">
        <v>1147609</v>
      </c>
      <c r="E167" s="1" t="n">
        <v>0.209535</v>
      </c>
      <c r="G167" s="1" t="n">
        <v>0.010944605</v>
      </c>
      <c r="H167" s="1" t="n">
        <v>0.010762453</v>
      </c>
      <c r="I167" s="1" t="n">
        <v>0.011044502</v>
      </c>
      <c r="J167" s="1" t="n">
        <v>0.010922432</v>
      </c>
      <c r="K167" s="1" t="n">
        <v>0.011015415</v>
      </c>
      <c r="L167" s="1" t="n">
        <v>0.011249542</v>
      </c>
      <c r="M167" s="1" t="n">
        <v>0.010730743</v>
      </c>
      <c r="N167" s="1" t="n">
        <v>0.010984421</v>
      </c>
      <c r="O167" s="1" t="n">
        <v>0.010983706</v>
      </c>
      <c r="P167" s="1" t="n">
        <v>0.010900736</v>
      </c>
      <c r="R167" s="1" t="n">
        <f aca="false">PERCENTILE(G167:P167,0.9)</f>
        <v>0.011065006</v>
      </c>
      <c r="S167" s="5" t="n">
        <f aca="false">spmv_1!R$18/R167</f>
        <v>7.00756319517586</v>
      </c>
      <c r="T167" s="6" t="n">
        <f aca="false">S167/32</f>
        <v>0.218986349849245</v>
      </c>
    </row>
    <row r="168" customFormat="false" ht="15" hidden="false" customHeight="false" outlineLevel="0" collapsed="false">
      <c r="A168" s="1" t="s">
        <v>19</v>
      </c>
      <c r="B168" s="1" t="n">
        <v>26</v>
      </c>
      <c r="D168" s="1" t="n">
        <v>1141028</v>
      </c>
      <c r="E168" s="1" t="n">
        <v>0.215423</v>
      </c>
      <c r="G168" s="1" t="n">
        <v>0.010591984</v>
      </c>
      <c r="H168" s="1" t="n">
        <v>0.010418415</v>
      </c>
      <c r="I168" s="1" t="n">
        <v>0.010683537</v>
      </c>
      <c r="J168" s="1" t="n">
        <v>0.010603905</v>
      </c>
      <c r="K168" s="1" t="n">
        <v>0.010674715</v>
      </c>
      <c r="L168" s="1" t="n">
        <v>0.010837317</v>
      </c>
      <c r="M168" s="1" t="n">
        <v>0.010296822</v>
      </c>
      <c r="N168" s="1" t="n">
        <v>0.01060915</v>
      </c>
      <c r="O168" s="1" t="n">
        <v>0.010649204</v>
      </c>
      <c r="P168" s="1" t="n">
        <v>0.010568857</v>
      </c>
      <c r="R168" s="1" t="n">
        <f aca="false">PERCENTILE(G168:P168,0.9)</f>
        <v>0.010698915</v>
      </c>
      <c r="S168" s="5" t="n">
        <f aca="false">spmv_1!R$18/R168</f>
        <v>7.24734506256008</v>
      </c>
      <c r="T168" s="6" t="n">
        <f aca="false">S168/32</f>
        <v>0.226479533205003</v>
      </c>
    </row>
    <row r="169" customFormat="false" ht="15" hidden="false" customHeight="false" outlineLevel="0" collapsed="false">
      <c r="A169" s="1" t="s">
        <v>19</v>
      </c>
      <c r="B169" s="1" t="n">
        <v>27</v>
      </c>
      <c r="D169" s="1" t="n">
        <v>1188434</v>
      </c>
      <c r="E169" s="1" t="n">
        <v>0.213652</v>
      </c>
      <c r="G169" s="1" t="n">
        <v>0.011120081</v>
      </c>
      <c r="H169" s="1" t="n">
        <v>0.010924101</v>
      </c>
      <c r="I169" s="1" t="n">
        <v>0.011219501</v>
      </c>
      <c r="J169" s="1" t="n">
        <v>0.01111269</v>
      </c>
      <c r="K169" s="1" t="n">
        <v>0.011182308</v>
      </c>
      <c r="L169" s="1" t="n">
        <v>0.011380196</v>
      </c>
      <c r="M169" s="1" t="n">
        <v>0.010914803</v>
      </c>
      <c r="N169" s="1" t="n">
        <v>0.011192322</v>
      </c>
      <c r="O169" s="1" t="n">
        <v>0.011130333</v>
      </c>
      <c r="P169" s="1" t="n">
        <v>0.011073351</v>
      </c>
      <c r="R169" s="1" t="n">
        <f aca="false">PERCENTILE(G169:P169,0.9)</f>
        <v>0.0112355705</v>
      </c>
      <c r="S169" s="5" t="n">
        <f aca="false">spmv_1!R$18/R169</f>
        <v>6.90118305964081</v>
      </c>
      <c r="T169" s="6" t="n">
        <f aca="false">S169/32</f>
        <v>0.215661970613775</v>
      </c>
    </row>
    <row r="170" customFormat="false" ht="15" hidden="false" customHeight="false" outlineLevel="0" collapsed="false">
      <c r="A170" s="1" t="s">
        <v>19</v>
      </c>
      <c r="B170" s="1" t="n">
        <v>28</v>
      </c>
      <c r="D170" s="1" t="n">
        <v>1162366</v>
      </c>
      <c r="E170" s="1" t="n">
        <v>0.210029</v>
      </c>
      <c r="G170" s="1" t="n">
        <v>0.010957479</v>
      </c>
      <c r="H170" s="1" t="n">
        <v>0.010903835</v>
      </c>
      <c r="I170" s="1" t="n">
        <v>0.011199474</v>
      </c>
      <c r="J170" s="1" t="n">
        <v>0.011117935</v>
      </c>
      <c r="K170" s="1" t="n">
        <v>0.011207581</v>
      </c>
      <c r="L170" s="1" t="n">
        <v>0.011301994</v>
      </c>
      <c r="M170" s="1" t="n">
        <v>0.010730028</v>
      </c>
      <c r="N170" s="1" t="n">
        <v>0.011166096</v>
      </c>
      <c r="O170" s="1" t="n">
        <v>0.01107502</v>
      </c>
      <c r="P170" s="1" t="n">
        <v>0.011026621</v>
      </c>
      <c r="R170" s="1" t="n">
        <f aca="false">PERCENTILE(G170:P170,0.9)</f>
        <v>0.0112170223</v>
      </c>
      <c r="S170" s="5" t="n">
        <f aca="false">spmv_1!R$18/R170</f>
        <v>6.91259469101706</v>
      </c>
      <c r="T170" s="6" t="n">
        <f aca="false">S170/32</f>
        <v>0.216018584094283</v>
      </c>
    </row>
    <row r="171" customFormat="false" ht="15" hidden="false" customHeight="false" outlineLevel="0" collapsed="false">
      <c r="A171" s="1" t="s">
        <v>19</v>
      </c>
      <c r="B171" s="1" t="n">
        <v>29</v>
      </c>
      <c r="D171" s="1" t="n">
        <v>1149150</v>
      </c>
      <c r="E171" s="1" t="n">
        <v>0.210482</v>
      </c>
      <c r="G171" s="1" t="n">
        <v>0.010918856</v>
      </c>
      <c r="H171" s="1" t="n">
        <v>0.010688066</v>
      </c>
      <c r="I171" s="1" t="n">
        <v>0.011056662</v>
      </c>
      <c r="J171" s="1" t="n">
        <v>0.010935068</v>
      </c>
      <c r="K171" s="1" t="n">
        <v>0.011008501</v>
      </c>
      <c r="L171" s="1" t="n">
        <v>0.011132717</v>
      </c>
      <c r="M171" s="1" t="n">
        <v>0.01063323</v>
      </c>
      <c r="N171" s="1" t="n">
        <v>0.010954142</v>
      </c>
      <c r="O171" s="1" t="n">
        <v>0.010952234</v>
      </c>
      <c r="P171" s="1" t="n">
        <v>0.010912895</v>
      </c>
      <c r="R171" s="1" t="n">
        <f aca="false">PERCENTILE(G171:P171,0.9)</f>
        <v>0.0110642675</v>
      </c>
      <c r="S171" s="5" t="n">
        <f aca="false">spmv_1!R$18/R171</f>
        <v>7.00803092477654</v>
      </c>
      <c r="T171" s="6" t="n">
        <f aca="false">S171/32</f>
        <v>0.219000966399267</v>
      </c>
    </row>
    <row r="172" customFormat="false" ht="15" hidden="false" customHeight="false" outlineLevel="0" collapsed="false">
      <c r="A172" s="1" t="s">
        <v>19</v>
      </c>
      <c r="B172" s="1" t="n">
        <v>30</v>
      </c>
      <c r="D172" s="1" t="n">
        <v>1143533</v>
      </c>
      <c r="E172" s="1" t="n">
        <v>0.202358</v>
      </c>
      <c r="G172" s="1" t="n">
        <v>0.011277914</v>
      </c>
      <c r="H172" s="1" t="n">
        <v>0.011075497</v>
      </c>
      <c r="I172" s="1" t="n">
        <v>0.011372328</v>
      </c>
      <c r="J172" s="1" t="n">
        <v>0.011349916</v>
      </c>
      <c r="K172" s="1" t="n">
        <v>0.01137352</v>
      </c>
      <c r="L172" s="1" t="n">
        <v>0.011537075</v>
      </c>
      <c r="M172" s="1" t="n">
        <v>0.011033535</v>
      </c>
      <c r="N172" s="1" t="n">
        <v>0.011340618</v>
      </c>
      <c r="O172" s="1" t="n">
        <v>0.011297703</v>
      </c>
      <c r="P172" s="1" t="n">
        <v>0.011362553</v>
      </c>
      <c r="R172" s="1" t="n">
        <f aca="false">PERCENTILE(G172:P172,0.9)</f>
        <v>0.0113898755</v>
      </c>
      <c r="S172" s="5" t="n">
        <f aca="false">spmv_1!R$18/R172</f>
        <v>6.80768888123492</v>
      </c>
      <c r="T172" s="6" t="n">
        <f aca="false">S172/32</f>
        <v>0.212740277538591</v>
      </c>
    </row>
    <row r="173" customFormat="false" ht="15" hidden="false" customHeight="false" outlineLevel="0" collapsed="false">
      <c r="A173" s="1" t="s">
        <v>19</v>
      </c>
      <c r="B173" s="1" t="n">
        <v>31</v>
      </c>
      <c r="D173" s="1" t="n">
        <v>1190860</v>
      </c>
      <c r="E173" s="1" t="n">
        <v>0.212513</v>
      </c>
      <c r="G173" s="1" t="n">
        <v>0.011141777</v>
      </c>
      <c r="H173" s="1" t="n">
        <v>0.010992527</v>
      </c>
      <c r="I173" s="1" t="n">
        <v>0.011343956</v>
      </c>
      <c r="J173" s="1" t="n">
        <v>0.011271477</v>
      </c>
      <c r="K173" s="1" t="n">
        <v>0.011286497</v>
      </c>
      <c r="L173" s="1" t="n">
        <v>0.011419296</v>
      </c>
      <c r="M173" s="1" t="n">
        <v>0.010893106</v>
      </c>
      <c r="N173" s="1" t="n">
        <v>0.011225939</v>
      </c>
      <c r="O173" s="1" t="n">
        <v>0.01125288</v>
      </c>
      <c r="P173" s="1" t="n">
        <v>0.011246681</v>
      </c>
      <c r="R173" s="1" t="n">
        <f aca="false">PERCENTILE(G173:P173,0.9)</f>
        <v>0.01135149</v>
      </c>
      <c r="S173" s="5" t="n">
        <f aca="false">spmv_1!R$18/R173</f>
        <v>6.83070934300255</v>
      </c>
      <c r="T173" s="6" t="n">
        <f aca="false">S173/32</f>
        <v>0.21345966696883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33"/>
  <sheetViews>
    <sheetView showFormulas="false" showGridLines="true" showRowColHeaders="true" showZeros="true" rightToLeft="false" tabSelected="false" showOutlineSymbols="true" defaultGridColor="true" view="normal" topLeftCell="A282" colorId="64" zoomScale="100" zoomScaleNormal="100" zoomScalePageLayoutView="100" workbookViewId="0">
      <selection pane="topLeft" activeCell="W12" activeCellId="0" sqref="W12"/>
    </sheetView>
  </sheetViews>
  <sheetFormatPr defaultColWidth="8.6171875" defaultRowHeight="15" customHeight="true" zeroHeight="false" outlineLevelRow="0" outlineLevelCol="0"/>
  <cols>
    <col collapsed="false" customWidth="true" hidden="false" outlineLevel="0" max="1" min="1" style="1" width="13.34"/>
    <col collapsed="false" customWidth="true" hidden="false" outlineLevel="0" max="3" min="3" style="1" width="6.25"/>
    <col collapsed="false" customWidth="true" hidden="false" outlineLevel="0" max="5" min="4" style="1" width="13.34"/>
    <col collapsed="false" customWidth="true" hidden="false" outlineLevel="0" max="6" min="6" style="1" width="6.25"/>
    <col collapsed="false" customWidth="true" hidden="false" outlineLevel="0" max="16" min="7" style="1" width="13.34"/>
    <col collapsed="false" customWidth="true" hidden="false" outlineLevel="0" max="17" min="17" style="1" width="6.25"/>
    <col collapsed="false" customWidth="true" hidden="false" outlineLevel="0" max="18" min="18" style="1" width="13.34"/>
    <col collapsed="false" customWidth="true" hidden="false" outlineLevel="0" max="19" min="19" style="5" width="13.34"/>
    <col collapsed="false" customWidth="true" hidden="false" outlineLevel="0" max="20" min="20" style="6" width="13.34"/>
    <col collapsed="false" customWidth="true" hidden="false" outlineLevel="0" max="16384" min="16384" style="1" width="10.49"/>
  </cols>
  <sheetData>
    <row r="1" customFormat="false" ht="15" hidden="false" customHeight="false" outlineLevel="0" collapsed="false">
      <c r="A1" s="2" t="s">
        <v>0</v>
      </c>
      <c r="B1" s="2" t="s">
        <v>1</v>
      </c>
      <c r="C1" s="3"/>
      <c r="D1" s="2" t="s">
        <v>2</v>
      </c>
      <c r="E1" s="2" t="s">
        <v>3</v>
      </c>
      <c r="F1" s="3"/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R1" s="4" t="s">
        <v>14</v>
      </c>
      <c r="S1" s="7" t="s">
        <v>20</v>
      </c>
      <c r="T1" s="8" t="s">
        <v>21</v>
      </c>
    </row>
    <row r="2" customFormat="false" ht="15" hidden="false" customHeight="false" outlineLevel="0" collapsed="false">
      <c r="A2" s="1" t="s">
        <v>15</v>
      </c>
      <c r="B2" s="1" t="n">
        <v>0</v>
      </c>
      <c r="D2" s="1" t="n">
        <v>168709</v>
      </c>
      <c r="E2" s="1" t="n">
        <v>0.115766</v>
      </c>
      <c r="G2" s="1" t="n">
        <v>0.003997803</v>
      </c>
      <c r="H2" s="1" t="n">
        <v>0.004230976</v>
      </c>
      <c r="I2" s="1" t="n">
        <v>0.003723383</v>
      </c>
      <c r="J2" s="1" t="n">
        <v>0.002555132</v>
      </c>
      <c r="K2" s="1" t="n">
        <v>0.00241065</v>
      </c>
      <c r="L2" s="1" t="n">
        <v>0.002382278</v>
      </c>
      <c r="M2" s="1" t="n">
        <v>0.00236702</v>
      </c>
      <c r="N2" s="1" t="n">
        <v>0.002392769</v>
      </c>
      <c r="O2" s="1" t="n">
        <v>0.002460241</v>
      </c>
      <c r="P2" s="1" t="n">
        <v>0.002626181</v>
      </c>
      <c r="R2" s="1" t="n">
        <f aca="false">PERCENTILE(G2:P2,0.9)</f>
        <v>0.0040211203</v>
      </c>
      <c r="S2" s="5" t="n">
        <f aca="false">spmv_1!R$2/R2</f>
        <v>4.3329338841218</v>
      </c>
      <c r="T2" s="6" t="n">
        <f aca="false">S2/64</f>
        <v>0.0677020919394031</v>
      </c>
    </row>
    <row r="3" customFormat="false" ht="15" hidden="false" customHeight="false" outlineLevel="0" collapsed="false">
      <c r="A3" s="1" t="s">
        <v>15</v>
      </c>
      <c r="B3" s="1" t="n">
        <v>1</v>
      </c>
      <c r="D3" s="1" t="n">
        <v>168720</v>
      </c>
      <c r="E3" s="1" t="n">
        <v>0.120469</v>
      </c>
      <c r="G3" s="1" t="n">
        <v>0.004043579</v>
      </c>
      <c r="H3" s="1" t="n">
        <v>0.00420022</v>
      </c>
      <c r="I3" s="1" t="n">
        <v>0.003640175</v>
      </c>
      <c r="J3" s="1" t="n">
        <v>0.002425909</v>
      </c>
      <c r="K3" s="1" t="n">
        <v>0.002255201</v>
      </c>
      <c r="L3" s="1" t="n">
        <v>0.002241135</v>
      </c>
      <c r="M3" s="1" t="n">
        <v>0.002231121</v>
      </c>
      <c r="N3" s="1" t="n">
        <v>0.002235413</v>
      </c>
      <c r="O3" s="1" t="n">
        <v>0.002291918</v>
      </c>
      <c r="P3" s="1" t="n">
        <v>0.002445936</v>
      </c>
      <c r="R3" s="1" t="n">
        <f aca="false">PERCENTILE(G3:P3,0.9)</f>
        <v>0.0040592431</v>
      </c>
      <c r="S3" s="5" t="n">
        <f aca="false">spmv_1!R$2/R3</f>
        <v>4.2922406889107</v>
      </c>
      <c r="T3" s="6" t="n">
        <f aca="false">S3/64</f>
        <v>0.0670662607642297</v>
      </c>
    </row>
    <row r="4" customFormat="false" ht="15" hidden="false" customHeight="false" outlineLevel="0" collapsed="false">
      <c r="A4" s="1" t="s">
        <v>15</v>
      </c>
      <c r="B4" s="1" t="n">
        <v>2</v>
      </c>
      <c r="D4" s="1" t="n">
        <v>167161</v>
      </c>
      <c r="E4" s="1" t="n">
        <v>0.119214</v>
      </c>
      <c r="G4" s="1" t="n">
        <v>0.004196405</v>
      </c>
      <c r="H4" s="1" t="n">
        <v>0.004345417</v>
      </c>
      <c r="I4" s="1" t="n">
        <v>0.003602505</v>
      </c>
      <c r="J4" s="1" t="n">
        <v>0.002402544</v>
      </c>
      <c r="K4" s="1" t="n">
        <v>0.002215385</v>
      </c>
      <c r="L4" s="1" t="n">
        <v>0.002218723</v>
      </c>
      <c r="M4" s="1" t="n">
        <v>0.002199888</v>
      </c>
      <c r="N4" s="1" t="n">
        <v>0.002209902</v>
      </c>
      <c r="O4" s="1" t="n">
        <v>0.002263308</v>
      </c>
      <c r="P4" s="1" t="n">
        <v>0.002389669</v>
      </c>
      <c r="R4" s="1" t="n">
        <f aca="false">PERCENTILE(G4:P4,0.9)</f>
        <v>0.0042113062</v>
      </c>
      <c r="S4" s="5" t="n">
        <f aca="false">spmv_1!R$2/R4</f>
        <v>4.13725518225201</v>
      </c>
      <c r="T4" s="6" t="n">
        <f aca="false">S4/64</f>
        <v>0.0646446122226876</v>
      </c>
    </row>
    <row r="5" customFormat="false" ht="15" hidden="false" customHeight="false" outlineLevel="0" collapsed="false">
      <c r="A5" s="1" t="s">
        <v>15</v>
      </c>
      <c r="B5" s="1" t="n">
        <v>3</v>
      </c>
      <c r="D5" s="1" t="n">
        <v>166269</v>
      </c>
      <c r="E5" s="1" t="n">
        <v>0.118357</v>
      </c>
      <c r="G5" s="1" t="n">
        <v>0.003869057</v>
      </c>
      <c r="H5" s="1" t="n">
        <v>0.004268169</v>
      </c>
      <c r="I5" s="1" t="n">
        <v>0.003642082</v>
      </c>
      <c r="J5" s="1" t="n">
        <v>0.002442122</v>
      </c>
      <c r="K5" s="1" t="n">
        <v>0.002290964</v>
      </c>
      <c r="L5" s="1" t="n">
        <v>0.002269268</v>
      </c>
      <c r="M5" s="1" t="n">
        <v>0.002253056</v>
      </c>
      <c r="N5" s="1" t="n">
        <v>0.002269745</v>
      </c>
      <c r="O5" s="1" t="n">
        <v>0.002329826</v>
      </c>
      <c r="P5" s="1" t="n">
        <v>0.00246191</v>
      </c>
      <c r="R5" s="1" t="n">
        <f aca="false">PERCENTILE(G5:P5,0.9)</f>
        <v>0.0039089682</v>
      </c>
      <c r="S5" s="5" t="n">
        <f aca="false">spmv_1!R$2/R5</f>
        <v>4.45724997200028</v>
      </c>
      <c r="T5" s="6" t="n">
        <f aca="false">S5/64</f>
        <v>0.0696445308125044</v>
      </c>
    </row>
    <row r="6" customFormat="false" ht="15" hidden="false" customHeight="false" outlineLevel="0" collapsed="false">
      <c r="A6" s="1" t="s">
        <v>15</v>
      </c>
      <c r="B6" s="1" t="n">
        <v>4</v>
      </c>
      <c r="D6" s="1" t="n">
        <v>165666</v>
      </c>
      <c r="E6" s="1" t="n">
        <v>0.1189</v>
      </c>
      <c r="G6" s="1" t="n">
        <v>0.003711224</v>
      </c>
      <c r="H6" s="1" t="n">
        <v>0.004298687</v>
      </c>
      <c r="I6" s="1" t="n">
        <v>0.003637075</v>
      </c>
      <c r="J6" s="1" t="n">
        <v>0.002429724</v>
      </c>
      <c r="K6" s="1" t="n">
        <v>0.002281904</v>
      </c>
      <c r="L6" s="1" t="n">
        <v>0.002253771</v>
      </c>
      <c r="M6" s="1" t="n">
        <v>0.002242088</v>
      </c>
      <c r="N6" s="1" t="n">
        <v>0.002251863</v>
      </c>
      <c r="O6" s="1" t="n">
        <v>0.00231719</v>
      </c>
      <c r="P6" s="1" t="n">
        <v>0.002442837</v>
      </c>
      <c r="R6" s="1" t="n">
        <f aca="false">PERCENTILE(G6:P6,0.9)</f>
        <v>0.0037699703</v>
      </c>
      <c r="S6" s="5" t="n">
        <f aca="false">spmv_1!R$2/R6</f>
        <v>4.62158770852916</v>
      </c>
      <c r="T6" s="6" t="n">
        <f aca="false">S6/64</f>
        <v>0.0722123079457682</v>
      </c>
    </row>
    <row r="7" customFormat="false" ht="15" hidden="false" customHeight="false" outlineLevel="0" collapsed="false">
      <c r="A7" s="1" t="s">
        <v>15</v>
      </c>
      <c r="B7" s="1" t="n">
        <v>5</v>
      </c>
      <c r="D7" s="1" t="n">
        <v>166190</v>
      </c>
      <c r="E7" s="1" t="n">
        <v>0.118825</v>
      </c>
      <c r="G7" s="1" t="n">
        <v>0.003911495</v>
      </c>
      <c r="H7" s="1" t="n">
        <v>0.00433445</v>
      </c>
      <c r="I7" s="1" t="n">
        <v>0.003653526</v>
      </c>
      <c r="J7" s="1" t="n">
        <v>0.00240922</v>
      </c>
      <c r="K7" s="1" t="n">
        <v>0.002262354</v>
      </c>
      <c r="L7" s="1" t="n">
        <v>0.002230167</v>
      </c>
      <c r="M7" s="1" t="n">
        <v>0.0022223</v>
      </c>
      <c r="N7" s="1" t="n">
        <v>0.002233028</v>
      </c>
      <c r="O7" s="1" t="n">
        <v>0.002291918</v>
      </c>
      <c r="P7" s="1" t="n">
        <v>0.002423763</v>
      </c>
      <c r="R7" s="1" t="n">
        <f aca="false">PERCENTILE(G7:P7,0.9)</f>
        <v>0.0039537905</v>
      </c>
      <c r="S7" s="5" t="n">
        <f aca="false">spmv_1!R$2/R7</f>
        <v>4.40672018408664</v>
      </c>
      <c r="T7" s="6" t="n">
        <f aca="false">S7/64</f>
        <v>0.0688550028763537</v>
      </c>
    </row>
    <row r="8" customFormat="false" ht="15" hidden="false" customHeight="false" outlineLevel="0" collapsed="false">
      <c r="A8" s="1" t="s">
        <v>15</v>
      </c>
      <c r="B8" s="1" t="n">
        <v>6</v>
      </c>
      <c r="D8" s="1" t="n">
        <v>165630</v>
      </c>
      <c r="E8" s="1" t="n">
        <v>0.119908</v>
      </c>
      <c r="G8" s="1" t="n">
        <v>0.004196405</v>
      </c>
      <c r="H8" s="1" t="n">
        <v>0.004446745</v>
      </c>
      <c r="I8" s="1" t="n">
        <v>0.003637791</v>
      </c>
      <c r="J8" s="1" t="n">
        <v>0.002348185</v>
      </c>
      <c r="K8" s="1" t="n">
        <v>0.002140999</v>
      </c>
      <c r="L8" s="1" t="n">
        <v>0.002131701</v>
      </c>
      <c r="M8" s="1" t="n">
        <v>0.002112865</v>
      </c>
      <c r="N8" s="1" t="n">
        <v>0.002131939</v>
      </c>
      <c r="O8" s="1" t="n">
        <v>0.002183676</v>
      </c>
      <c r="P8" s="1" t="n">
        <v>0.002295971</v>
      </c>
      <c r="R8" s="1" t="n">
        <f aca="false">PERCENTILE(G8:P8,0.9)</f>
        <v>0.004221439</v>
      </c>
      <c r="S8" s="5" t="n">
        <f aca="false">spmv_1!R$2/R8</f>
        <v>4.12732445026447</v>
      </c>
      <c r="T8" s="6" t="n">
        <f aca="false">S8/64</f>
        <v>0.0644894445353823</v>
      </c>
    </row>
    <row r="9" customFormat="false" ht="15" hidden="false" customHeight="false" outlineLevel="0" collapsed="false">
      <c r="A9" s="1" t="s">
        <v>15</v>
      </c>
      <c r="B9" s="1" t="n">
        <v>7</v>
      </c>
      <c r="D9" s="1" t="n">
        <v>165732</v>
      </c>
      <c r="E9" s="1" t="n">
        <v>0.11936</v>
      </c>
      <c r="G9" s="1" t="n">
        <v>0.003871202</v>
      </c>
      <c r="H9" s="1" t="n">
        <v>0.004368782</v>
      </c>
      <c r="I9" s="1" t="n">
        <v>0.003656864</v>
      </c>
      <c r="J9" s="1" t="n">
        <v>0.00239253</v>
      </c>
      <c r="K9" s="1" t="n">
        <v>0.002242565</v>
      </c>
      <c r="L9" s="1" t="n">
        <v>0.002213478</v>
      </c>
      <c r="M9" s="1" t="n">
        <v>0.002187252</v>
      </c>
      <c r="N9" s="1" t="n">
        <v>0.002202749</v>
      </c>
      <c r="O9" s="1" t="n">
        <v>0.002266645</v>
      </c>
      <c r="P9" s="1" t="n">
        <v>0.002367973</v>
      </c>
      <c r="R9" s="1" t="n">
        <f aca="false">PERCENTILE(G9:P9,0.9)</f>
        <v>0.00392096</v>
      </c>
      <c r="S9" s="5" t="n">
        <f aca="false">spmv_1!R$2/R9</f>
        <v>4.44361799151228</v>
      </c>
      <c r="T9" s="6" t="n">
        <f aca="false">S9/64</f>
        <v>0.0694315311173794</v>
      </c>
    </row>
    <row r="10" customFormat="false" ht="15" hidden="false" customHeight="false" outlineLevel="0" collapsed="false">
      <c r="A10" s="1" t="s">
        <v>15</v>
      </c>
      <c r="B10" s="1" t="n">
        <v>8</v>
      </c>
      <c r="D10" s="1" t="n">
        <v>165536</v>
      </c>
      <c r="E10" s="1" t="n">
        <v>0.120218</v>
      </c>
      <c r="G10" s="1" t="n">
        <v>0.00386095</v>
      </c>
      <c r="H10" s="1" t="n">
        <v>0.004374504</v>
      </c>
      <c r="I10" s="1" t="n">
        <v>0.003641129</v>
      </c>
      <c r="J10" s="1" t="n">
        <v>0.002354622</v>
      </c>
      <c r="K10" s="1" t="n">
        <v>0.002198696</v>
      </c>
      <c r="L10" s="1" t="n">
        <v>0.002184391</v>
      </c>
      <c r="M10" s="1" t="n">
        <v>0.002165556</v>
      </c>
      <c r="N10" s="1" t="n">
        <v>0.002175808</v>
      </c>
      <c r="O10" s="1" t="n">
        <v>0.00224638</v>
      </c>
      <c r="P10" s="1" t="n">
        <v>0.002337217</v>
      </c>
      <c r="R10" s="1" t="n">
        <f aca="false">PERCENTILE(G10:P10,0.9)</f>
        <v>0.0039123054</v>
      </c>
      <c r="S10" s="5" t="n">
        <f aca="false">spmv_1!R$2/R10</f>
        <v>4.45344793379372</v>
      </c>
      <c r="T10" s="6" t="n">
        <f aca="false">S10/64</f>
        <v>0.0695851239655268</v>
      </c>
    </row>
    <row r="11" customFormat="false" ht="15" hidden="false" customHeight="false" outlineLevel="0" collapsed="false">
      <c r="A11" s="1" t="s">
        <v>15</v>
      </c>
      <c r="B11" s="1" t="n">
        <v>9</v>
      </c>
      <c r="D11" s="1" t="n">
        <v>165735</v>
      </c>
      <c r="E11" s="1" t="n">
        <v>0.120824</v>
      </c>
      <c r="G11" s="1" t="n">
        <v>0.003866434</v>
      </c>
      <c r="H11" s="1" t="n">
        <v>0.004374266</v>
      </c>
      <c r="I11" s="1" t="n">
        <v>0.003628254</v>
      </c>
      <c r="J11" s="1" t="n">
        <v>0.002333403</v>
      </c>
      <c r="K11" s="1" t="n">
        <v>0.002185345</v>
      </c>
      <c r="L11" s="1" t="n">
        <v>0.002176762</v>
      </c>
      <c r="M11" s="1" t="n">
        <v>0.00214982</v>
      </c>
      <c r="N11" s="1" t="n">
        <v>0.002170324</v>
      </c>
      <c r="O11" s="1" t="n">
        <v>0.002225161</v>
      </c>
      <c r="P11" s="1" t="n">
        <v>0.002324343</v>
      </c>
      <c r="R11" s="1" t="n">
        <f aca="false">PERCENTILE(G11:P11,0.9)</f>
        <v>0.0039172172</v>
      </c>
      <c r="S11" s="5" t="n">
        <f aca="false">spmv_1!R$2/R11</f>
        <v>4.44786375389141</v>
      </c>
      <c r="T11" s="6" t="n">
        <f aca="false">S11/64</f>
        <v>0.0694978711545533</v>
      </c>
    </row>
    <row r="12" customFormat="false" ht="15" hidden="false" customHeight="false" outlineLevel="0" collapsed="false">
      <c r="A12" s="1" t="s">
        <v>15</v>
      </c>
      <c r="B12" s="1" t="n">
        <v>10</v>
      </c>
      <c r="D12" s="1" t="n">
        <v>165583</v>
      </c>
      <c r="E12" s="1" t="n">
        <v>0.12262</v>
      </c>
      <c r="G12" s="1" t="n">
        <v>0.004105091</v>
      </c>
      <c r="H12" s="1" t="n">
        <v>0.004464626</v>
      </c>
      <c r="I12" s="1" t="n">
        <v>0.003615618</v>
      </c>
      <c r="J12" s="1" t="n">
        <v>0.002305031</v>
      </c>
      <c r="K12" s="1" t="n">
        <v>0.002087116</v>
      </c>
      <c r="L12" s="1" t="n">
        <v>0.002053499</v>
      </c>
      <c r="M12" s="1" t="n">
        <v>0.002047777</v>
      </c>
      <c r="N12" s="1" t="n">
        <v>0.002047539</v>
      </c>
      <c r="O12" s="1" t="n">
        <v>0.002100229</v>
      </c>
      <c r="P12" s="1" t="n">
        <v>0.002181053</v>
      </c>
      <c r="R12" s="1" t="n">
        <f aca="false">PERCENTILE(G12:P12,0.9)</f>
        <v>0.0041410445</v>
      </c>
      <c r="S12" s="5" t="n">
        <f aca="false">spmv_1!R$2/R12</f>
        <v>4.2074525883506</v>
      </c>
      <c r="T12" s="6" t="n">
        <f aca="false">S12/64</f>
        <v>0.0657414466929781</v>
      </c>
    </row>
    <row r="13" customFormat="false" ht="15" hidden="false" customHeight="false" outlineLevel="0" collapsed="false">
      <c r="A13" s="1" t="s">
        <v>15</v>
      </c>
      <c r="B13" s="1" t="n">
        <v>11</v>
      </c>
      <c r="D13" s="1" t="n">
        <v>166049</v>
      </c>
      <c r="E13" s="1" t="n">
        <v>0.131138</v>
      </c>
      <c r="G13" s="1" t="n">
        <v>0.003506422</v>
      </c>
      <c r="H13" s="1" t="n">
        <v>0.004123926</v>
      </c>
      <c r="I13" s="1" t="n">
        <v>0.003334045</v>
      </c>
      <c r="J13" s="1" t="n">
        <v>0.002132177</v>
      </c>
      <c r="K13" s="1" t="n">
        <v>0.002001762</v>
      </c>
      <c r="L13" s="1" t="n">
        <v>0.002011538</v>
      </c>
      <c r="M13" s="1" t="n">
        <v>0.001985788</v>
      </c>
      <c r="N13" s="1" t="n">
        <v>0.002020836</v>
      </c>
      <c r="O13" s="1" t="n">
        <v>0.002058029</v>
      </c>
      <c r="P13" s="1" t="n">
        <v>0.00214982</v>
      </c>
      <c r="R13" s="1" t="n">
        <f aca="false">PERCENTILE(G13:P13,0.9)</f>
        <v>0.0035681724</v>
      </c>
      <c r="S13" s="5" t="n">
        <f aca="false">spmv_1!R$2/R13</f>
        <v>4.88296148470853</v>
      </c>
      <c r="T13" s="6" t="n">
        <f aca="false">S13/64</f>
        <v>0.0762962731985708</v>
      </c>
    </row>
    <row r="14" customFormat="false" ht="15" hidden="false" customHeight="false" outlineLevel="0" collapsed="false">
      <c r="A14" s="1" t="s">
        <v>15</v>
      </c>
      <c r="B14" s="1" t="n">
        <v>12</v>
      </c>
      <c r="D14" s="1" t="n">
        <v>166601</v>
      </c>
      <c r="E14" s="1" t="n">
        <v>0.123767</v>
      </c>
      <c r="G14" s="1" t="n">
        <v>0.004214048</v>
      </c>
      <c r="H14" s="1" t="n">
        <v>0.004462957</v>
      </c>
      <c r="I14" s="1" t="n">
        <v>0.003647566</v>
      </c>
      <c r="J14" s="1" t="n">
        <v>0.002283812</v>
      </c>
      <c r="K14" s="1" t="n">
        <v>0.002054691</v>
      </c>
      <c r="L14" s="1" t="n">
        <v>0.002025843</v>
      </c>
      <c r="M14" s="1" t="n">
        <v>0.001990318</v>
      </c>
      <c r="N14" s="1" t="n">
        <v>0.002030611</v>
      </c>
      <c r="O14" s="1" t="n">
        <v>0.002057076</v>
      </c>
      <c r="P14" s="1" t="n">
        <v>0.002154827</v>
      </c>
      <c r="R14" s="1" t="n">
        <f aca="false">PERCENTILE(G14:P14,0.9)</f>
        <v>0.0042389389</v>
      </c>
      <c r="S14" s="5" t="n">
        <f aca="false">spmv_1!R$2/R14</f>
        <v>4.11028533579477</v>
      </c>
      <c r="T14" s="6" t="n">
        <f aca="false">S14/64</f>
        <v>0.0642232083717932</v>
      </c>
    </row>
    <row r="15" customFormat="false" ht="15" hidden="false" customHeight="false" outlineLevel="0" collapsed="false">
      <c r="A15" s="1" t="s">
        <v>15</v>
      </c>
      <c r="B15" s="1" t="n">
        <v>13</v>
      </c>
      <c r="D15" s="1" t="n">
        <v>167120</v>
      </c>
      <c r="E15" s="1" t="n">
        <v>0.124598</v>
      </c>
      <c r="G15" s="1" t="n">
        <v>0.003813982</v>
      </c>
      <c r="H15" s="1" t="n">
        <v>0.00438571</v>
      </c>
      <c r="I15" s="1" t="n">
        <v>0.003659964</v>
      </c>
      <c r="J15" s="1" t="n">
        <v>0.002251148</v>
      </c>
      <c r="K15" s="1" t="n">
        <v>0.00210619</v>
      </c>
      <c r="L15" s="1" t="n">
        <v>0.002073288</v>
      </c>
      <c r="M15" s="1" t="n">
        <v>0.002071381</v>
      </c>
      <c r="N15" s="1" t="n">
        <v>0.00210166</v>
      </c>
      <c r="O15" s="1" t="n">
        <v>0.002142191</v>
      </c>
      <c r="P15" s="1" t="n">
        <v>0.002219915</v>
      </c>
      <c r="R15" s="1" t="n">
        <f aca="false">PERCENTILE(G15:P15,0.9)</f>
        <v>0.0038711548</v>
      </c>
      <c r="S15" s="5" t="n">
        <f aca="false">spmv_1!R$2/R15</f>
        <v>4.50078834357128</v>
      </c>
      <c r="T15" s="6" t="n">
        <f aca="false">S15/64</f>
        <v>0.0703248178683012</v>
      </c>
    </row>
    <row r="16" customFormat="false" ht="15" hidden="false" customHeight="false" outlineLevel="0" collapsed="false">
      <c r="A16" s="1" t="s">
        <v>15</v>
      </c>
      <c r="B16" s="1" t="n">
        <v>14</v>
      </c>
      <c r="D16" s="1" t="n">
        <v>166413</v>
      </c>
      <c r="E16" s="1" t="n">
        <v>0.131824</v>
      </c>
      <c r="G16" s="1" t="n">
        <v>0.003391266</v>
      </c>
      <c r="H16" s="1" t="n">
        <v>0.004119635</v>
      </c>
      <c r="I16" s="1" t="n">
        <v>0.003339291</v>
      </c>
      <c r="J16" s="1" t="n">
        <v>0.002090216</v>
      </c>
      <c r="K16" s="1" t="n">
        <v>0.001951456</v>
      </c>
      <c r="L16" s="1" t="n">
        <v>0.001958847</v>
      </c>
      <c r="M16" s="1" t="n">
        <v>0.001930475</v>
      </c>
      <c r="N16" s="1" t="n">
        <v>0.001964331</v>
      </c>
      <c r="O16" s="1" t="n">
        <v>0.002235413</v>
      </c>
      <c r="P16" s="1" t="n">
        <v>0.002266884</v>
      </c>
      <c r="R16" s="1" t="n">
        <f aca="false">PERCENTILE(G16:P16,0.9)</f>
        <v>0.0034641029</v>
      </c>
      <c r="S16" s="5" t="n">
        <f aca="false">spmv_1!R$2/R16</f>
        <v>5.02965671141005</v>
      </c>
      <c r="T16" s="6" t="n">
        <f aca="false">S16/64</f>
        <v>0.078588386115782</v>
      </c>
    </row>
    <row r="17" customFormat="false" ht="15" hidden="false" customHeight="false" outlineLevel="0" collapsed="false">
      <c r="A17" s="1" t="s">
        <v>15</v>
      </c>
      <c r="B17" s="1" t="n">
        <v>15</v>
      </c>
      <c r="D17" s="1" t="n">
        <v>165825</v>
      </c>
      <c r="E17" s="1" t="n">
        <v>0.124917</v>
      </c>
      <c r="G17" s="1" t="n">
        <v>0.003935099</v>
      </c>
      <c r="H17" s="1" t="n">
        <v>0.004358768</v>
      </c>
      <c r="I17" s="1" t="n">
        <v>0.003651619</v>
      </c>
      <c r="J17" s="1" t="n">
        <v>0.002207041</v>
      </c>
      <c r="K17" s="1" t="n">
        <v>0.002067089</v>
      </c>
      <c r="L17" s="1" t="n">
        <v>0.002032995</v>
      </c>
      <c r="M17" s="1" t="n">
        <v>0.002020597</v>
      </c>
      <c r="N17" s="1" t="n">
        <v>0.002039194</v>
      </c>
      <c r="O17" s="1" t="n">
        <v>0.002090931</v>
      </c>
      <c r="P17" s="1" t="n">
        <v>0.002146244</v>
      </c>
      <c r="R17" s="1" t="n">
        <f aca="false">PERCENTILE(G17:P17,0.9)</f>
        <v>0.0039774659</v>
      </c>
      <c r="S17" s="5" t="n">
        <f aca="false">spmv_1!R$2/R17</f>
        <v>4.38048969822721</v>
      </c>
      <c r="T17" s="6" t="n">
        <f aca="false">S17/64</f>
        <v>0.0684451515348001</v>
      </c>
    </row>
    <row r="18" customFormat="false" ht="15" hidden="false" customHeight="false" outlineLevel="0" collapsed="false">
      <c r="A18" s="1" t="s">
        <v>15</v>
      </c>
      <c r="B18" s="1" t="n">
        <v>16</v>
      </c>
      <c r="D18" s="1" t="n">
        <v>165429</v>
      </c>
      <c r="E18" s="1" t="n">
        <v>0.133815</v>
      </c>
      <c r="G18" s="1" t="n">
        <v>0.003405333</v>
      </c>
      <c r="H18" s="1" t="n">
        <v>0.004138708</v>
      </c>
      <c r="I18" s="1" t="n">
        <v>0.003353834</v>
      </c>
      <c r="J18" s="1" t="n">
        <v>0.002069473</v>
      </c>
      <c r="K18" s="1" t="n">
        <v>0.001923561</v>
      </c>
      <c r="L18" s="1" t="n">
        <v>0.001933813</v>
      </c>
      <c r="M18" s="1" t="n">
        <v>0.001911879</v>
      </c>
      <c r="N18" s="1" t="n">
        <v>0.001936197</v>
      </c>
      <c r="O18" s="1" t="n">
        <v>0.001986027</v>
      </c>
      <c r="P18" s="1" t="n">
        <v>0.002066135</v>
      </c>
      <c r="R18" s="1" t="n">
        <f aca="false">PERCENTILE(G18:P18,0.9)</f>
        <v>0.0034786705</v>
      </c>
      <c r="S18" s="5" t="n">
        <f aca="false">spmv_1!R$2/R18</f>
        <v>5.0085940591384</v>
      </c>
      <c r="T18" s="6" t="n">
        <f aca="false">S18/64</f>
        <v>0.0782592821740375</v>
      </c>
    </row>
    <row r="19" customFormat="false" ht="15" hidden="false" customHeight="false" outlineLevel="0" collapsed="false">
      <c r="A19" s="1" t="s">
        <v>15</v>
      </c>
      <c r="B19" s="1" t="n">
        <v>17</v>
      </c>
      <c r="D19" s="1" t="n">
        <v>165393</v>
      </c>
      <c r="E19" s="1" t="n">
        <v>0.136004</v>
      </c>
      <c r="G19" s="1" t="n">
        <v>0.003417969</v>
      </c>
      <c r="H19" s="1" t="n">
        <v>0.004101038</v>
      </c>
      <c r="I19" s="1" t="n">
        <v>0.003309727</v>
      </c>
      <c r="J19" s="1" t="n">
        <v>0.00201273</v>
      </c>
      <c r="K19" s="1" t="n">
        <v>0.001881361</v>
      </c>
      <c r="L19" s="1" t="n">
        <v>0.001900196</v>
      </c>
      <c r="M19" s="1" t="n">
        <v>0.001870155</v>
      </c>
      <c r="N19" s="1" t="n">
        <v>0.001898289</v>
      </c>
      <c r="O19" s="1" t="n">
        <v>0.001928329</v>
      </c>
      <c r="P19" s="1" t="n">
        <v>0.002002001</v>
      </c>
      <c r="R19" s="1" t="n">
        <f aca="false">PERCENTILE(G19:P19,0.9)</f>
        <v>0.0034862759</v>
      </c>
      <c r="S19" s="5" t="n">
        <f aca="false">spmv_1!R$2/R19</f>
        <v>4.99766768315726</v>
      </c>
      <c r="T19" s="6" t="n">
        <f aca="false">S19/64</f>
        <v>0.0780885575493322</v>
      </c>
    </row>
    <row r="20" customFormat="false" ht="15" hidden="false" customHeight="false" outlineLevel="0" collapsed="false">
      <c r="A20" s="1" t="s">
        <v>15</v>
      </c>
      <c r="B20" s="1" t="n">
        <v>18</v>
      </c>
      <c r="D20" s="1" t="n">
        <v>165304</v>
      </c>
      <c r="E20" s="1" t="n">
        <v>0.129068</v>
      </c>
      <c r="G20" s="1" t="n">
        <v>0.003722429</v>
      </c>
      <c r="H20" s="1" t="n">
        <v>0.00445652</v>
      </c>
      <c r="I20" s="1" t="n">
        <v>0.003570318</v>
      </c>
      <c r="J20" s="1" t="n">
        <v>0.002162695</v>
      </c>
      <c r="K20" s="1" t="n">
        <v>0.001957417</v>
      </c>
      <c r="L20" s="1" t="n">
        <v>0.00192523</v>
      </c>
      <c r="M20" s="1" t="n">
        <v>0.001914501</v>
      </c>
      <c r="N20" s="1" t="n">
        <v>0.001946449</v>
      </c>
      <c r="O20" s="1" t="n">
        <v>0.001972914</v>
      </c>
      <c r="P20" s="1" t="n">
        <v>0.001986504</v>
      </c>
      <c r="R20" s="1" t="n">
        <f aca="false">PERCENTILE(G20:P20,0.9)</f>
        <v>0.0037958381</v>
      </c>
      <c r="S20" s="5" t="n">
        <f aca="false">spmv_1!R$2/R20</f>
        <v>4.59009260695286</v>
      </c>
      <c r="T20" s="6" t="n">
        <f aca="false">S20/64</f>
        <v>0.0717201969836385</v>
      </c>
    </row>
    <row r="21" customFormat="false" ht="15" hidden="false" customHeight="false" outlineLevel="0" collapsed="false">
      <c r="A21" s="1" t="s">
        <v>15</v>
      </c>
      <c r="B21" s="1" t="n">
        <v>19</v>
      </c>
      <c r="D21" s="1" t="n">
        <v>165378</v>
      </c>
      <c r="E21" s="1" t="n">
        <v>0.127176</v>
      </c>
      <c r="G21" s="1" t="n">
        <v>0.004243612</v>
      </c>
      <c r="H21" s="1" t="n">
        <v>0.004436255</v>
      </c>
      <c r="I21" s="1" t="n">
        <v>0.003624439</v>
      </c>
      <c r="J21" s="1" t="n">
        <v>0.002187252</v>
      </c>
      <c r="K21" s="1" t="n">
        <v>0.001945496</v>
      </c>
      <c r="L21" s="1" t="n">
        <v>0.001897573</v>
      </c>
      <c r="M21" s="1" t="n">
        <v>0.00188446</v>
      </c>
      <c r="N21" s="1" t="n">
        <v>0.001934052</v>
      </c>
      <c r="O21" s="1" t="n">
        <v>0.001944304</v>
      </c>
      <c r="P21" s="1" t="n">
        <v>0.00191021</v>
      </c>
      <c r="R21" s="1" t="n">
        <f aca="false">PERCENTILE(G21:P21,0.9)</f>
        <v>0.0042628763</v>
      </c>
      <c r="S21" s="5" t="n">
        <f aca="false">spmv_1!R$2/R21</f>
        <v>4.08720478236725</v>
      </c>
      <c r="T21" s="6" t="n">
        <f aca="false">S21/64</f>
        <v>0.0638625747244882</v>
      </c>
    </row>
    <row r="22" customFormat="false" ht="15" hidden="false" customHeight="false" outlineLevel="0" collapsed="false">
      <c r="A22" s="1" t="s">
        <v>15</v>
      </c>
      <c r="B22" s="1" t="n">
        <v>20</v>
      </c>
      <c r="D22" s="1" t="n">
        <v>166436</v>
      </c>
      <c r="E22" s="1" t="n">
        <v>0.129909</v>
      </c>
      <c r="G22" s="1" t="n">
        <v>0.004215002</v>
      </c>
      <c r="H22" s="1" t="n">
        <v>0.004439116</v>
      </c>
      <c r="I22" s="1" t="n">
        <v>0.003545284</v>
      </c>
      <c r="J22" s="1" t="n">
        <v>0.00213027</v>
      </c>
      <c r="K22" s="1" t="n">
        <v>0.001906633</v>
      </c>
      <c r="L22" s="1" t="n">
        <v>0.001838923</v>
      </c>
      <c r="M22" s="1" t="n">
        <v>0.00186038</v>
      </c>
      <c r="N22" s="1" t="n">
        <v>0.001884222</v>
      </c>
      <c r="O22" s="1" t="n">
        <v>0.001917124</v>
      </c>
      <c r="P22" s="1" t="n">
        <v>0.001886606</v>
      </c>
      <c r="R22" s="1" t="n">
        <f aca="false">PERCENTILE(G22:P22,0.9)</f>
        <v>0.0042374134</v>
      </c>
      <c r="S22" s="5" t="n">
        <f aca="false">spmv_1!R$2/R22</f>
        <v>4.11176506875633</v>
      </c>
      <c r="T22" s="6" t="n">
        <f aca="false">S22/64</f>
        <v>0.0642463291993177</v>
      </c>
    </row>
    <row r="23" customFormat="false" ht="15" hidden="false" customHeight="false" outlineLevel="0" collapsed="false">
      <c r="A23" s="1" t="s">
        <v>15</v>
      </c>
      <c r="B23" s="1" t="n">
        <v>21</v>
      </c>
      <c r="D23" s="1" t="n">
        <v>168461</v>
      </c>
      <c r="E23" s="1" t="n">
        <v>0.132299</v>
      </c>
      <c r="G23" s="1" t="n">
        <v>0.004271746</v>
      </c>
      <c r="H23" s="1" t="n">
        <v>0.004376173</v>
      </c>
      <c r="I23" s="1" t="n">
        <v>0.003427982</v>
      </c>
      <c r="J23" s="1" t="n">
        <v>0.002120018</v>
      </c>
      <c r="K23" s="1" t="n">
        <v>0.001910448</v>
      </c>
      <c r="L23" s="1" t="n">
        <v>0.001833439</v>
      </c>
      <c r="M23" s="1" t="n">
        <v>0.00186038</v>
      </c>
      <c r="N23" s="1" t="n">
        <v>0.001876831</v>
      </c>
      <c r="O23" s="1" t="n">
        <v>0.001909018</v>
      </c>
      <c r="P23" s="1" t="n">
        <v>0.001880646</v>
      </c>
      <c r="R23" s="1" t="n">
        <f aca="false">PERCENTILE(G23:P23,0.9)</f>
        <v>0.0042821887</v>
      </c>
      <c r="S23" s="5" t="n">
        <f aca="false">spmv_1!R$2/R23</f>
        <v>4.06877174749445</v>
      </c>
      <c r="T23" s="6" t="n">
        <f aca="false">S23/64</f>
        <v>0.0635745585546008</v>
      </c>
    </row>
    <row r="24" customFormat="false" ht="15" hidden="false" customHeight="false" outlineLevel="0" collapsed="false">
      <c r="A24" s="1" t="s">
        <v>15</v>
      </c>
      <c r="B24" s="1" t="n">
        <v>22</v>
      </c>
      <c r="D24" s="1" t="n">
        <v>168932</v>
      </c>
      <c r="E24" s="1" t="n">
        <v>0.137392</v>
      </c>
      <c r="G24" s="1" t="n">
        <v>0.00383234</v>
      </c>
      <c r="H24" s="1" t="n">
        <v>0.004296541</v>
      </c>
      <c r="I24" s="1" t="n">
        <v>0.003373384</v>
      </c>
      <c r="J24" s="1" t="n">
        <v>0.001928568</v>
      </c>
      <c r="K24" s="1" t="n">
        <v>0.0018363</v>
      </c>
      <c r="L24" s="1" t="n">
        <v>0.001820564</v>
      </c>
      <c r="M24" s="1" t="n">
        <v>0.001851082</v>
      </c>
      <c r="N24" s="1" t="n">
        <v>0.00186491</v>
      </c>
      <c r="O24" s="1" t="n">
        <v>0.001909971</v>
      </c>
      <c r="P24" s="1" t="n">
        <v>0.001877546</v>
      </c>
      <c r="R24" s="1" t="n">
        <f aca="false">PERCENTILE(G24:P24,0.9)</f>
        <v>0.0038787601</v>
      </c>
      <c r="S24" s="5" t="n">
        <f aca="false">spmv_1!R$2/R24</f>
        <v>4.49196339830349</v>
      </c>
      <c r="T24" s="6" t="n">
        <f aca="false">S24/64</f>
        <v>0.0701869280984921</v>
      </c>
    </row>
    <row r="25" customFormat="false" ht="15" hidden="false" customHeight="false" outlineLevel="0" collapsed="false">
      <c r="A25" s="1" t="s">
        <v>15</v>
      </c>
      <c r="B25" s="1" t="n">
        <v>23</v>
      </c>
      <c r="D25" s="1" t="n">
        <v>168435</v>
      </c>
      <c r="E25" s="1" t="n">
        <v>0.145979</v>
      </c>
      <c r="G25" s="1" t="n">
        <v>0.00350523</v>
      </c>
      <c r="H25" s="1" t="n">
        <v>0.00402832</v>
      </c>
      <c r="I25" s="1" t="n">
        <v>0.003123283</v>
      </c>
      <c r="J25" s="1" t="n">
        <v>0.001832485</v>
      </c>
      <c r="K25" s="1" t="n">
        <v>0.001743078</v>
      </c>
      <c r="L25" s="1" t="n">
        <v>0.001716852</v>
      </c>
      <c r="M25" s="1" t="n">
        <v>0.001751661</v>
      </c>
      <c r="N25" s="1" t="n">
        <v>0.001777411</v>
      </c>
      <c r="O25" s="1" t="n">
        <v>0.00182271</v>
      </c>
      <c r="P25" s="1" t="n">
        <v>0.001775503</v>
      </c>
      <c r="R25" s="1" t="n">
        <f aca="false">PERCENTILE(G25:P25,0.9)</f>
        <v>0.003557539</v>
      </c>
      <c r="S25" s="5" t="n">
        <f aca="false">spmv_1!R$2/R25</f>
        <v>4.89755654119322</v>
      </c>
      <c r="T25" s="6" t="n">
        <f aca="false">S25/64</f>
        <v>0.0765243209561441</v>
      </c>
    </row>
    <row r="26" customFormat="false" ht="15" hidden="false" customHeight="false" outlineLevel="0" collapsed="false">
      <c r="A26" s="1" t="s">
        <v>15</v>
      </c>
      <c r="B26" s="1" t="n">
        <v>24</v>
      </c>
      <c r="D26" s="1" t="n">
        <v>166321</v>
      </c>
      <c r="E26" s="1" t="n">
        <v>0.134835</v>
      </c>
      <c r="G26" s="1" t="n">
        <v>0.004206657</v>
      </c>
      <c r="H26" s="1" t="n">
        <v>0.004454136</v>
      </c>
      <c r="I26" s="1" t="n">
        <v>0.003189802</v>
      </c>
      <c r="J26" s="1" t="n">
        <v>0.001991749</v>
      </c>
      <c r="K26" s="1" t="n">
        <v>0.001820803</v>
      </c>
      <c r="L26" s="1" t="n">
        <v>0.001760721</v>
      </c>
      <c r="M26" s="1" t="n">
        <v>0.00178504</v>
      </c>
      <c r="N26" s="1" t="n">
        <v>0.001814127</v>
      </c>
      <c r="O26" s="1" t="n">
        <v>0.001839876</v>
      </c>
      <c r="P26" s="1" t="n">
        <v>0.001807451</v>
      </c>
      <c r="R26" s="1" t="n">
        <f aca="false">PERCENTILE(G26:P26,0.9)</f>
        <v>0.0042314049</v>
      </c>
      <c r="S26" s="5" t="n">
        <f aca="false">spmv_1!R$2/R26</f>
        <v>4.11760368288083</v>
      </c>
      <c r="T26" s="6" t="n">
        <f aca="false">S26/64</f>
        <v>0.064337557545013</v>
      </c>
    </row>
    <row r="27" customFormat="false" ht="15" hidden="false" customHeight="false" outlineLevel="0" collapsed="false">
      <c r="A27" s="1" t="s">
        <v>15</v>
      </c>
      <c r="B27" s="1" t="n">
        <v>25</v>
      </c>
      <c r="D27" s="1" t="n">
        <v>166115</v>
      </c>
      <c r="E27" s="1" t="n">
        <v>0.136677</v>
      </c>
      <c r="G27" s="1" t="n">
        <v>0.004007816</v>
      </c>
      <c r="H27" s="1" t="n">
        <v>0.004360199</v>
      </c>
      <c r="I27" s="1" t="n">
        <v>0.003120899</v>
      </c>
      <c r="J27" s="1" t="n">
        <v>0.001899004</v>
      </c>
      <c r="K27" s="1" t="n">
        <v>0.001798153</v>
      </c>
      <c r="L27" s="1" t="n">
        <v>0.001779318</v>
      </c>
      <c r="M27" s="1" t="n">
        <v>0.001811266</v>
      </c>
      <c r="N27" s="1" t="n">
        <v>0.001837015</v>
      </c>
      <c r="O27" s="1" t="n">
        <v>0.001863718</v>
      </c>
      <c r="P27" s="1" t="n">
        <v>0.001830339</v>
      </c>
      <c r="R27" s="1" t="n">
        <f aca="false">PERCENTILE(G27:P27,0.9)</f>
        <v>0.0040430543</v>
      </c>
      <c r="S27" s="5" t="n">
        <f aca="false">spmv_1!R$2/R27</f>
        <v>4.30942725651743</v>
      </c>
      <c r="T27" s="6" t="n">
        <f aca="false">S27/64</f>
        <v>0.0673348008830848</v>
      </c>
    </row>
    <row r="28" customFormat="false" ht="15" hidden="false" customHeight="false" outlineLevel="0" collapsed="false">
      <c r="A28" s="1" t="s">
        <v>15</v>
      </c>
      <c r="B28" s="1" t="n">
        <v>26</v>
      </c>
      <c r="D28" s="1" t="n">
        <v>165984</v>
      </c>
      <c r="E28" s="1" t="n">
        <v>0.146147</v>
      </c>
      <c r="G28" s="1" t="n">
        <v>0.003478527</v>
      </c>
      <c r="H28" s="1" t="n">
        <v>0.004073143</v>
      </c>
      <c r="I28" s="1" t="n">
        <v>0.003014803</v>
      </c>
      <c r="J28" s="1" t="n">
        <v>0.001815319</v>
      </c>
      <c r="K28" s="1" t="n">
        <v>0.001689911</v>
      </c>
      <c r="L28" s="1" t="n">
        <v>0.001671314</v>
      </c>
      <c r="M28" s="1" t="n">
        <v>0.001695871</v>
      </c>
      <c r="N28" s="1" t="n">
        <v>0.001751184</v>
      </c>
      <c r="O28" s="1" t="n">
        <v>0.001778603</v>
      </c>
      <c r="P28" s="1" t="n">
        <v>0.001745939</v>
      </c>
      <c r="R28" s="1" t="n">
        <f aca="false">PERCENTILE(G28:P28,0.9)</f>
        <v>0.0035379886</v>
      </c>
      <c r="S28" s="5" t="n">
        <f aca="false">spmv_1!R$2/R28</f>
        <v>4.9246197118894</v>
      </c>
      <c r="T28" s="6" t="n">
        <f aca="false">S28/64</f>
        <v>0.0769471829982719</v>
      </c>
    </row>
    <row r="29" customFormat="false" ht="15" hidden="false" customHeight="false" outlineLevel="0" collapsed="false">
      <c r="A29" s="1" t="s">
        <v>15</v>
      </c>
      <c r="B29" s="1" t="n">
        <v>27</v>
      </c>
      <c r="D29" s="1" t="n">
        <v>166597</v>
      </c>
      <c r="E29" s="1" t="n">
        <v>0.137939</v>
      </c>
      <c r="G29" s="1" t="n">
        <v>0.004166603</v>
      </c>
      <c r="H29" s="1" t="n">
        <v>0.0043993</v>
      </c>
      <c r="I29" s="1" t="n">
        <v>0.003032684</v>
      </c>
      <c r="J29" s="1" t="n">
        <v>0.001952171</v>
      </c>
      <c r="K29" s="1" t="n">
        <v>0.001759768</v>
      </c>
      <c r="L29" s="1" t="n">
        <v>0.001707077</v>
      </c>
      <c r="M29" s="1" t="n">
        <v>0.001747847</v>
      </c>
      <c r="N29" s="1" t="n">
        <v>0.00179553</v>
      </c>
      <c r="O29" s="1" t="n">
        <v>0.001812935</v>
      </c>
      <c r="P29" s="1" t="n">
        <v>0.001781225</v>
      </c>
      <c r="R29" s="1" t="n">
        <f aca="false">PERCENTILE(G29:P29,0.9)</f>
        <v>0.0041898727</v>
      </c>
      <c r="S29" s="5" t="n">
        <f aca="false">spmv_1!R$2/R29</f>
        <v>4.15841951475041</v>
      </c>
      <c r="T29" s="6" t="n">
        <f aca="false">S29/64</f>
        <v>0.0649753049179752</v>
      </c>
    </row>
    <row r="30" customFormat="false" ht="15" hidden="false" customHeight="false" outlineLevel="0" collapsed="false">
      <c r="A30" s="1" t="s">
        <v>15</v>
      </c>
      <c r="B30" s="1" t="n">
        <v>28</v>
      </c>
      <c r="D30" s="1" t="n">
        <v>166202</v>
      </c>
      <c r="E30" s="1" t="n">
        <v>0.137875</v>
      </c>
      <c r="G30" s="1" t="n">
        <v>0.003918409</v>
      </c>
      <c r="H30" s="1" t="n">
        <v>0.004313946</v>
      </c>
      <c r="I30" s="1" t="n">
        <v>0.003576517</v>
      </c>
      <c r="J30" s="1" t="n">
        <v>0.00186348</v>
      </c>
      <c r="K30" s="1" t="n">
        <v>0.001673698</v>
      </c>
      <c r="L30" s="1" t="n">
        <v>0.001688242</v>
      </c>
      <c r="M30" s="1" t="n">
        <v>0.001721859</v>
      </c>
      <c r="N30" s="1" t="n">
        <v>0.001770258</v>
      </c>
      <c r="O30" s="1" t="n">
        <v>0.001798868</v>
      </c>
      <c r="P30" s="1" t="n">
        <v>0.001783848</v>
      </c>
      <c r="R30" s="1" t="n">
        <f aca="false">PERCENTILE(G30:P30,0.9)</f>
        <v>0.0039579627</v>
      </c>
      <c r="S30" s="5" t="n">
        <f aca="false">spmv_1!R$2/R30</f>
        <v>4.40207493617865</v>
      </c>
      <c r="T30" s="6" t="n">
        <f aca="false">S30/64</f>
        <v>0.0687824208777915</v>
      </c>
    </row>
    <row r="31" customFormat="false" ht="15" hidden="false" customHeight="false" outlineLevel="0" collapsed="false">
      <c r="A31" s="1" t="s">
        <v>15</v>
      </c>
      <c r="B31" s="1" t="n">
        <v>29</v>
      </c>
      <c r="D31" s="1" t="n">
        <v>166087</v>
      </c>
      <c r="E31" s="1" t="n">
        <v>0.148663</v>
      </c>
      <c r="G31" s="1" t="n">
        <v>0.003519535</v>
      </c>
      <c r="H31" s="1" t="n">
        <v>0.00394392</v>
      </c>
      <c r="I31" s="1" t="n">
        <v>0.003265381</v>
      </c>
      <c r="J31" s="1" t="n">
        <v>0.001784801</v>
      </c>
      <c r="K31" s="1" t="n">
        <v>0.001578808</v>
      </c>
      <c r="L31" s="1" t="n">
        <v>0.001600504</v>
      </c>
      <c r="M31" s="1" t="n">
        <v>0.001626253</v>
      </c>
      <c r="N31" s="1" t="n">
        <v>0.001666307</v>
      </c>
      <c r="O31" s="1" t="n">
        <v>0.001692772</v>
      </c>
      <c r="P31" s="1" t="n">
        <v>0.001665831</v>
      </c>
      <c r="R31" s="1" t="n">
        <f aca="false">PERCENTILE(G31:P31,0.9)</f>
        <v>0.0035619735</v>
      </c>
      <c r="S31" s="5" t="n">
        <f aca="false">spmv_1!R$2/R31</f>
        <v>4.89145929917783</v>
      </c>
      <c r="T31" s="6" t="n">
        <f aca="false">S31/64</f>
        <v>0.0764290515496536</v>
      </c>
    </row>
    <row r="32" customFormat="false" ht="15" hidden="false" customHeight="false" outlineLevel="0" collapsed="false">
      <c r="A32" s="1" t="s">
        <v>15</v>
      </c>
      <c r="B32" s="1" t="n">
        <v>30</v>
      </c>
      <c r="D32" s="1" t="n">
        <v>165466</v>
      </c>
      <c r="E32" s="1" t="n">
        <v>0.130851</v>
      </c>
      <c r="G32" s="1" t="n">
        <v>0.004169464</v>
      </c>
      <c r="H32" s="1" t="n">
        <v>0.004367113</v>
      </c>
      <c r="I32" s="1" t="n">
        <v>0.003562689</v>
      </c>
      <c r="J32" s="1" t="n">
        <v>0.002220392</v>
      </c>
      <c r="K32" s="1" t="n">
        <v>0.00181675</v>
      </c>
      <c r="L32" s="1" t="n">
        <v>0.001798391</v>
      </c>
      <c r="M32" s="1" t="n">
        <v>0.001791239</v>
      </c>
      <c r="N32" s="1" t="n">
        <v>0.001854897</v>
      </c>
      <c r="O32" s="1" t="n">
        <v>0.001848221</v>
      </c>
      <c r="P32" s="1" t="n">
        <v>0.001861572</v>
      </c>
      <c r="R32" s="1" t="n">
        <f aca="false">PERCENTILE(G32:P32,0.9)</f>
        <v>0.0041892289</v>
      </c>
      <c r="S32" s="5" t="n">
        <f aca="false">spmv_1!R$2/R32</f>
        <v>4.15905857996922</v>
      </c>
      <c r="T32" s="6" t="n">
        <f aca="false">S32/64</f>
        <v>0.064985290312019</v>
      </c>
    </row>
    <row r="33" customFormat="false" ht="15" hidden="false" customHeight="false" outlineLevel="0" collapsed="false">
      <c r="A33" s="1" t="s">
        <v>15</v>
      </c>
      <c r="B33" s="1" t="n">
        <v>31</v>
      </c>
      <c r="D33" s="1" t="n">
        <v>165828</v>
      </c>
      <c r="E33" s="1" t="n">
        <v>0.138569</v>
      </c>
      <c r="G33" s="1" t="n">
        <v>0.004245758</v>
      </c>
      <c r="H33" s="1" t="n">
        <v>0.004175901</v>
      </c>
      <c r="I33" s="1" t="n">
        <v>0.003554583</v>
      </c>
      <c r="J33" s="1" t="n">
        <v>0.002021074</v>
      </c>
      <c r="K33" s="1" t="n">
        <v>0.001615047</v>
      </c>
      <c r="L33" s="1" t="n">
        <v>0.001618147</v>
      </c>
      <c r="M33" s="1" t="n">
        <v>0.00162816</v>
      </c>
      <c r="N33" s="1" t="n">
        <v>0.001694441</v>
      </c>
      <c r="O33" s="1" t="n">
        <v>0.00168252</v>
      </c>
      <c r="P33" s="1" t="n">
        <v>0.001698732</v>
      </c>
      <c r="R33" s="1" t="n">
        <f aca="false">PERCENTILE(G33:P33,0.9)</f>
        <v>0.0041828867</v>
      </c>
      <c r="S33" s="5" t="n">
        <f aca="false">spmv_1!R$2/R33</f>
        <v>4.16536465116304</v>
      </c>
      <c r="T33" s="6" t="n">
        <f aca="false">S33/64</f>
        <v>0.0650838226744224</v>
      </c>
    </row>
    <row r="34" customFormat="false" ht="15" hidden="false" customHeight="false" outlineLevel="0" collapsed="false">
      <c r="A34" s="1" t="s">
        <v>15</v>
      </c>
      <c r="B34" s="1" t="n">
        <v>32</v>
      </c>
      <c r="D34" s="1" t="n">
        <v>166058</v>
      </c>
      <c r="E34" s="1" t="n">
        <v>0.142824</v>
      </c>
      <c r="G34" s="1" t="n">
        <v>0.003593683</v>
      </c>
      <c r="H34" s="1" t="n">
        <v>0.003814697</v>
      </c>
      <c r="I34" s="1" t="n">
        <v>0.003359318</v>
      </c>
      <c r="J34" s="1" t="n">
        <v>0.002004862</v>
      </c>
      <c r="K34" s="1" t="n">
        <v>0.001755953</v>
      </c>
      <c r="L34" s="1" t="n">
        <v>0.001744986</v>
      </c>
      <c r="M34" s="1" t="n">
        <v>0.001713037</v>
      </c>
      <c r="N34" s="1" t="n">
        <v>0.001717091</v>
      </c>
      <c r="O34" s="1" t="n">
        <v>0.001797676</v>
      </c>
      <c r="P34" s="1" t="n">
        <v>0.001752138</v>
      </c>
      <c r="R34" s="1" t="n">
        <f aca="false">PERCENTILE(G34:P34,0.9)</f>
        <v>0.0036157844</v>
      </c>
      <c r="S34" s="5" t="n">
        <f aca="false">spmv_1!R$2/R34</f>
        <v>4.81866352429642</v>
      </c>
      <c r="T34" s="6" t="n">
        <f aca="false">S34/64</f>
        <v>0.0752916175671315</v>
      </c>
    </row>
    <row r="35" customFormat="false" ht="15" hidden="false" customHeight="false" outlineLevel="0" collapsed="false">
      <c r="A35" s="1" t="s">
        <v>15</v>
      </c>
      <c r="B35" s="1" t="n">
        <v>33</v>
      </c>
      <c r="D35" s="1" t="n">
        <v>167057</v>
      </c>
      <c r="E35" s="1" t="n">
        <v>0.146879</v>
      </c>
      <c r="G35" s="1" t="n">
        <v>0.003502369</v>
      </c>
      <c r="H35" s="1" t="n">
        <v>0.003760338</v>
      </c>
      <c r="I35" s="1" t="n">
        <v>0.003307104</v>
      </c>
      <c r="J35" s="1" t="n">
        <v>0.001961708</v>
      </c>
      <c r="K35" s="1" t="n">
        <v>0.001710653</v>
      </c>
      <c r="L35" s="1" t="n">
        <v>0.001704216</v>
      </c>
      <c r="M35" s="1" t="n">
        <v>0.001675606</v>
      </c>
      <c r="N35" s="1" t="n">
        <v>0.001675367</v>
      </c>
      <c r="O35" s="1" t="n">
        <v>0.001765728</v>
      </c>
      <c r="P35" s="1" t="n">
        <v>0.001684427</v>
      </c>
      <c r="R35" s="1" t="n">
        <f aca="false">PERCENTILE(G35:P35,0.9)</f>
        <v>0.0035281659</v>
      </c>
      <c r="S35" s="5" t="n">
        <f aca="false">spmv_1!R$2/R35</f>
        <v>4.93833025255417</v>
      </c>
      <c r="T35" s="6" t="n">
        <f aca="false">S35/64</f>
        <v>0.0771614101961589</v>
      </c>
    </row>
    <row r="36" customFormat="false" ht="15" hidden="false" customHeight="false" outlineLevel="0" collapsed="false">
      <c r="A36" s="1" t="s">
        <v>15</v>
      </c>
      <c r="B36" s="1" t="n">
        <v>34</v>
      </c>
      <c r="D36" s="1" t="n">
        <v>167060</v>
      </c>
      <c r="E36" s="1" t="n">
        <v>0.147653</v>
      </c>
      <c r="G36" s="1" t="n">
        <v>0.003502131</v>
      </c>
      <c r="H36" s="1" t="n">
        <v>0.003749847</v>
      </c>
      <c r="I36" s="1" t="n">
        <v>0.003283501</v>
      </c>
      <c r="J36" s="1" t="n">
        <v>0.001941204</v>
      </c>
      <c r="K36" s="1" t="n">
        <v>0.001708984</v>
      </c>
      <c r="L36" s="1" t="n">
        <v>0.001701832</v>
      </c>
      <c r="M36" s="1" t="n">
        <v>0.001662254</v>
      </c>
      <c r="N36" s="1" t="n">
        <v>0.001657724</v>
      </c>
      <c r="O36" s="1" t="n">
        <v>0.001746178</v>
      </c>
      <c r="P36" s="1" t="n">
        <v>0.001675129</v>
      </c>
      <c r="R36" s="1" t="n">
        <f aca="false">PERCENTILE(G36:P36,0.9)</f>
        <v>0.0035269026</v>
      </c>
      <c r="S36" s="5" t="n">
        <f aca="false">spmv_1!R$2/R36</f>
        <v>4.94009911132788</v>
      </c>
      <c r="T36" s="6" t="n">
        <f aca="false">S36/64</f>
        <v>0.0771890486144982</v>
      </c>
    </row>
    <row r="37" customFormat="false" ht="15" hidden="false" customHeight="false" outlineLevel="0" collapsed="false">
      <c r="A37" s="1" t="s">
        <v>15</v>
      </c>
      <c r="B37" s="1" t="n">
        <v>35</v>
      </c>
      <c r="D37" s="1" t="n">
        <v>166567</v>
      </c>
      <c r="E37" s="1" t="n">
        <v>0.149389</v>
      </c>
      <c r="G37" s="1" t="n">
        <v>0.003375053</v>
      </c>
      <c r="H37" s="1" t="n">
        <v>0.003732204</v>
      </c>
      <c r="I37" s="1" t="n">
        <v>0.003233671</v>
      </c>
      <c r="J37" s="1" t="n">
        <v>0.001929045</v>
      </c>
      <c r="K37" s="1" t="n">
        <v>0.001691103</v>
      </c>
      <c r="L37" s="1" t="n">
        <v>0.001684904</v>
      </c>
      <c r="M37" s="1" t="n">
        <v>0.001651764</v>
      </c>
      <c r="N37" s="1" t="n">
        <v>0.001647234</v>
      </c>
      <c r="O37" s="1" t="n">
        <v>0.001719475</v>
      </c>
      <c r="P37" s="1" t="n">
        <v>0.001635313</v>
      </c>
      <c r="R37" s="1" t="n">
        <f aca="false">PERCENTILE(G37:P37,0.9)</f>
        <v>0.0034107681</v>
      </c>
      <c r="S37" s="5" t="n">
        <f aca="false">spmv_1!R$2/R37</f>
        <v>5.10830636653368</v>
      </c>
      <c r="T37" s="6" t="n">
        <f aca="false">S37/64</f>
        <v>0.0798172869770888</v>
      </c>
    </row>
    <row r="38" customFormat="false" ht="15" hidden="false" customHeight="false" outlineLevel="0" collapsed="false">
      <c r="A38" s="1" t="s">
        <v>15</v>
      </c>
      <c r="B38" s="1" t="n">
        <v>36</v>
      </c>
      <c r="D38" s="1" t="n">
        <v>165769</v>
      </c>
      <c r="E38" s="1" t="n">
        <v>0.148024</v>
      </c>
      <c r="G38" s="1" t="n">
        <v>0.003373623</v>
      </c>
      <c r="H38" s="1" t="n">
        <v>0.003734589</v>
      </c>
      <c r="I38" s="1" t="n">
        <v>0.003265858</v>
      </c>
      <c r="J38" s="1" t="n">
        <v>0.001942873</v>
      </c>
      <c r="K38" s="1" t="n">
        <v>0.001703024</v>
      </c>
      <c r="L38" s="1" t="n">
        <v>0.00170517</v>
      </c>
      <c r="M38" s="1" t="n">
        <v>0.001658916</v>
      </c>
      <c r="N38" s="1" t="n">
        <v>0.001650095</v>
      </c>
      <c r="O38" s="1" t="n">
        <v>0.001728535</v>
      </c>
      <c r="P38" s="1" t="n">
        <v>0.001634836</v>
      </c>
      <c r="R38" s="1" t="n">
        <f aca="false">PERCENTILE(G38:P38,0.9)</f>
        <v>0.0034097196</v>
      </c>
      <c r="S38" s="5" t="n">
        <f aca="false">spmv_1!R$2/R38</f>
        <v>5.10987718755525</v>
      </c>
      <c r="T38" s="6" t="n">
        <f aca="false">S38/64</f>
        <v>0.0798418310555507</v>
      </c>
    </row>
    <row r="39" customFormat="false" ht="15" hidden="false" customHeight="false" outlineLevel="0" collapsed="false">
      <c r="A39" s="1" t="s">
        <v>15</v>
      </c>
      <c r="B39" s="1" t="n">
        <v>37</v>
      </c>
      <c r="D39" s="1" t="n">
        <v>165598</v>
      </c>
      <c r="E39" s="1" t="n">
        <v>0.150878</v>
      </c>
      <c r="G39" s="1" t="n">
        <v>0.003350019</v>
      </c>
      <c r="H39" s="1" t="n">
        <v>0.003703833</v>
      </c>
      <c r="I39" s="1" t="n">
        <v>0.003204107</v>
      </c>
      <c r="J39" s="1" t="n">
        <v>0.00191164</v>
      </c>
      <c r="K39" s="1" t="n">
        <v>0.001672268</v>
      </c>
      <c r="L39" s="1" t="n">
        <v>0.001674891</v>
      </c>
      <c r="M39" s="1" t="n">
        <v>0.001629353</v>
      </c>
      <c r="N39" s="1" t="n">
        <v>0.001612902</v>
      </c>
      <c r="O39" s="1" t="n">
        <v>0.001593113</v>
      </c>
      <c r="P39" s="1" t="n">
        <v>0.001599073</v>
      </c>
      <c r="R39" s="1" t="n">
        <f aca="false">PERCENTILE(G39:P39,0.9)</f>
        <v>0.0033854004</v>
      </c>
      <c r="S39" s="5" t="n">
        <f aca="false">spmv_1!R$2/R39</f>
        <v>5.14658425632608</v>
      </c>
      <c r="T39" s="6" t="n">
        <f aca="false">S39/64</f>
        <v>0.0804153790050949</v>
      </c>
    </row>
    <row r="40" customFormat="false" ht="15" hidden="false" customHeight="false" outlineLevel="0" collapsed="false">
      <c r="A40" s="1" t="s">
        <v>15</v>
      </c>
      <c r="B40" s="1" t="n">
        <v>38</v>
      </c>
      <c r="D40" s="1" t="n">
        <v>165585</v>
      </c>
      <c r="E40" s="1" t="n">
        <v>0.152314</v>
      </c>
      <c r="G40" s="1" t="n">
        <v>0.003268957</v>
      </c>
      <c r="H40" s="1" t="n">
        <v>0.003597021</v>
      </c>
      <c r="I40" s="1" t="n">
        <v>0.003187418</v>
      </c>
      <c r="J40" s="1" t="n">
        <v>0.001914501</v>
      </c>
      <c r="K40" s="1" t="n">
        <v>0.001666307</v>
      </c>
      <c r="L40" s="1" t="n">
        <v>0.001688719</v>
      </c>
      <c r="M40" s="1" t="n">
        <v>0.001631498</v>
      </c>
      <c r="N40" s="1" t="n">
        <v>0.00160861</v>
      </c>
      <c r="O40" s="1" t="n">
        <v>0.001590967</v>
      </c>
      <c r="P40" s="1" t="n">
        <v>0.001588583</v>
      </c>
      <c r="R40" s="1" t="n">
        <f aca="false">PERCENTILE(G40:P40,0.9)</f>
        <v>0.0033017634</v>
      </c>
      <c r="S40" s="5" t="n">
        <f aca="false">spmv_1!R$2/R40</f>
        <v>5.27695243093433</v>
      </c>
      <c r="T40" s="6" t="n">
        <f aca="false">S40/64</f>
        <v>0.0824523817333489</v>
      </c>
    </row>
    <row r="41" customFormat="false" ht="15" hidden="false" customHeight="false" outlineLevel="0" collapsed="false">
      <c r="A41" s="1" t="s">
        <v>15</v>
      </c>
      <c r="B41" s="1" t="n">
        <v>39</v>
      </c>
      <c r="D41" s="1" t="n">
        <v>165774</v>
      </c>
      <c r="E41" s="1" t="n">
        <v>0.155258</v>
      </c>
      <c r="G41" s="1" t="n">
        <v>0.003134966</v>
      </c>
      <c r="H41" s="1" t="n">
        <v>0.003529072</v>
      </c>
      <c r="I41" s="1" t="n">
        <v>0.003149509</v>
      </c>
      <c r="J41" s="1" t="n">
        <v>0.001899004</v>
      </c>
      <c r="K41" s="1" t="n">
        <v>0.001649857</v>
      </c>
      <c r="L41" s="1" t="n">
        <v>0.001643419</v>
      </c>
      <c r="M41" s="1" t="n">
        <v>0.001621962</v>
      </c>
      <c r="N41" s="1" t="n">
        <v>0.001598835</v>
      </c>
      <c r="O41" s="1" t="n">
        <v>0.001567602</v>
      </c>
      <c r="P41" s="1" t="n">
        <v>0.00156045</v>
      </c>
      <c r="R41" s="1" t="n">
        <f aca="false">PERCENTILE(G41:P41,0.9)</f>
        <v>0.0031874653</v>
      </c>
      <c r="S41" s="5" t="n">
        <f aca="false">spmv_1!R$2/R41</f>
        <v>5.46617665139759</v>
      </c>
      <c r="T41" s="6" t="n">
        <f aca="false">S41/64</f>
        <v>0.0854090101780873</v>
      </c>
    </row>
    <row r="42" customFormat="false" ht="15" hidden="false" customHeight="false" outlineLevel="0" collapsed="false">
      <c r="A42" s="1" t="s">
        <v>15</v>
      </c>
      <c r="B42" s="1" t="n">
        <v>40</v>
      </c>
      <c r="D42" s="1" t="n">
        <v>165340</v>
      </c>
      <c r="E42" s="1" t="n">
        <v>0.156732</v>
      </c>
      <c r="G42" s="1" t="n">
        <v>0.003116131</v>
      </c>
      <c r="H42" s="1" t="n">
        <v>0.0035007</v>
      </c>
      <c r="I42" s="1" t="n">
        <v>0.003075123</v>
      </c>
      <c r="J42" s="1" t="n">
        <v>0.001873016</v>
      </c>
      <c r="K42" s="1" t="n">
        <v>0.001631498</v>
      </c>
      <c r="L42" s="1" t="n">
        <v>0.00162816</v>
      </c>
      <c r="M42" s="1" t="n">
        <v>0.001607418</v>
      </c>
      <c r="N42" s="1" t="n">
        <v>0.001583338</v>
      </c>
      <c r="O42" s="1" t="n">
        <v>0.001554489</v>
      </c>
      <c r="P42" s="1" t="n">
        <v>0.001528502</v>
      </c>
      <c r="R42" s="1" t="n">
        <f aca="false">PERCENTILE(G42:P42,0.9)</f>
        <v>0.0031545879</v>
      </c>
      <c r="S42" s="5" t="n">
        <f aca="false">spmv_1!R$2/R42</f>
        <v>5.52314563813549</v>
      </c>
      <c r="T42" s="6" t="n">
        <f aca="false">S42/64</f>
        <v>0.086299150595867</v>
      </c>
    </row>
    <row r="43" customFormat="false" ht="15" hidden="false" customHeight="false" outlineLevel="0" collapsed="false">
      <c r="A43" s="1" t="s">
        <v>15</v>
      </c>
      <c r="B43" s="1" t="n">
        <v>41</v>
      </c>
      <c r="D43" s="1" t="n">
        <v>166584</v>
      </c>
      <c r="E43" s="1" t="n">
        <v>0.159671</v>
      </c>
      <c r="G43" s="1" t="n">
        <v>0.003093243</v>
      </c>
      <c r="H43" s="1" t="n">
        <v>0.003464699</v>
      </c>
      <c r="I43" s="1" t="n">
        <v>0.003032446</v>
      </c>
      <c r="J43" s="1" t="n">
        <v>0.001829386</v>
      </c>
      <c r="K43" s="1" t="n">
        <v>0.001628637</v>
      </c>
      <c r="L43" s="1" t="n">
        <v>0.001602888</v>
      </c>
      <c r="M43" s="1" t="n">
        <v>0.001604795</v>
      </c>
      <c r="N43" s="1" t="n">
        <v>0.001560211</v>
      </c>
      <c r="O43" s="1" t="n">
        <v>0.00154233</v>
      </c>
      <c r="P43" s="1" t="n">
        <v>0.001507282</v>
      </c>
      <c r="R43" s="1" t="n">
        <f aca="false">PERCENTILE(G43:P43,0.9)</f>
        <v>0.0031303886</v>
      </c>
      <c r="S43" s="5" t="n">
        <f aca="false">spmv_1!R$2/R43</f>
        <v>5.56584201718598</v>
      </c>
      <c r="T43" s="6" t="n">
        <f aca="false">S43/64</f>
        <v>0.086966281518531</v>
      </c>
    </row>
    <row r="44" customFormat="false" ht="15" hidden="false" customHeight="false" outlineLevel="0" collapsed="false">
      <c r="A44" s="1" t="s">
        <v>15</v>
      </c>
      <c r="B44" s="1" t="n">
        <v>42</v>
      </c>
      <c r="D44" s="1" t="n">
        <v>167771</v>
      </c>
      <c r="E44" s="1" t="n">
        <v>0.159031</v>
      </c>
      <c r="G44" s="1" t="n">
        <v>0.003161669</v>
      </c>
      <c r="H44" s="1" t="n">
        <v>0.003443003</v>
      </c>
      <c r="I44" s="1" t="n">
        <v>0.003079891</v>
      </c>
      <c r="J44" s="1" t="n">
        <v>0.001863956</v>
      </c>
      <c r="K44" s="1" t="n">
        <v>0.001673937</v>
      </c>
      <c r="L44" s="1" t="n">
        <v>0.001628637</v>
      </c>
      <c r="M44" s="1" t="n">
        <v>0.001599789</v>
      </c>
      <c r="N44" s="1" t="n">
        <v>0.001577377</v>
      </c>
      <c r="O44" s="1" t="n">
        <v>0.001559496</v>
      </c>
      <c r="P44" s="1" t="n">
        <v>0.001511335</v>
      </c>
      <c r="R44" s="1" t="n">
        <f aca="false">PERCENTILE(G44:P44,0.9)</f>
        <v>0.0031898024</v>
      </c>
      <c r="S44" s="5" t="n">
        <f aca="false">spmv_1!R$2/R44</f>
        <v>5.4621717006671</v>
      </c>
      <c r="T44" s="6" t="n">
        <f aca="false">S44/64</f>
        <v>0.0853464328229234</v>
      </c>
    </row>
    <row r="45" customFormat="false" ht="15" hidden="false" customHeight="false" outlineLevel="0" collapsed="false">
      <c r="A45" s="1" t="s">
        <v>15</v>
      </c>
      <c r="B45" s="1" t="n">
        <v>43</v>
      </c>
      <c r="D45" s="1" t="n">
        <v>169279</v>
      </c>
      <c r="E45" s="1" t="n">
        <v>0.159849</v>
      </c>
      <c r="G45" s="1" t="n">
        <v>0.00317812</v>
      </c>
      <c r="H45" s="1" t="n">
        <v>0.003451586</v>
      </c>
      <c r="I45" s="1" t="n">
        <v>0.003081083</v>
      </c>
      <c r="J45" s="1" t="n">
        <v>0.001882553</v>
      </c>
      <c r="K45" s="1" t="n">
        <v>0.001676798</v>
      </c>
      <c r="L45" s="1" t="n">
        <v>0.001643896</v>
      </c>
      <c r="M45" s="1" t="n">
        <v>0.001587391</v>
      </c>
      <c r="N45" s="1" t="n">
        <v>0.001571655</v>
      </c>
      <c r="O45" s="1" t="n">
        <v>0.001584291</v>
      </c>
      <c r="P45" s="1" t="n">
        <v>0.001522541</v>
      </c>
      <c r="R45" s="1" t="n">
        <f aca="false">PERCENTILE(G45:P45,0.9)</f>
        <v>0.0032054666</v>
      </c>
      <c r="S45" s="5" t="n">
        <f aca="false">spmv_1!R$2/R45</f>
        <v>5.43547962720934</v>
      </c>
      <c r="T45" s="6" t="n">
        <f aca="false">S45/64</f>
        <v>0.084929369175146</v>
      </c>
    </row>
    <row r="46" customFormat="false" ht="15" hidden="false" customHeight="false" outlineLevel="0" collapsed="false">
      <c r="A46" s="1" t="s">
        <v>15</v>
      </c>
      <c r="B46" s="1" t="n">
        <v>44</v>
      </c>
      <c r="D46" s="1" t="n">
        <v>168604</v>
      </c>
      <c r="E46" s="1" t="n">
        <v>0.162012</v>
      </c>
      <c r="G46" s="1" t="n">
        <v>0.00316143</v>
      </c>
      <c r="H46" s="1" t="n">
        <v>0.003347158</v>
      </c>
      <c r="I46" s="1" t="n">
        <v>0.00299859</v>
      </c>
      <c r="J46" s="1" t="n">
        <v>0.001863956</v>
      </c>
      <c r="K46" s="1" t="n">
        <v>0.001644135</v>
      </c>
      <c r="L46" s="1" t="n">
        <v>0.001626015</v>
      </c>
      <c r="M46" s="1" t="n">
        <v>0.001552582</v>
      </c>
      <c r="N46" s="1" t="n">
        <v>0.001542807</v>
      </c>
      <c r="O46" s="1" t="n">
        <v>0.001579046</v>
      </c>
      <c r="P46" s="1" t="n">
        <v>0.001497984</v>
      </c>
      <c r="R46" s="1" t="n">
        <f aca="false">PERCENTILE(G46:P46,0.9)</f>
        <v>0.0031800028</v>
      </c>
      <c r="S46" s="5" t="n">
        <f aca="false">spmv_1!R$2/R46</f>
        <v>5.47900410653726</v>
      </c>
      <c r="T46" s="6" t="n">
        <f aca="false">S46/64</f>
        <v>0.0856094391646448</v>
      </c>
    </row>
    <row r="47" customFormat="false" ht="15" hidden="false" customHeight="false" outlineLevel="0" collapsed="false">
      <c r="A47" s="1" t="s">
        <v>15</v>
      </c>
      <c r="B47" s="1" t="n">
        <v>45</v>
      </c>
      <c r="D47" s="1" t="n">
        <v>167227</v>
      </c>
      <c r="E47" s="1" t="n">
        <v>0.162819</v>
      </c>
      <c r="G47" s="1" t="n">
        <v>0.003130436</v>
      </c>
      <c r="H47" s="1" t="n">
        <v>0.003309965</v>
      </c>
      <c r="I47" s="1" t="n">
        <v>0.002962589</v>
      </c>
      <c r="J47" s="1" t="n">
        <v>0.001822472</v>
      </c>
      <c r="K47" s="1" t="n">
        <v>0.001621962</v>
      </c>
      <c r="L47" s="1" t="n">
        <v>0.001602173</v>
      </c>
      <c r="M47" s="1" t="n">
        <v>0.001543283</v>
      </c>
      <c r="N47" s="1" t="n">
        <v>0.001528502</v>
      </c>
      <c r="O47" s="1" t="n">
        <v>0.001540422</v>
      </c>
      <c r="P47" s="1" t="n">
        <v>0.001479626</v>
      </c>
      <c r="R47" s="1" t="n">
        <f aca="false">PERCENTILE(G47:P47,0.9)</f>
        <v>0.0031483889</v>
      </c>
      <c r="S47" s="5" t="n">
        <f aca="false">spmv_1!R$2/R47</f>
        <v>5.53402040008463</v>
      </c>
      <c r="T47" s="6" t="n">
        <f aca="false">S47/64</f>
        <v>0.0864690687513223</v>
      </c>
    </row>
    <row r="48" customFormat="false" ht="15" hidden="false" customHeight="false" outlineLevel="0" collapsed="false">
      <c r="A48" s="1" t="s">
        <v>15</v>
      </c>
      <c r="B48" s="1" t="n">
        <v>46</v>
      </c>
      <c r="D48" s="1" t="n">
        <v>166013</v>
      </c>
      <c r="E48" s="1" t="n">
        <v>0.16347</v>
      </c>
      <c r="G48" s="1" t="n">
        <v>0.003101826</v>
      </c>
      <c r="H48" s="1" t="n">
        <v>0.00326848</v>
      </c>
      <c r="I48" s="1" t="n">
        <v>0.002930164</v>
      </c>
      <c r="J48" s="1" t="n">
        <v>0.001802921</v>
      </c>
      <c r="K48" s="1" t="n">
        <v>0.001594067</v>
      </c>
      <c r="L48" s="1" t="n">
        <v>0.00158906</v>
      </c>
      <c r="M48" s="1" t="n">
        <v>0.001516104</v>
      </c>
      <c r="N48" s="1" t="n">
        <v>0.001506329</v>
      </c>
      <c r="O48" s="1" t="n">
        <v>0.001525879</v>
      </c>
      <c r="P48" s="1" t="n">
        <v>0.001476288</v>
      </c>
      <c r="R48" s="1" t="n">
        <f aca="false">PERCENTILE(G48:P48,0.9)</f>
        <v>0.0031184914</v>
      </c>
      <c r="S48" s="5" t="n">
        <f aca="false">spmv_1!R$2/R48</f>
        <v>5.58707598167499</v>
      </c>
      <c r="T48" s="6" t="n">
        <f aca="false">S48/64</f>
        <v>0.0872980622136717</v>
      </c>
    </row>
    <row r="49" customFormat="false" ht="15" hidden="false" customHeight="false" outlineLevel="0" collapsed="false">
      <c r="A49" s="1" t="s">
        <v>15</v>
      </c>
      <c r="B49" s="1" t="n">
        <v>47</v>
      </c>
      <c r="D49" s="1" t="n">
        <v>166119</v>
      </c>
      <c r="E49" s="1" t="n">
        <v>0.165172</v>
      </c>
      <c r="G49" s="1" t="n">
        <v>0.003095388</v>
      </c>
      <c r="H49" s="1" t="n">
        <v>0.003169537</v>
      </c>
      <c r="I49" s="1" t="n">
        <v>0.002924442</v>
      </c>
      <c r="J49" s="1" t="n">
        <v>0.00177598</v>
      </c>
      <c r="K49" s="1" t="n">
        <v>0.001573801</v>
      </c>
      <c r="L49" s="1" t="n">
        <v>0.001584768</v>
      </c>
      <c r="M49" s="1" t="n">
        <v>0.001505852</v>
      </c>
      <c r="N49" s="1" t="n">
        <v>0.001496077</v>
      </c>
      <c r="O49" s="1" t="n">
        <v>0.00152564</v>
      </c>
      <c r="P49" s="1" t="n">
        <v>0.001463175</v>
      </c>
      <c r="R49" s="1" t="n">
        <f aca="false">PERCENTILE(G49:P49,0.9)</f>
        <v>0.0031028029</v>
      </c>
      <c r="S49" s="5" t="n">
        <f aca="false">spmv_1!R$2/R49</f>
        <v>5.61532554968284</v>
      </c>
      <c r="T49" s="6" t="n">
        <f aca="false">S49/64</f>
        <v>0.0877394617137943</v>
      </c>
    </row>
    <row r="50" customFormat="false" ht="15" hidden="false" customHeight="false" outlineLevel="0" collapsed="false">
      <c r="A50" s="1" t="s">
        <v>15</v>
      </c>
      <c r="B50" s="1" t="n">
        <v>48</v>
      </c>
      <c r="D50" s="1" t="n">
        <v>166256</v>
      </c>
      <c r="E50" s="1" t="n">
        <v>0.160366</v>
      </c>
      <c r="G50" s="1" t="n">
        <v>0.003118992</v>
      </c>
      <c r="H50" s="1" t="n">
        <v>0.003229141</v>
      </c>
      <c r="I50" s="1" t="n">
        <v>0.002962589</v>
      </c>
      <c r="J50" s="1" t="n">
        <v>0.001828194</v>
      </c>
      <c r="K50" s="1" t="n">
        <v>0.001637936</v>
      </c>
      <c r="L50" s="1" t="n">
        <v>0.001648188</v>
      </c>
      <c r="M50" s="1" t="n">
        <v>0.001590014</v>
      </c>
      <c r="N50" s="1" t="n">
        <v>0.001594543</v>
      </c>
      <c r="O50" s="1" t="n">
        <v>0.001565933</v>
      </c>
      <c r="P50" s="1" t="n">
        <v>0.001559019</v>
      </c>
      <c r="R50" s="1" t="n">
        <f aca="false">PERCENTILE(G50:P50,0.9)</f>
        <v>0.0031300069</v>
      </c>
      <c r="S50" s="5" t="n">
        <f aca="false">spmv_1!R$2/R50</f>
        <v>5.56652076389991</v>
      </c>
      <c r="T50" s="6" t="n">
        <f aca="false">S50/64</f>
        <v>0.0869768869359361</v>
      </c>
    </row>
    <row r="51" customFormat="false" ht="15" hidden="false" customHeight="false" outlineLevel="0" collapsed="false">
      <c r="A51" s="1" t="s">
        <v>15</v>
      </c>
      <c r="B51" s="1" t="n">
        <v>49</v>
      </c>
      <c r="D51" s="1" t="n">
        <v>166176</v>
      </c>
      <c r="E51" s="1" t="n">
        <v>0.159648</v>
      </c>
      <c r="G51" s="1" t="n">
        <v>0.003187418</v>
      </c>
      <c r="H51" s="1" t="n">
        <v>0.003183603</v>
      </c>
      <c r="I51" s="1" t="n">
        <v>0.002955914</v>
      </c>
      <c r="J51" s="1" t="n">
        <v>0.001841068</v>
      </c>
      <c r="K51" s="1" t="n">
        <v>0.001636744</v>
      </c>
      <c r="L51" s="1" t="n">
        <v>0.001657248</v>
      </c>
      <c r="M51" s="1" t="n">
        <v>0.001605988</v>
      </c>
      <c r="N51" s="1" t="n">
        <v>0.001596212</v>
      </c>
      <c r="O51" s="1" t="n">
        <v>0.001579762</v>
      </c>
      <c r="P51" s="1" t="n">
        <v>0.001573801</v>
      </c>
      <c r="R51" s="1" t="n">
        <f aca="false">PERCENTILE(G51:P51,0.9)</f>
        <v>0.0031839845</v>
      </c>
      <c r="S51" s="5" t="n">
        <f aca="false">spmv_1!R$2/R51</f>
        <v>5.47215239270166</v>
      </c>
      <c r="T51" s="6" t="n">
        <f aca="false">S51/64</f>
        <v>0.0855023811359634</v>
      </c>
    </row>
    <row r="52" customFormat="false" ht="15" hidden="false" customHeight="false" outlineLevel="0" collapsed="false">
      <c r="A52" s="1" t="s">
        <v>15</v>
      </c>
      <c r="B52" s="1" t="n">
        <v>50</v>
      </c>
      <c r="D52" s="1" t="n">
        <v>165563</v>
      </c>
      <c r="E52" s="1" t="n">
        <v>0.160449</v>
      </c>
      <c r="G52" s="1" t="n">
        <v>0.003186464</v>
      </c>
      <c r="H52" s="1" t="n">
        <v>0.003162622</v>
      </c>
      <c r="I52" s="1" t="n">
        <v>0.002920628</v>
      </c>
      <c r="J52" s="1" t="n">
        <v>0.001818895</v>
      </c>
      <c r="K52" s="1" t="n">
        <v>0.001612902</v>
      </c>
      <c r="L52" s="1" t="n">
        <v>0.001638412</v>
      </c>
      <c r="M52" s="1" t="n">
        <v>0.001591444</v>
      </c>
      <c r="N52" s="1" t="n">
        <v>0.001579285</v>
      </c>
      <c r="O52" s="1" t="n">
        <v>0.001566648</v>
      </c>
      <c r="P52" s="1" t="n">
        <v>0.001560211</v>
      </c>
      <c r="R52" s="1" t="n">
        <f aca="false">PERCENTILE(G52:P52,0.9)</f>
        <v>0.0031650062</v>
      </c>
      <c r="S52" s="5" t="n">
        <f aca="false">spmv_1!R$2/R52</f>
        <v>5.50496501397059</v>
      </c>
      <c r="T52" s="6" t="n">
        <f aca="false">S52/64</f>
        <v>0.0860150783432905</v>
      </c>
    </row>
    <row r="53" customFormat="false" ht="15" hidden="false" customHeight="false" outlineLevel="0" collapsed="false">
      <c r="A53" s="1" t="s">
        <v>15</v>
      </c>
      <c r="B53" s="1" t="n">
        <v>51</v>
      </c>
      <c r="D53" s="1" t="n">
        <v>165161</v>
      </c>
      <c r="E53" s="1" t="n">
        <v>0.165181</v>
      </c>
      <c r="G53" s="1" t="n">
        <v>0.003082752</v>
      </c>
      <c r="H53" s="1" t="n">
        <v>0.003100395</v>
      </c>
      <c r="I53" s="1" t="n">
        <v>0.0028615</v>
      </c>
      <c r="J53" s="1" t="n">
        <v>0.001763344</v>
      </c>
      <c r="K53" s="1" t="n">
        <v>0.001548529</v>
      </c>
      <c r="L53" s="1" t="n">
        <v>0.001577139</v>
      </c>
      <c r="M53" s="1" t="n">
        <v>0.001537085</v>
      </c>
      <c r="N53" s="1" t="n">
        <v>0.001502275</v>
      </c>
      <c r="O53" s="1" t="n">
        <v>0.001515388</v>
      </c>
      <c r="P53" s="1" t="n">
        <v>0.00150919</v>
      </c>
      <c r="R53" s="1" t="n">
        <f aca="false">PERCENTILE(G53:P53,0.9)</f>
        <v>0.0030845163</v>
      </c>
      <c r="S53" s="5" t="n">
        <f aca="false">spmv_1!R$2/R53</f>
        <v>5.64861608933628</v>
      </c>
      <c r="T53" s="6" t="n">
        <f aca="false">S53/64</f>
        <v>0.0882596263958793</v>
      </c>
    </row>
    <row r="54" customFormat="false" ht="15" hidden="false" customHeight="false" outlineLevel="0" collapsed="false">
      <c r="A54" s="1" t="s">
        <v>15</v>
      </c>
      <c r="B54" s="1" t="n">
        <v>52</v>
      </c>
      <c r="D54" s="1" t="n">
        <v>164827</v>
      </c>
      <c r="E54" s="1" t="n">
        <v>0.160628</v>
      </c>
      <c r="G54" s="1" t="n">
        <v>0.003321171</v>
      </c>
      <c r="H54" s="1" t="n">
        <v>0.003121614</v>
      </c>
      <c r="I54" s="1" t="n">
        <v>0.002839804</v>
      </c>
      <c r="J54" s="1" t="n">
        <v>0.001797199</v>
      </c>
      <c r="K54" s="1" t="n">
        <v>0.001588345</v>
      </c>
      <c r="L54" s="1" t="n">
        <v>0.001627922</v>
      </c>
      <c r="M54" s="1" t="n">
        <v>0.001574993</v>
      </c>
      <c r="N54" s="1" t="n">
        <v>0.0015378</v>
      </c>
      <c r="O54" s="1" t="n">
        <v>0.001558542</v>
      </c>
      <c r="P54" s="1" t="n">
        <v>0.001555443</v>
      </c>
      <c r="R54" s="1" t="n">
        <f aca="false">PERCENTILE(G54:P54,0.9)</f>
        <v>0.0031415697</v>
      </c>
      <c r="S54" s="5" t="n">
        <f aca="false">spmv_1!R$2/R54</f>
        <v>5.54603273643746</v>
      </c>
      <c r="T54" s="6" t="n">
        <f aca="false">S54/64</f>
        <v>0.0866567615068352</v>
      </c>
    </row>
    <row r="55" customFormat="false" ht="15" hidden="false" customHeight="false" outlineLevel="0" collapsed="false">
      <c r="A55" s="1" t="s">
        <v>15</v>
      </c>
      <c r="B55" s="1" t="n">
        <v>53</v>
      </c>
      <c r="D55" s="1" t="n">
        <v>165345</v>
      </c>
      <c r="E55" s="1" t="n">
        <v>0.161135</v>
      </c>
      <c r="G55" s="1" t="n">
        <v>0.003284931</v>
      </c>
      <c r="H55" s="1" t="n">
        <v>0.003100157</v>
      </c>
      <c r="I55" s="1" t="n">
        <v>0.002838612</v>
      </c>
      <c r="J55" s="1" t="n">
        <v>0.001925945</v>
      </c>
      <c r="K55" s="1" t="n">
        <v>0.001619101</v>
      </c>
      <c r="L55" s="1" t="n">
        <v>0.001610518</v>
      </c>
      <c r="M55" s="1" t="n">
        <v>0.001560926</v>
      </c>
      <c r="N55" s="1" t="n">
        <v>0.001512766</v>
      </c>
      <c r="O55" s="1" t="n">
        <v>0.001534462</v>
      </c>
      <c r="P55" s="1" t="n">
        <v>0.001535177</v>
      </c>
      <c r="R55" s="1" t="n">
        <f aca="false">PERCENTILE(G55:P55,0.9)</f>
        <v>0.0031186344</v>
      </c>
      <c r="S55" s="5" t="n">
        <f aca="false">spmv_1!R$2/R55</f>
        <v>5.58681979522832</v>
      </c>
      <c r="T55" s="6" t="n">
        <f aca="false">S55/64</f>
        <v>0.0872940593004425</v>
      </c>
    </row>
    <row r="56" customFormat="false" ht="15" hidden="false" customHeight="false" outlineLevel="0" collapsed="false">
      <c r="A56" s="1" t="s">
        <v>15</v>
      </c>
      <c r="B56" s="1" t="n">
        <v>54</v>
      </c>
      <c r="D56" s="1" t="n">
        <v>165565</v>
      </c>
      <c r="E56" s="1" t="n">
        <v>0.16444</v>
      </c>
      <c r="G56" s="1" t="n">
        <v>0.003252029</v>
      </c>
      <c r="H56" s="1" t="n">
        <v>0.002991676</v>
      </c>
      <c r="I56" s="1" t="n">
        <v>0.00274229</v>
      </c>
      <c r="J56" s="1" t="n">
        <v>0.001927614</v>
      </c>
      <c r="K56" s="1" t="n">
        <v>0.001676798</v>
      </c>
      <c r="L56" s="1" t="n">
        <v>0.001551151</v>
      </c>
      <c r="M56" s="1" t="n">
        <v>0.001518488</v>
      </c>
      <c r="N56" s="1" t="n">
        <v>0.001469135</v>
      </c>
      <c r="O56" s="1" t="n">
        <v>0.001515865</v>
      </c>
      <c r="P56" s="1" t="n">
        <v>0.001491785</v>
      </c>
      <c r="R56" s="1" t="n">
        <f aca="false">PERCENTILE(G56:P56,0.9)</f>
        <v>0.0030177113</v>
      </c>
      <c r="S56" s="5" t="n">
        <f aca="false">spmv_1!R$2/R56</f>
        <v>5.77366310687175</v>
      </c>
      <c r="T56" s="6" t="n">
        <f aca="false">S56/64</f>
        <v>0.0902134860448711</v>
      </c>
    </row>
    <row r="57" customFormat="false" ht="15" hidden="false" customHeight="false" outlineLevel="0" collapsed="false">
      <c r="A57" s="1" t="s">
        <v>15</v>
      </c>
      <c r="B57" s="1" t="n">
        <v>55</v>
      </c>
      <c r="D57" s="1" t="n">
        <v>166624</v>
      </c>
      <c r="E57" s="1" t="n">
        <v>0.162748</v>
      </c>
      <c r="G57" s="1" t="n">
        <v>0.003342152</v>
      </c>
      <c r="H57" s="1" t="n">
        <v>0.00298667</v>
      </c>
      <c r="I57" s="1" t="n">
        <v>0.002706289</v>
      </c>
      <c r="J57" s="1" t="n">
        <v>0.001988649</v>
      </c>
      <c r="K57" s="1" t="n">
        <v>0.001791477</v>
      </c>
      <c r="L57" s="1" t="n">
        <v>0.001588345</v>
      </c>
      <c r="M57" s="1" t="n">
        <v>0.001552105</v>
      </c>
      <c r="N57" s="1" t="n">
        <v>0.00150013</v>
      </c>
      <c r="O57" s="1" t="n">
        <v>0.001527786</v>
      </c>
      <c r="P57" s="1" t="n">
        <v>0.001492739</v>
      </c>
      <c r="R57" s="1" t="n">
        <f aca="false">PERCENTILE(G57:P57,0.9)</f>
        <v>0.0030222182</v>
      </c>
      <c r="S57" s="5" t="n">
        <f aca="false">spmv_1!R$2/R57</f>
        <v>5.76505309907802</v>
      </c>
      <c r="T57" s="6" t="n">
        <f aca="false">S57/64</f>
        <v>0.0900789546730941</v>
      </c>
    </row>
    <row r="58" customFormat="false" ht="15" hidden="false" customHeight="false" outlineLevel="0" collapsed="false">
      <c r="A58" s="1" t="s">
        <v>15</v>
      </c>
      <c r="B58" s="1" t="n">
        <v>56</v>
      </c>
      <c r="D58" s="1" t="n">
        <v>165995</v>
      </c>
      <c r="E58" s="1" t="n">
        <v>0.166459</v>
      </c>
      <c r="G58" s="1" t="n">
        <v>0.003237247</v>
      </c>
      <c r="H58" s="1" t="n">
        <v>0.002893209</v>
      </c>
      <c r="I58" s="1" t="n">
        <v>0.002649546</v>
      </c>
      <c r="J58" s="1" t="n">
        <v>0.001935959</v>
      </c>
      <c r="K58" s="1" t="n">
        <v>0.001749516</v>
      </c>
      <c r="L58" s="1" t="n">
        <v>0.001541138</v>
      </c>
      <c r="M58" s="1" t="n">
        <v>0.001517773</v>
      </c>
      <c r="N58" s="1" t="n">
        <v>0.001448154</v>
      </c>
      <c r="O58" s="1" t="n">
        <v>0.001500607</v>
      </c>
      <c r="P58" s="1" t="n">
        <v>0.001471043</v>
      </c>
      <c r="R58" s="1" t="n">
        <f aca="false">PERCENTILE(G58:P58,0.9)</f>
        <v>0.0029276128</v>
      </c>
      <c r="S58" s="5" t="n">
        <f aca="false">spmv_1!R$2/R58</f>
        <v>5.95134998726608</v>
      </c>
      <c r="T58" s="6" t="n">
        <f aca="false">S58/64</f>
        <v>0.0929898435510324</v>
      </c>
    </row>
    <row r="59" customFormat="false" ht="15" hidden="false" customHeight="false" outlineLevel="0" collapsed="false">
      <c r="A59" s="1" t="s">
        <v>15</v>
      </c>
      <c r="B59" s="1" t="n">
        <v>57</v>
      </c>
      <c r="D59" s="1" t="n">
        <v>166304</v>
      </c>
      <c r="E59" s="1" t="n">
        <v>0.168477</v>
      </c>
      <c r="G59" s="1" t="n">
        <v>0.003180742</v>
      </c>
      <c r="H59" s="1" t="n">
        <v>0.002843857</v>
      </c>
      <c r="I59" s="1" t="n">
        <v>0.002622366</v>
      </c>
      <c r="J59" s="1" t="n">
        <v>0.001938105</v>
      </c>
      <c r="K59" s="1" t="n">
        <v>0.001751423</v>
      </c>
      <c r="L59" s="1" t="n">
        <v>0.001519918</v>
      </c>
      <c r="M59" s="1" t="n">
        <v>0.001514912</v>
      </c>
      <c r="N59" s="1" t="n">
        <v>0.001433611</v>
      </c>
      <c r="O59" s="1" t="n">
        <v>0.001483917</v>
      </c>
      <c r="P59" s="1" t="n">
        <v>0.001453161</v>
      </c>
      <c r="R59" s="1" t="n">
        <f aca="false">PERCENTILE(G59:P59,0.9)</f>
        <v>0.0028775455</v>
      </c>
      <c r="S59" s="5" t="n">
        <f aca="false">spmv_1!R$2/R59</f>
        <v>6.05489935780338</v>
      </c>
      <c r="T59" s="6" t="n">
        <f aca="false">S59/64</f>
        <v>0.0946078024656778</v>
      </c>
    </row>
    <row r="60" customFormat="false" ht="15" hidden="false" customHeight="false" outlineLevel="0" collapsed="false">
      <c r="A60" s="1" t="s">
        <v>15</v>
      </c>
      <c r="B60" s="1" t="n">
        <v>58</v>
      </c>
      <c r="D60" s="1" t="n">
        <v>165253</v>
      </c>
      <c r="E60" s="1" t="n">
        <v>0.169708</v>
      </c>
      <c r="G60" s="1" t="n">
        <v>0.003167868</v>
      </c>
      <c r="H60" s="1" t="n">
        <v>0.002795935</v>
      </c>
      <c r="I60" s="1" t="n">
        <v>0.002571106</v>
      </c>
      <c r="J60" s="1" t="n">
        <v>0.001894236</v>
      </c>
      <c r="K60" s="1" t="n">
        <v>0.001725674</v>
      </c>
      <c r="L60" s="1" t="n">
        <v>0.00149107</v>
      </c>
      <c r="M60" s="1" t="n">
        <v>0.001505613</v>
      </c>
      <c r="N60" s="1" t="n">
        <v>0.001420975</v>
      </c>
      <c r="O60" s="1" t="n">
        <v>0.001460314</v>
      </c>
      <c r="P60" s="1" t="n">
        <v>0.001442194</v>
      </c>
      <c r="R60" s="1" t="n">
        <f aca="false">PERCENTILE(G60:P60,0.9)</f>
        <v>0.0028331283</v>
      </c>
      <c r="S60" s="5" t="n">
        <f aca="false">spmv_1!R$2/R60</f>
        <v>6.14982681864425</v>
      </c>
      <c r="T60" s="6" t="n">
        <f aca="false">S60/64</f>
        <v>0.0960910440413165</v>
      </c>
    </row>
    <row r="61" customFormat="false" ht="15" hidden="false" customHeight="false" outlineLevel="0" collapsed="false">
      <c r="A61" s="1" t="s">
        <v>15</v>
      </c>
      <c r="B61" s="1" t="n">
        <v>59</v>
      </c>
      <c r="D61" s="1" t="n">
        <v>165760</v>
      </c>
      <c r="E61" s="1" t="n">
        <v>0.166471</v>
      </c>
      <c r="G61" s="1" t="n">
        <v>0.003245354</v>
      </c>
      <c r="H61" s="1" t="n">
        <v>0.002820969</v>
      </c>
      <c r="I61" s="1" t="n">
        <v>0.002577066</v>
      </c>
      <c r="J61" s="1" t="n">
        <v>0.001922131</v>
      </c>
      <c r="K61" s="1" t="n">
        <v>0.00178051</v>
      </c>
      <c r="L61" s="1" t="n">
        <v>0.001547813</v>
      </c>
      <c r="M61" s="1" t="n">
        <v>0.001537561</v>
      </c>
      <c r="N61" s="1" t="n">
        <v>0.001477242</v>
      </c>
      <c r="O61" s="1" t="n">
        <v>0.001511097</v>
      </c>
      <c r="P61" s="1" t="n">
        <v>0.001494884</v>
      </c>
      <c r="R61" s="1" t="n">
        <f aca="false">PERCENTILE(G61:P61,0.9)</f>
        <v>0.0028634075</v>
      </c>
      <c r="S61" s="5" t="n">
        <f aca="false">spmv_1!R$2/R61</f>
        <v>6.08479526578037</v>
      </c>
      <c r="T61" s="6" t="n">
        <f aca="false">S61/64</f>
        <v>0.0950749260278183</v>
      </c>
    </row>
    <row r="62" customFormat="false" ht="15" hidden="false" customHeight="false" outlineLevel="0" collapsed="false">
      <c r="A62" s="1" t="s">
        <v>15</v>
      </c>
      <c r="B62" s="1" t="n">
        <v>60</v>
      </c>
      <c r="D62" s="1" t="n">
        <v>165050</v>
      </c>
      <c r="E62" s="1" t="n">
        <v>0.169125</v>
      </c>
      <c r="G62" s="1" t="n">
        <v>0.003296137</v>
      </c>
      <c r="H62" s="1" t="n">
        <v>0.002729893</v>
      </c>
      <c r="I62" s="1" t="n">
        <v>0.002491951</v>
      </c>
      <c r="J62" s="1" t="n">
        <v>0.001928806</v>
      </c>
      <c r="K62" s="1" t="n">
        <v>0.001763582</v>
      </c>
      <c r="L62" s="1" t="n">
        <v>0.001494646</v>
      </c>
      <c r="M62" s="1" t="n">
        <v>0.001498461</v>
      </c>
      <c r="N62" s="1" t="n">
        <v>0.001410961</v>
      </c>
      <c r="O62" s="1" t="n">
        <v>0.001472235</v>
      </c>
      <c r="P62" s="1" t="n">
        <v>0.001431465</v>
      </c>
      <c r="R62" s="1" t="n">
        <f aca="false">PERCENTILE(G62:P62,0.9)</f>
        <v>0.0027865174</v>
      </c>
      <c r="S62" s="5" t="n">
        <f aca="false">spmv_1!R$2/R62</f>
        <v>6.25269678918926</v>
      </c>
      <c r="T62" s="6" t="n">
        <f aca="false">S62/64</f>
        <v>0.0976983873310822</v>
      </c>
    </row>
    <row r="63" customFormat="false" ht="15" hidden="false" customHeight="false" outlineLevel="0" collapsed="false">
      <c r="A63" s="1" t="s">
        <v>15</v>
      </c>
      <c r="B63" s="1" t="n">
        <v>61</v>
      </c>
      <c r="D63" s="1" t="n">
        <v>165392</v>
      </c>
      <c r="E63" s="1" t="n">
        <v>0.167945</v>
      </c>
      <c r="G63" s="1" t="n">
        <v>0.003280401</v>
      </c>
      <c r="H63" s="1" t="n">
        <v>0.00274682</v>
      </c>
      <c r="I63" s="1" t="n">
        <v>0.002492428</v>
      </c>
      <c r="J63" s="1" t="n">
        <v>0.001955032</v>
      </c>
      <c r="K63" s="1" t="n">
        <v>0.001782656</v>
      </c>
      <c r="L63" s="1" t="n">
        <v>0.001531363</v>
      </c>
      <c r="M63" s="1" t="n">
        <v>0.001523256</v>
      </c>
      <c r="N63" s="1" t="n">
        <v>0.001428843</v>
      </c>
      <c r="O63" s="1" t="n">
        <v>0.001492262</v>
      </c>
      <c r="P63" s="1" t="n">
        <v>0.001462936</v>
      </c>
      <c r="R63" s="1" t="n">
        <f aca="false">PERCENTILE(G63:P63,0.9)</f>
        <v>0.0028001781</v>
      </c>
      <c r="S63" s="5" t="n">
        <f aca="false">spmv_1!R$2/R63</f>
        <v>6.2221929383706</v>
      </c>
      <c r="T63" s="6" t="n">
        <f aca="false">S63/64</f>
        <v>0.0972217646620406</v>
      </c>
    </row>
    <row r="64" customFormat="false" ht="15" hidden="false" customHeight="false" outlineLevel="0" collapsed="false">
      <c r="A64" s="1" t="s">
        <v>15</v>
      </c>
      <c r="B64" s="1" t="n">
        <v>62</v>
      </c>
      <c r="D64" s="1" t="n">
        <v>165770</v>
      </c>
      <c r="E64" s="1" t="n">
        <v>0.173128</v>
      </c>
      <c r="G64" s="1" t="n">
        <v>0.00323987</v>
      </c>
      <c r="H64" s="1" t="n">
        <v>0.002599478</v>
      </c>
      <c r="I64" s="1" t="n">
        <v>0.002432585</v>
      </c>
      <c r="J64" s="1" t="n">
        <v>0.001923084</v>
      </c>
      <c r="K64" s="1" t="n">
        <v>0.001735926</v>
      </c>
      <c r="L64" s="1" t="n">
        <v>0.001475096</v>
      </c>
      <c r="M64" s="1" t="n">
        <v>0.001493931</v>
      </c>
      <c r="N64" s="1" t="n">
        <v>0.001390696</v>
      </c>
      <c r="O64" s="1" t="n">
        <v>0.001448393</v>
      </c>
      <c r="P64" s="1" t="n">
        <v>0.001410961</v>
      </c>
      <c r="R64" s="1" t="n">
        <f aca="false">PERCENTILE(G64:P64,0.9)</f>
        <v>0.0026635172</v>
      </c>
      <c r="S64" s="5" t="n">
        <f aca="false">spmv_1!R$2/R64</f>
        <v>6.54144392234448</v>
      </c>
      <c r="T64" s="6" t="n">
        <f aca="false">S64/64</f>
        <v>0.102210061286633</v>
      </c>
    </row>
    <row r="65" customFormat="false" ht="15" hidden="false" customHeight="false" outlineLevel="0" collapsed="false">
      <c r="A65" s="1" t="s">
        <v>15</v>
      </c>
      <c r="B65" s="1" t="n">
        <v>63</v>
      </c>
      <c r="D65" s="1" t="n">
        <v>167249</v>
      </c>
      <c r="E65" s="1" t="n">
        <v>0.175106</v>
      </c>
      <c r="G65" s="1" t="n">
        <v>0.003283262</v>
      </c>
      <c r="H65" s="1" t="n">
        <v>0.002538204</v>
      </c>
      <c r="I65" s="1" t="n">
        <v>0.002405882</v>
      </c>
      <c r="J65" s="1" t="n">
        <v>0.001923323</v>
      </c>
      <c r="K65" s="1" t="n">
        <v>0.001741409</v>
      </c>
      <c r="L65" s="1" t="n">
        <v>0.001484156</v>
      </c>
      <c r="M65" s="1" t="n">
        <v>0.001466751</v>
      </c>
      <c r="N65" s="1" t="n">
        <v>0.001392126</v>
      </c>
      <c r="O65" s="1" t="n">
        <v>0.001446962</v>
      </c>
      <c r="P65" s="1" t="n">
        <v>0.001420498</v>
      </c>
      <c r="R65" s="1" t="n">
        <f aca="false">PERCENTILE(G65:P65,0.9)</f>
        <v>0.0026127098</v>
      </c>
      <c r="S65" s="5" t="n">
        <f aca="false">spmv_1!R$2/R65</f>
        <v>6.66865045631934</v>
      </c>
      <c r="T65" s="6" t="n">
        <f aca="false">S65/64</f>
        <v>0.10419766337999</v>
      </c>
    </row>
    <row r="68" customFormat="false" ht="15" hidden="false" customHeight="false" outlineLevel="0" collapsed="false">
      <c r="A68" s="2" t="s">
        <v>0</v>
      </c>
      <c r="B68" s="2" t="s">
        <v>1</v>
      </c>
      <c r="C68" s="3"/>
      <c r="D68" s="2" t="s">
        <v>2</v>
      </c>
      <c r="E68" s="2" t="s">
        <v>3</v>
      </c>
      <c r="F68" s="3"/>
      <c r="G68" s="2" t="s">
        <v>4</v>
      </c>
      <c r="H68" s="2" t="s">
        <v>5</v>
      </c>
      <c r="I68" s="2" t="s">
        <v>6</v>
      </c>
      <c r="J68" s="2" t="s">
        <v>7</v>
      </c>
      <c r="K68" s="2" t="s">
        <v>8</v>
      </c>
      <c r="L68" s="2" t="s">
        <v>9</v>
      </c>
      <c r="M68" s="2" t="s">
        <v>10</v>
      </c>
      <c r="N68" s="2" t="s">
        <v>11</v>
      </c>
      <c r="O68" s="2" t="s">
        <v>12</v>
      </c>
      <c r="P68" s="2" t="s">
        <v>13</v>
      </c>
      <c r="R68" s="4" t="s">
        <v>14</v>
      </c>
      <c r="S68" s="7" t="s">
        <v>20</v>
      </c>
      <c r="T68" s="8" t="s">
        <v>21</v>
      </c>
    </row>
    <row r="69" customFormat="false" ht="15" hidden="false" customHeight="false" outlineLevel="0" collapsed="false">
      <c r="A69" s="1" t="s">
        <v>16</v>
      </c>
      <c r="B69" s="1" t="n">
        <v>0</v>
      </c>
      <c r="D69" s="1" t="n">
        <v>1732658</v>
      </c>
      <c r="E69" s="1" t="n">
        <v>0.104547</v>
      </c>
      <c r="G69" s="1" t="n">
        <v>0.035164118</v>
      </c>
      <c r="H69" s="1" t="n">
        <v>0.032729387</v>
      </c>
      <c r="I69" s="1" t="n">
        <v>0.032709122</v>
      </c>
      <c r="J69" s="1" t="n">
        <v>0.032319784</v>
      </c>
      <c r="K69" s="1" t="n">
        <v>0.033918142</v>
      </c>
      <c r="L69" s="1" t="n">
        <v>0.034213781</v>
      </c>
      <c r="M69" s="1" t="n">
        <v>0.033688784</v>
      </c>
      <c r="N69" s="1" t="n">
        <v>0.032019377</v>
      </c>
      <c r="O69" s="1" t="n">
        <v>0.032191515</v>
      </c>
      <c r="P69" s="1" t="n">
        <v>0.03250742</v>
      </c>
      <c r="R69" s="1" t="n">
        <f aca="false">PERCENTILE(G69:P69,0.9)</f>
        <v>0.0343088147</v>
      </c>
      <c r="S69" s="5" t="n">
        <f aca="false">spmv_1!R$6/R69</f>
        <v>4.90353899052071</v>
      </c>
      <c r="T69" s="6" t="n">
        <f aca="false">S69/64</f>
        <v>0.0766177967268861</v>
      </c>
    </row>
    <row r="70" customFormat="false" ht="15" hidden="false" customHeight="false" outlineLevel="0" collapsed="false">
      <c r="A70" s="1" t="s">
        <v>16</v>
      </c>
      <c r="B70" s="1" t="n">
        <v>1</v>
      </c>
      <c r="D70" s="1" t="n">
        <v>1732676</v>
      </c>
      <c r="E70" s="1" t="n">
        <v>0.104721</v>
      </c>
      <c r="G70" s="1" t="n">
        <v>0.03516078</v>
      </c>
      <c r="H70" s="1" t="n">
        <v>0.032651424</v>
      </c>
      <c r="I70" s="1" t="n">
        <v>0.032624722</v>
      </c>
      <c r="J70" s="1" t="n">
        <v>0.032258987</v>
      </c>
      <c r="K70" s="1" t="n">
        <v>0.033842087</v>
      </c>
      <c r="L70" s="1" t="n">
        <v>0.034311056</v>
      </c>
      <c r="M70" s="1" t="n">
        <v>0.033577681</v>
      </c>
      <c r="N70" s="1" t="n">
        <v>0.031937361</v>
      </c>
      <c r="O70" s="1" t="n">
        <v>0.032114744</v>
      </c>
      <c r="P70" s="1" t="n">
        <v>0.032432556</v>
      </c>
      <c r="R70" s="1" t="n">
        <f aca="false">PERCENTILE(G70:P70,0.9)</f>
        <v>0.0343960284</v>
      </c>
      <c r="S70" s="5" t="n">
        <f aca="false">spmv_1!R$6/R70</f>
        <v>4.89110570102913</v>
      </c>
      <c r="T70" s="6" t="n">
        <f aca="false">S70/64</f>
        <v>0.0764235265785802</v>
      </c>
    </row>
    <row r="71" customFormat="false" ht="15" hidden="false" customHeight="false" outlineLevel="0" collapsed="false">
      <c r="A71" s="1" t="s">
        <v>16</v>
      </c>
      <c r="B71" s="1" t="n">
        <v>2</v>
      </c>
      <c r="D71" s="1" t="n">
        <v>1732256</v>
      </c>
      <c r="E71" s="1" t="n">
        <v>0.125532</v>
      </c>
      <c r="G71" s="1" t="n">
        <v>0.027349472</v>
      </c>
      <c r="H71" s="1" t="n">
        <v>0.026906967</v>
      </c>
      <c r="I71" s="1" t="n">
        <v>0.026638031</v>
      </c>
      <c r="J71" s="1" t="n">
        <v>0.026651859</v>
      </c>
      <c r="K71" s="1" t="n">
        <v>0.028917074</v>
      </c>
      <c r="L71" s="1" t="n">
        <v>0.031364202</v>
      </c>
      <c r="M71" s="1" t="n">
        <v>0.028836727</v>
      </c>
      <c r="N71" s="1" t="n">
        <v>0.026267529</v>
      </c>
      <c r="O71" s="1" t="n">
        <v>0.026750088</v>
      </c>
      <c r="P71" s="1" t="n">
        <v>0.026304007</v>
      </c>
      <c r="R71" s="1" t="n">
        <f aca="false">PERCENTILE(G71:P71,0.9)</f>
        <v>0.0291617868</v>
      </c>
      <c r="S71" s="5" t="n">
        <f aca="false">spmv_1!R$6/R71</f>
        <v>5.76900900324805</v>
      </c>
      <c r="T71" s="6" t="n">
        <f aca="false">S71/64</f>
        <v>0.0901407656757507</v>
      </c>
    </row>
    <row r="72" customFormat="false" ht="15" hidden="false" customHeight="false" outlineLevel="0" collapsed="false">
      <c r="A72" s="1" t="s">
        <v>16</v>
      </c>
      <c r="B72" s="1" t="n">
        <v>3</v>
      </c>
      <c r="D72" s="1" t="n">
        <v>1732270</v>
      </c>
      <c r="E72" s="1" t="n">
        <v>0.109768</v>
      </c>
      <c r="G72" s="1" t="n">
        <v>0.032275677</v>
      </c>
      <c r="H72" s="1" t="n">
        <v>0.031087399</v>
      </c>
      <c r="I72" s="1" t="n">
        <v>0.030924797</v>
      </c>
      <c r="J72" s="1" t="n">
        <v>0.030733347</v>
      </c>
      <c r="K72" s="1" t="n">
        <v>0.03265667</v>
      </c>
      <c r="L72" s="1" t="n">
        <v>0.032943487</v>
      </c>
      <c r="M72" s="1" t="n">
        <v>0.032670975</v>
      </c>
      <c r="N72" s="1" t="n">
        <v>0.030674934</v>
      </c>
      <c r="O72" s="1" t="n">
        <v>0.030823708</v>
      </c>
      <c r="P72" s="1" t="n">
        <v>0.03083396</v>
      </c>
      <c r="R72" s="1" t="n">
        <f aca="false">PERCENTILE(G72:P72,0.9)</f>
        <v>0.0326982262</v>
      </c>
      <c r="S72" s="5" t="n">
        <f aca="false">spmv_1!R$6/R72</f>
        <v>5.14506840741104</v>
      </c>
      <c r="T72" s="6" t="n">
        <f aca="false">S72/64</f>
        <v>0.0803916938657975</v>
      </c>
    </row>
    <row r="73" customFormat="false" ht="15" hidden="false" customHeight="false" outlineLevel="0" collapsed="false">
      <c r="A73" s="1" t="s">
        <v>16</v>
      </c>
      <c r="B73" s="1" t="n">
        <v>4</v>
      </c>
      <c r="D73" s="1" t="n">
        <v>1731826</v>
      </c>
      <c r="E73" s="1" t="n">
        <v>0.125385</v>
      </c>
      <c r="G73" s="1" t="n">
        <v>0.027824402</v>
      </c>
      <c r="H73" s="1" t="n">
        <v>0.026975155</v>
      </c>
      <c r="I73" s="1" t="n">
        <v>0.026992083</v>
      </c>
      <c r="J73" s="1" t="n">
        <v>0.026980639</v>
      </c>
      <c r="K73" s="1" t="n">
        <v>0.028413296</v>
      </c>
      <c r="L73" s="1" t="n">
        <v>0.030573845</v>
      </c>
      <c r="M73" s="1" t="n">
        <v>0.028475523</v>
      </c>
      <c r="N73" s="1" t="n">
        <v>0.026585579</v>
      </c>
      <c r="O73" s="1" t="n">
        <v>0.026628971</v>
      </c>
      <c r="P73" s="1" t="n">
        <v>0.026792526</v>
      </c>
      <c r="R73" s="1" t="n">
        <f aca="false">PERCENTILE(G73:P73,0.9)</f>
        <v>0.0286853552</v>
      </c>
      <c r="S73" s="5" t="n">
        <f aca="false">spmv_1!R$6/R73</f>
        <v>5.86482577702228</v>
      </c>
      <c r="T73" s="6" t="n">
        <f aca="false">S73/64</f>
        <v>0.0916379027659731</v>
      </c>
    </row>
    <row r="74" customFormat="false" ht="15" hidden="false" customHeight="false" outlineLevel="0" collapsed="false">
      <c r="A74" s="1" t="s">
        <v>16</v>
      </c>
      <c r="B74" s="1" t="n">
        <v>5</v>
      </c>
      <c r="D74" s="1" t="n">
        <v>1731808</v>
      </c>
      <c r="E74" s="1" t="n">
        <v>0.110551</v>
      </c>
      <c r="G74" s="1" t="n">
        <v>0.031927109</v>
      </c>
      <c r="H74" s="1" t="n">
        <v>0.030889034</v>
      </c>
      <c r="I74" s="1" t="n">
        <v>0.030690432</v>
      </c>
      <c r="J74" s="1" t="n">
        <v>0.030603647</v>
      </c>
      <c r="K74" s="1" t="n">
        <v>0.032436848</v>
      </c>
      <c r="L74" s="1" t="n">
        <v>0.032631397</v>
      </c>
      <c r="M74" s="1" t="n">
        <v>0.032486916</v>
      </c>
      <c r="N74" s="1" t="n">
        <v>0.030500174</v>
      </c>
      <c r="O74" s="1" t="n">
        <v>0.030604601</v>
      </c>
      <c r="P74" s="1" t="n">
        <v>0.03053546</v>
      </c>
      <c r="R74" s="1" t="n">
        <f aca="false">PERCENTILE(G74:P74,0.9)</f>
        <v>0.0325013641</v>
      </c>
      <c r="S74" s="5" t="n">
        <f aca="false">spmv_1!R$6/R74</f>
        <v>5.17623229850836</v>
      </c>
      <c r="T74" s="6" t="n">
        <f aca="false">S74/64</f>
        <v>0.0808786296641931</v>
      </c>
    </row>
    <row r="75" customFormat="false" ht="15" hidden="false" customHeight="false" outlineLevel="0" collapsed="false">
      <c r="A75" s="1" t="s">
        <v>16</v>
      </c>
      <c r="B75" s="1" t="n">
        <v>6</v>
      </c>
      <c r="D75" s="1" t="n">
        <v>1732108</v>
      </c>
      <c r="E75" s="1" t="n">
        <v>0.105065</v>
      </c>
      <c r="G75" s="1" t="n">
        <v>0.03510499</v>
      </c>
      <c r="H75" s="1" t="n">
        <v>0.033178806</v>
      </c>
      <c r="I75" s="1" t="n">
        <v>0.032693148</v>
      </c>
      <c r="J75" s="1" t="n">
        <v>0.032089949</v>
      </c>
      <c r="K75" s="1" t="n">
        <v>0.033625841</v>
      </c>
      <c r="L75" s="1" t="n">
        <v>0.033524275</v>
      </c>
      <c r="M75" s="1" t="n">
        <v>0.033515453</v>
      </c>
      <c r="N75" s="1" t="n">
        <v>0.031827927</v>
      </c>
      <c r="O75" s="1" t="n">
        <v>0.031946421</v>
      </c>
      <c r="P75" s="1" t="n">
        <v>0.032213926</v>
      </c>
      <c r="R75" s="1" t="n">
        <f aca="false">PERCENTILE(G75:P75,0.9)</f>
        <v>0.0337737559</v>
      </c>
      <c r="S75" s="5" t="n">
        <f aca="false">spmv_1!R$6/R75</f>
        <v>4.98122302707825</v>
      </c>
      <c r="T75" s="6" t="n">
        <f aca="false">S75/64</f>
        <v>0.0778316097980977</v>
      </c>
    </row>
    <row r="76" customFormat="false" ht="15" hidden="false" customHeight="false" outlineLevel="0" collapsed="false">
      <c r="A76" s="1" t="s">
        <v>16</v>
      </c>
      <c r="B76" s="1" t="n">
        <v>7</v>
      </c>
      <c r="D76" s="1" t="n">
        <v>1732120</v>
      </c>
      <c r="E76" s="1" t="n">
        <v>0.1056</v>
      </c>
      <c r="G76" s="1" t="n">
        <v>0.035001993</v>
      </c>
      <c r="H76" s="1" t="n">
        <v>0.032479048</v>
      </c>
      <c r="I76" s="1" t="n">
        <v>0.03234005</v>
      </c>
      <c r="J76" s="1" t="n">
        <v>0.032036543</v>
      </c>
      <c r="K76" s="1" t="n">
        <v>0.033611298</v>
      </c>
      <c r="L76" s="1" t="n">
        <v>0.03345871</v>
      </c>
      <c r="M76" s="1" t="n">
        <v>0.033353567</v>
      </c>
      <c r="N76" s="1" t="n">
        <v>0.031744242</v>
      </c>
      <c r="O76" s="1" t="n">
        <v>0.031929493</v>
      </c>
      <c r="P76" s="1" t="n">
        <v>0.032098055</v>
      </c>
      <c r="R76" s="1" t="n">
        <f aca="false">PERCENTILE(G76:P76,0.9)</f>
        <v>0.0337503675</v>
      </c>
      <c r="S76" s="5" t="n">
        <f aca="false">spmv_1!R$6/R76</f>
        <v>4.98467492539155</v>
      </c>
      <c r="T76" s="6" t="n">
        <f aca="false">S76/64</f>
        <v>0.077885545709243</v>
      </c>
    </row>
    <row r="77" customFormat="false" ht="15" hidden="false" customHeight="false" outlineLevel="0" collapsed="false">
      <c r="A77" s="1" t="s">
        <v>16</v>
      </c>
      <c r="B77" s="1" t="n">
        <v>8</v>
      </c>
      <c r="D77" s="1" t="n">
        <v>1732828</v>
      </c>
      <c r="E77" s="1" t="n">
        <v>0.111597</v>
      </c>
      <c r="G77" s="1" t="n">
        <v>0.031439781</v>
      </c>
      <c r="H77" s="1" t="n">
        <v>0.030699253</v>
      </c>
      <c r="I77" s="1" t="n">
        <v>0.030549765</v>
      </c>
      <c r="J77" s="1" t="n">
        <v>0.03047657</v>
      </c>
      <c r="K77" s="1" t="n">
        <v>0.032215834</v>
      </c>
      <c r="L77" s="1" t="n">
        <v>0.03215313</v>
      </c>
      <c r="M77" s="1" t="n">
        <v>0.032218456</v>
      </c>
      <c r="N77" s="1" t="n">
        <v>0.030268908</v>
      </c>
      <c r="O77" s="1" t="n">
        <v>0.030465126</v>
      </c>
      <c r="P77" s="1" t="n">
        <v>0.030063391</v>
      </c>
      <c r="R77" s="1" t="n">
        <f aca="false">PERCENTILE(G77:P77,0.9)</f>
        <v>0.0322160962</v>
      </c>
      <c r="S77" s="5" t="n">
        <f aca="false">spmv_1!R$6/R77</f>
        <v>5.22206693062954</v>
      </c>
      <c r="T77" s="6" t="n">
        <f aca="false">S77/64</f>
        <v>0.0815947957910866</v>
      </c>
    </row>
    <row r="78" customFormat="false" ht="15" hidden="false" customHeight="false" outlineLevel="0" collapsed="false">
      <c r="A78" s="1" t="s">
        <v>16</v>
      </c>
      <c r="B78" s="1" t="n">
        <v>9</v>
      </c>
      <c r="D78" s="1" t="n">
        <v>1732838</v>
      </c>
      <c r="E78" s="1" t="n">
        <v>0.130578</v>
      </c>
      <c r="G78" s="1" t="n">
        <v>0.02714467</v>
      </c>
      <c r="H78" s="1" t="n">
        <v>0.026186943</v>
      </c>
      <c r="I78" s="1" t="n">
        <v>0.026220798</v>
      </c>
      <c r="J78" s="1" t="n">
        <v>0.026056051</v>
      </c>
      <c r="K78" s="1" t="n">
        <v>0.027169466</v>
      </c>
      <c r="L78" s="1" t="n">
        <v>0.028645039</v>
      </c>
      <c r="M78" s="1" t="n">
        <v>0.027576208</v>
      </c>
      <c r="N78" s="1" t="n">
        <v>0.025467157</v>
      </c>
      <c r="O78" s="1" t="n">
        <v>0.025814533</v>
      </c>
      <c r="P78" s="1" t="n">
        <v>0.025128603</v>
      </c>
      <c r="R78" s="1" t="n">
        <f aca="false">PERCENTILE(G78:P78,0.9)</f>
        <v>0.0276830911</v>
      </c>
      <c r="S78" s="5" t="n">
        <f aca="false">spmv_1!R$6/R78</f>
        <v>6.07716132538393</v>
      </c>
      <c r="T78" s="6" t="n">
        <f aca="false">S78/64</f>
        <v>0.0949556457091239</v>
      </c>
    </row>
    <row r="79" customFormat="false" ht="15" hidden="false" customHeight="false" outlineLevel="0" collapsed="false">
      <c r="A79" s="1" t="s">
        <v>16</v>
      </c>
      <c r="B79" s="1" t="n">
        <v>10</v>
      </c>
      <c r="D79" s="1" t="n">
        <v>1732720</v>
      </c>
      <c r="E79" s="1" t="n">
        <v>0.112636</v>
      </c>
      <c r="G79" s="1" t="n">
        <v>0.031460524</v>
      </c>
      <c r="H79" s="1" t="n">
        <v>0.03036809</v>
      </c>
      <c r="I79" s="1" t="n">
        <v>0.030178547</v>
      </c>
      <c r="J79" s="1" t="n">
        <v>0.030067921</v>
      </c>
      <c r="K79" s="1" t="n">
        <v>0.032004356</v>
      </c>
      <c r="L79" s="1" t="n">
        <v>0.031866074</v>
      </c>
      <c r="M79" s="1" t="n">
        <v>0.032119036</v>
      </c>
      <c r="N79" s="1" t="n">
        <v>0.02997303</v>
      </c>
      <c r="O79" s="1" t="n">
        <v>0.030118465</v>
      </c>
      <c r="P79" s="1" t="n">
        <v>0.029509783</v>
      </c>
      <c r="R79" s="1" t="n">
        <f aca="false">PERCENTILE(G79:P79,0.9)</f>
        <v>0.032015824</v>
      </c>
      <c r="S79" s="5" t="n">
        <f aca="false">spmv_1!R$6/R79</f>
        <v>5.25473311572427</v>
      </c>
      <c r="T79" s="6" t="n">
        <f aca="false">S79/64</f>
        <v>0.0821052049331918</v>
      </c>
    </row>
    <row r="80" customFormat="false" ht="15" hidden="false" customHeight="false" outlineLevel="0" collapsed="false">
      <c r="A80" s="1" t="s">
        <v>16</v>
      </c>
      <c r="B80" s="1" t="n">
        <v>11</v>
      </c>
      <c r="D80" s="1" t="n">
        <v>1732692</v>
      </c>
      <c r="E80" s="1" t="n">
        <v>0.107089</v>
      </c>
      <c r="G80" s="1" t="n">
        <v>0.034903526</v>
      </c>
      <c r="H80" s="1" t="n">
        <v>0.032054663</v>
      </c>
      <c r="I80" s="1" t="n">
        <v>0.031889915</v>
      </c>
      <c r="J80" s="1" t="n">
        <v>0.031535149</v>
      </c>
      <c r="K80" s="1" t="n">
        <v>0.033059597</v>
      </c>
      <c r="L80" s="1" t="n">
        <v>0.0327456</v>
      </c>
      <c r="M80" s="1" t="n">
        <v>0.032873154</v>
      </c>
      <c r="N80" s="1" t="n">
        <v>0.031309605</v>
      </c>
      <c r="O80" s="1" t="n">
        <v>0.031507015</v>
      </c>
      <c r="P80" s="1" t="n">
        <v>0.031719923</v>
      </c>
      <c r="R80" s="1" t="n">
        <f aca="false">PERCENTILE(G80:P80,0.9)</f>
        <v>0.0332439899</v>
      </c>
      <c r="S80" s="5" t="n">
        <f aca="false">spmv_1!R$6/R80</f>
        <v>5.06060226543385</v>
      </c>
      <c r="T80" s="6" t="n">
        <f aca="false">S80/64</f>
        <v>0.0790719103974039</v>
      </c>
    </row>
    <row r="81" customFormat="false" ht="15" hidden="false" customHeight="false" outlineLevel="0" collapsed="false">
      <c r="A81" s="1" t="s">
        <v>16</v>
      </c>
      <c r="B81" s="1" t="n">
        <v>12</v>
      </c>
      <c r="D81" s="1" t="n">
        <v>1732800</v>
      </c>
      <c r="E81" s="1" t="n">
        <v>0.107621</v>
      </c>
      <c r="G81" s="1" t="n">
        <v>0.034788132</v>
      </c>
      <c r="H81" s="1" t="n">
        <v>0.031884193</v>
      </c>
      <c r="I81" s="1" t="n">
        <v>0.031727076</v>
      </c>
      <c r="J81" s="1" t="n">
        <v>0.03135848</v>
      </c>
      <c r="K81" s="1" t="n">
        <v>0.032995939</v>
      </c>
      <c r="L81" s="1" t="n">
        <v>0.032721519</v>
      </c>
      <c r="M81" s="1" t="n">
        <v>0.03286624</v>
      </c>
      <c r="N81" s="1" t="n">
        <v>0.031238556</v>
      </c>
      <c r="O81" s="1" t="n">
        <v>0.03119421</v>
      </c>
      <c r="P81" s="1" t="n">
        <v>0.031243563</v>
      </c>
      <c r="R81" s="1" t="n">
        <f aca="false">PERCENTILE(G81:P81,0.9)</f>
        <v>0.0331751583</v>
      </c>
      <c r="S81" s="5" t="n">
        <f aca="false">spmv_1!R$6/R81</f>
        <v>5.07110196969279</v>
      </c>
      <c r="T81" s="6" t="n">
        <f aca="false">S81/64</f>
        <v>0.0792359682764498</v>
      </c>
    </row>
    <row r="82" customFormat="false" ht="15" hidden="false" customHeight="false" outlineLevel="0" collapsed="false">
      <c r="A82" s="1" t="s">
        <v>16</v>
      </c>
      <c r="B82" s="1" t="n">
        <v>13</v>
      </c>
      <c r="D82" s="1" t="n">
        <v>1732810</v>
      </c>
      <c r="E82" s="1" t="n">
        <v>0.139539</v>
      </c>
      <c r="G82" s="1" t="n">
        <v>0.025182962</v>
      </c>
      <c r="H82" s="1" t="n">
        <v>0.024423838</v>
      </c>
      <c r="I82" s="1" t="n">
        <v>0.024077177</v>
      </c>
      <c r="J82" s="1" t="n">
        <v>0.023830652</v>
      </c>
      <c r="K82" s="1" t="n">
        <v>0.026206732</v>
      </c>
      <c r="L82" s="1" t="n">
        <v>0.027412176</v>
      </c>
      <c r="M82" s="1" t="n">
        <v>0.026436806</v>
      </c>
      <c r="N82" s="1" t="n">
        <v>0.023630857</v>
      </c>
      <c r="O82" s="1" t="n">
        <v>0.024112701</v>
      </c>
      <c r="P82" s="1" t="n">
        <v>0.023048401</v>
      </c>
      <c r="R82" s="1" t="n">
        <f aca="false">PERCENTILE(G82:P82,0.9)</f>
        <v>0.026534343</v>
      </c>
      <c r="S82" s="5" t="n">
        <f aca="false">spmv_1!R$6/R82</f>
        <v>6.34025913511407</v>
      </c>
      <c r="T82" s="6" t="n">
        <f aca="false">S82/64</f>
        <v>0.0990665489861573</v>
      </c>
    </row>
    <row r="83" customFormat="false" ht="15" hidden="false" customHeight="false" outlineLevel="0" collapsed="false">
      <c r="A83" s="1" t="s">
        <v>16</v>
      </c>
      <c r="B83" s="1" t="n">
        <v>14</v>
      </c>
      <c r="D83" s="1" t="n">
        <v>1732708</v>
      </c>
      <c r="E83" s="1" t="n">
        <v>0.109152</v>
      </c>
      <c r="G83" s="1" t="n">
        <v>0.034507751</v>
      </c>
      <c r="H83" s="1" t="n">
        <v>0.031417608</v>
      </c>
      <c r="I83" s="1" t="n">
        <v>0.031229258</v>
      </c>
      <c r="J83" s="1" t="n">
        <v>0.030962706</v>
      </c>
      <c r="K83" s="1" t="n">
        <v>0.032650471</v>
      </c>
      <c r="L83" s="1" t="n">
        <v>0.032282591</v>
      </c>
      <c r="M83" s="1" t="n">
        <v>0.032413006</v>
      </c>
      <c r="N83" s="1" t="n">
        <v>0.030907154</v>
      </c>
      <c r="O83" s="1" t="n">
        <v>0.030946493</v>
      </c>
      <c r="P83" s="1" t="n">
        <v>0.030167818</v>
      </c>
      <c r="R83" s="1" t="n">
        <f aca="false">PERCENTILE(G83:P83,0.9)</f>
        <v>0.032836199</v>
      </c>
      <c r="S83" s="5" t="n">
        <f aca="false">spmv_1!R$6/R83</f>
        <v>5.12344959902332</v>
      </c>
      <c r="T83" s="6" t="n">
        <f aca="false">S83/64</f>
        <v>0.0800538999847394</v>
      </c>
    </row>
    <row r="84" customFormat="false" ht="15" hidden="false" customHeight="false" outlineLevel="0" collapsed="false">
      <c r="A84" s="1" t="s">
        <v>16</v>
      </c>
      <c r="B84" s="1" t="n">
        <v>15</v>
      </c>
      <c r="D84" s="1" t="n">
        <v>1732716</v>
      </c>
      <c r="E84" s="1" t="n">
        <v>0.109534</v>
      </c>
      <c r="G84" s="1" t="n">
        <v>0.034437418</v>
      </c>
      <c r="H84" s="1" t="n">
        <v>0.031506538</v>
      </c>
      <c r="I84" s="1" t="n">
        <v>0.031125069</v>
      </c>
      <c r="J84" s="1" t="n">
        <v>0.030957937</v>
      </c>
      <c r="K84" s="1" t="n">
        <v>0.032564402</v>
      </c>
      <c r="L84" s="1" t="n">
        <v>0.032262087</v>
      </c>
      <c r="M84" s="1" t="n">
        <v>0.03228426</v>
      </c>
      <c r="N84" s="1" t="n">
        <v>0.03042841</v>
      </c>
      <c r="O84" s="1" t="n">
        <v>0.030866861</v>
      </c>
      <c r="P84" s="1" t="n">
        <v>0.029946566</v>
      </c>
      <c r="R84" s="1" t="n">
        <f aca="false">PERCENTILE(G84:P84,0.9)</f>
        <v>0.0327517036</v>
      </c>
      <c r="S84" s="5" t="n">
        <f aca="false">spmv_1!R$6/R84</f>
        <v>5.13666747399363</v>
      </c>
      <c r="T84" s="6" t="n">
        <f aca="false">S84/64</f>
        <v>0.0802604292811504</v>
      </c>
    </row>
    <row r="85" customFormat="false" ht="15" hidden="false" customHeight="false" outlineLevel="0" collapsed="false">
      <c r="A85" s="1" t="s">
        <v>16</v>
      </c>
      <c r="B85" s="1" t="n">
        <v>16</v>
      </c>
      <c r="D85" s="1" t="n">
        <v>1732658</v>
      </c>
      <c r="E85" s="1" t="n">
        <v>0.117607</v>
      </c>
      <c r="G85" s="1" t="n">
        <v>0.030112505</v>
      </c>
      <c r="H85" s="1" t="n">
        <v>0.028971672</v>
      </c>
      <c r="I85" s="1" t="n">
        <v>0.028848171</v>
      </c>
      <c r="J85" s="1" t="n">
        <v>0.028620481</v>
      </c>
      <c r="K85" s="1" t="n">
        <v>0.031223774</v>
      </c>
      <c r="L85" s="1" t="n">
        <v>0.030697346</v>
      </c>
      <c r="M85" s="1" t="n">
        <v>0.031298161</v>
      </c>
      <c r="N85" s="1" t="n">
        <v>0.028476238</v>
      </c>
      <c r="O85" s="1" t="n">
        <v>0.028763294</v>
      </c>
      <c r="P85" s="1" t="n">
        <v>0.027641058</v>
      </c>
      <c r="R85" s="1" t="n">
        <f aca="false">PERCENTILE(G85:P85,0.9)</f>
        <v>0.0312312127</v>
      </c>
      <c r="S85" s="5" t="n">
        <f aca="false">spmv_1!R$6/R85</f>
        <v>5.3867460164299</v>
      </c>
      <c r="T85" s="6" t="n">
        <f aca="false">S85/64</f>
        <v>0.0841679065067172</v>
      </c>
    </row>
    <row r="86" customFormat="false" ht="15" hidden="false" customHeight="false" outlineLevel="0" collapsed="false">
      <c r="A86" s="1" t="s">
        <v>16</v>
      </c>
      <c r="B86" s="1" t="n">
        <v>17</v>
      </c>
      <c r="D86" s="1" t="n">
        <v>1732664</v>
      </c>
      <c r="E86" s="1" t="n">
        <v>0.120195</v>
      </c>
      <c r="G86" s="1" t="n">
        <v>0.029542446</v>
      </c>
      <c r="H86" s="1" t="n">
        <v>0.028207064</v>
      </c>
      <c r="I86" s="1" t="n">
        <v>0.028190613</v>
      </c>
      <c r="J86" s="1" t="n">
        <v>0.027955294</v>
      </c>
      <c r="K86" s="1" t="n">
        <v>0.03068161</v>
      </c>
      <c r="L86" s="1" t="n">
        <v>0.030158043</v>
      </c>
      <c r="M86" s="1" t="n">
        <v>0.03078413</v>
      </c>
      <c r="N86" s="1" t="n">
        <v>0.027444601</v>
      </c>
      <c r="O86" s="1" t="n">
        <v>0.028061152</v>
      </c>
      <c r="P86" s="1" t="n">
        <v>0.027284861</v>
      </c>
      <c r="R86" s="1" t="n">
        <f aca="false">PERCENTILE(G86:P86,0.9)</f>
        <v>0.030691862</v>
      </c>
      <c r="S86" s="5" t="n">
        <f aca="false">spmv_1!R$6/R86</f>
        <v>5.48140776209668</v>
      </c>
      <c r="T86" s="6" t="n">
        <f aca="false">S86/64</f>
        <v>0.0856469962827606</v>
      </c>
    </row>
    <row r="87" customFormat="false" ht="15" hidden="false" customHeight="false" outlineLevel="0" collapsed="false">
      <c r="A87" s="1" t="s">
        <v>16</v>
      </c>
      <c r="B87" s="1" t="n">
        <v>18</v>
      </c>
      <c r="D87" s="1" t="n">
        <v>1732400</v>
      </c>
      <c r="E87" s="1" t="n">
        <v>0.118703</v>
      </c>
      <c r="G87" s="1" t="n">
        <v>0.030357361</v>
      </c>
      <c r="H87" s="1" t="n">
        <v>0.028369188</v>
      </c>
      <c r="I87" s="1" t="n">
        <v>0.028473854</v>
      </c>
      <c r="J87" s="1" t="n">
        <v>0.028213501</v>
      </c>
      <c r="K87" s="1" t="n">
        <v>0.031167984</v>
      </c>
      <c r="L87" s="1" t="n">
        <v>0.030319214</v>
      </c>
      <c r="M87" s="1" t="n">
        <v>0.031239986</v>
      </c>
      <c r="N87" s="1" t="n">
        <v>0.027485371</v>
      </c>
      <c r="O87" s="1" t="n">
        <v>0.028402805</v>
      </c>
      <c r="P87" s="1" t="n">
        <v>0.027858019</v>
      </c>
      <c r="R87" s="1" t="n">
        <f aca="false">PERCENTILE(G87:P87,0.9)</f>
        <v>0.0311751842</v>
      </c>
      <c r="S87" s="5" t="n">
        <f aca="false">spmv_1!R$6/R87</f>
        <v>5.39642715567339</v>
      </c>
      <c r="T87" s="6" t="n">
        <f aca="false">S87/64</f>
        <v>0.0843191743073967</v>
      </c>
    </row>
    <row r="88" customFormat="false" ht="15" hidden="false" customHeight="false" outlineLevel="0" collapsed="false">
      <c r="A88" s="1" t="s">
        <v>16</v>
      </c>
      <c r="B88" s="1" t="n">
        <v>19</v>
      </c>
      <c r="D88" s="1" t="n">
        <v>1732368</v>
      </c>
      <c r="E88" s="1" t="n">
        <v>0.116034</v>
      </c>
      <c r="G88" s="1" t="n">
        <v>0.033424139</v>
      </c>
      <c r="H88" s="1" t="n">
        <v>0.028971434</v>
      </c>
      <c r="I88" s="1" t="n">
        <v>0.028770924</v>
      </c>
      <c r="J88" s="1" t="n">
        <v>0.028472662</v>
      </c>
      <c r="K88" s="1" t="n">
        <v>0.030798674</v>
      </c>
      <c r="L88" s="1" t="n">
        <v>0.029869556</v>
      </c>
      <c r="M88" s="1" t="n">
        <v>0.030530691</v>
      </c>
      <c r="N88" s="1" t="n">
        <v>0.028363705</v>
      </c>
      <c r="O88" s="1" t="n">
        <v>0.028555632</v>
      </c>
      <c r="P88" s="1" t="n">
        <v>0.03083992</v>
      </c>
      <c r="R88" s="1" t="n">
        <f aca="false">PERCENTILE(G88:P88,0.9)</f>
        <v>0.0310983419</v>
      </c>
      <c r="S88" s="5" t="n">
        <f aca="false">spmv_1!R$6/R88</f>
        <v>5.40976143168585</v>
      </c>
      <c r="T88" s="6" t="n">
        <f aca="false">S88/64</f>
        <v>0.0845275223700914</v>
      </c>
    </row>
    <row r="89" customFormat="false" ht="15" hidden="false" customHeight="false" outlineLevel="0" collapsed="false">
      <c r="A89" s="1" t="s">
        <v>16</v>
      </c>
      <c r="B89" s="1" t="n">
        <v>20</v>
      </c>
      <c r="D89" s="1" t="n">
        <v>1732136</v>
      </c>
      <c r="E89" s="1" t="n">
        <v>0.114768</v>
      </c>
      <c r="G89" s="1" t="n">
        <v>0.033939123</v>
      </c>
      <c r="H89" s="1" t="n">
        <v>0.029597521</v>
      </c>
      <c r="I89" s="1" t="n">
        <v>0.029404163</v>
      </c>
      <c r="J89" s="1" t="n">
        <v>0.02925086</v>
      </c>
      <c r="K89" s="1" t="n">
        <v>0.030613661</v>
      </c>
      <c r="L89" s="1" t="n">
        <v>0.029087067</v>
      </c>
      <c r="M89" s="1" t="n">
        <v>0.030112028</v>
      </c>
      <c r="N89" s="1" t="n">
        <v>0.029613018</v>
      </c>
      <c r="O89" s="1" t="n">
        <v>0.029064655</v>
      </c>
      <c r="P89" s="1" t="n">
        <v>0.031167269</v>
      </c>
      <c r="R89" s="1" t="n">
        <f aca="false">PERCENTILE(G89:P89,0.9)</f>
        <v>0.0314444544</v>
      </c>
      <c r="S89" s="5" t="n">
        <f aca="false">spmv_1!R$6/R89</f>
        <v>5.35021560431336</v>
      </c>
      <c r="T89" s="6" t="n">
        <f aca="false">S89/64</f>
        <v>0.0835971188173963</v>
      </c>
    </row>
    <row r="90" customFormat="false" ht="15" hidden="false" customHeight="false" outlineLevel="0" collapsed="false">
      <c r="A90" s="1" t="s">
        <v>16</v>
      </c>
      <c r="B90" s="1" t="n">
        <v>21</v>
      </c>
      <c r="D90" s="1" t="n">
        <v>1732136</v>
      </c>
      <c r="E90" s="1" t="n">
        <v>0.11874</v>
      </c>
      <c r="G90" s="1" t="n">
        <v>0.030925512</v>
      </c>
      <c r="H90" s="1" t="n">
        <v>0.028178692</v>
      </c>
      <c r="I90" s="1" t="n">
        <v>0.028742552</v>
      </c>
      <c r="J90" s="1" t="n">
        <v>0.028321266</v>
      </c>
      <c r="K90" s="1" t="n">
        <v>0.030243635</v>
      </c>
      <c r="L90" s="1" t="n">
        <v>0.029003382</v>
      </c>
      <c r="M90" s="1" t="n">
        <v>0.029742956</v>
      </c>
      <c r="N90" s="1" t="n">
        <v>0.028721333</v>
      </c>
      <c r="O90" s="1" t="n">
        <v>0.028492451</v>
      </c>
      <c r="P90" s="1" t="n">
        <v>0.029380083</v>
      </c>
      <c r="R90" s="1" t="n">
        <f aca="false">PERCENTILE(G90:P90,0.9)</f>
        <v>0.0303118227</v>
      </c>
      <c r="S90" s="5" t="n">
        <f aca="false">spmv_1!R$6/R90</f>
        <v>5.55013178405797</v>
      </c>
      <c r="T90" s="6" t="n">
        <f aca="false">S90/64</f>
        <v>0.0867208091259058</v>
      </c>
    </row>
    <row r="91" customFormat="false" ht="15" hidden="false" customHeight="false" outlineLevel="0" collapsed="false">
      <c r="A91" s="1" t="s">
        <v>16</v>
      </c>
      <c r="B91" s="1" t="n">
        <v>22</v>
      </c>
      <c r="D91" s="1" t="n">
        <v>1732720</v>
      </c>
      <c r="E91" s="1" t="n">
        <v>0.113973</v>
      </c>
      <c r="G91" s="1" t="n">
        <v>0.034598351</v>
      </c>
      <c r="H91" s="1" t="n">
        <v>0.030511141</v>
      </c>
      <c r="I91" s="1" t="n">
        <v>0.0299685</v>
      </c>
      <c r="J91" s="1" t="n">
        <v>0.030293941</v>
      </c>
      <c r="K91" s="1" t="n">
        <v>0.030129433</v>
      </c>
      <c r="L91" s="1" t="n">
        <v>0.027273417</v>
      </c>
      <c r="M91" s="1" t="n">
        <v>0.029855728</v>
      </c>
      <c r="N91" s="1" t="n">
        <v>0.03025341</v>
      </c>
      <c r="O91" s="1" t="n">
        <v>0.029648066</v>
      </c>
      <c r="P91" s="1" t="n">
        <v>0.031525135</v>
      </c>
      <c r="R91" s="1" t="n">
        <f aca="false">PERCENTILE(G91:P91,0.9)</f>
        <v>0.0318324566</v>
      </c>
      <c r="S91" s="5" t="n">
        <f aca="false">spmv_1!R$6/R91</f>
        <v>5.28500243364818</v>
      </c>
      <c r="T91" s="6" t="n">
        <f aca="false">S91/64</f>
        <v>0.0825781630257528</v>
      </c>
    </row>
    <row r="92" customFormat="false" ht="15" hidden="false" customHeight="false" outlineLevel="0" collapsed="false">
      <c r="A92" s="1" t="s">
        <v>16</v>
      </c>
      <c r="B92" s="1" t="n">
        <v>23</v>
      </c>
      <c r="D92" s="1" t="n">
        <v>1732720</v>
      </c>
      <c r="E92" s="1" t="n">
        <v>0.145681</v>
      </c>
      <c r="G92" s="1" t="n">
        <v>0.026470661</v>
      </c>
      <c r="H92" s="1" t="n">
        <v>0.023279667</v>
      </c>
      <c r="I92" s="1" t="n">
        <v>0.023228645</v>
      </c>
      <c r="J92" s="1" t="n">
        <v>0.02318716</v>
      </c>
      <c r="K92" s="1" t="n">
        <v>0.02319026</v>
      </c>
      <c r="L92" s="1" t="n">
        <v>0.023662806</v>
      </c>
      <c r="M92" s="1" t="n">
        <v>0.023250103</v>
      </c>
      <c r="N92" s="1" t="n">
        <v>0.023668289</v>
      </c>
      <c r="O92" s="1" t="n">
        <v>0.022924423</v>
      </c>
      <c r="P92" s="1" t="n">
        <v>0.025017262</v>
      </c>
      <c r="R92" s="1" t="n">
        <f aca="false">PERCENTILE(G92:P92,0.9)</f>
        <v>0.0251626019</v>
      </c>
      <c r="S92" s="5" t="n">
        <f aca="false">spmv_1!R$6/R92</f>
        <v>6.68589882988214</v>
      </c>
      <c r="T92" s="6" t="n">
        <f aca="false">S92/64</f>
        <v>0.104467169216908</v>
      </c>
    </row>
    <row r="93" customFormat="false" ht="15" hidden="false" customHeight="false" outlineLevel="0" collapsed="false">
      <c r="A93" s="1" t="s">
        <v>16</v>
      </c>
      <c r="B93" s="1" t="n">
        <v>24</v>
      </c>
      <c r="D93" s="1" t="n">
        <v>1732826</v>
      </c>
      <c r="E93" s="1" t="n">
        <v>0.112962</v>
      </c>
      <c r="G93" s="1" t="n">
        <v>0.034877062</v>
      </c>
      <c r="H93" s="1" t="n">
        <v>0.031202555</v>
      </c>
      <c r="I93" s="1" t="n">
        <v>0.030827999</v>
      </c>
      <c r="J93" s="1" t="n">
        <v>0.030884504</v>
      </c>
      <c r="K93" s="1" t="n">
        <v>0.029888868</v>
      </c>
      <c r="L93" s="1" t="n">
        <v>0.026289463</v>
      </c>
      <c r="M93" s="1" t="n">
        <v>0.029219151</v>
      </c>
      <c r="N93" s="1" t="n">
        <v>0.031005621</v>
      </c>
      <c r="O93" s="1" t="n">
        <v>0.030721188</v>
      </c>
      <c r="P93" s="1" t="n">
        <v>0.031882763</v>
      </c>
      <c r="R93" s="1" t="n">
        <f aca="false">PERCENTILE(G93:P93,0.9)</f>
        <v>0.0321821929</v>
      </c>
      <c r="S93" s="5" t="n">
        <f aca="false">spmv_1!R$6/R93</f>
        <v>5.22756827425517</v>
      </c>
      <c r="T93" s="6" t="n">
        <f aca="false">S93/64</f>
        <v>0.081680754285237</v>
      </c>
    </row>
    <row r="94" customFormat="false" ht="15" hidden="false" customHeight="false" outlineLevel="0" collapsed="false">
      <c r="A94" s="1" t="s">
        <v>16</v>
      </c>
      <c r="B94" s="1" t="n">
        <v>25</v>
      </c>
      <c r="D94" s="1" t="n">
        <v>1732826</v>
      </c>
      <c r="E94" s="1" t="n">
        <v>0.112897</v>
      </c>
      <c r="G94" s="1" t="n">
        <v>0.034501314</v>
      </c>
      <c r="H94" s="1" t="n">
        <v>0.031137466</v>
      </c>
      <c r="I94" s="1" t="n">
        <v>0.030810833</v>
      </c>
      <c r="J94" s="1" t="n">
        <v>0.030772686</v>
      </c>
      <c r="K94" s="1" t="n">
        <v>0.029999256</v>
      </c>
      <c r="L94" s="1" t="n">
        <v>0.026662827</v>
      </c>
      <c r="M94" s="1" t="n">
        <v>0.02966404</v>
      </c>
      <c r="N94" s="1" t="n">
        <v>0.030910254</v>
      </c>
      <c r="O94" s="1" t="n">
        <v>0.030661106</v>
      </c>
      <c r="P94" s="1" t="n">
        <v>0.031855106</v>
      </c>
      <c r="R94" s="1" t="n">
        <f aca="false">PERCENTILE(G94:P94,0.9)</f>
        <v>0.0321197268</v>
      </c>
      <c r="S94" s="5" t="n">
        <f aca="false">spmv_1!R$6/R94</f>
        <v>5.23773479293728</v>
      </c>
      <c r="T94" s="6" t="n">
        <f aca="false">S94/64</f>
        <v>0.081839606139645</v>
      </c>
    </row>
    <row r="95" customFormat="false" ht="15" hidden="false" customHeight="false" outlineLevel="0" collapsed="false">
      <c r="A95" s="1" t="s">
        <v>16</v>
      </c>
      <c r="B95" s="1" t="n">
        <v>26</v>
      </c>
      <c r="D95" s="1" t="n">
        <v>1732754</v>
      </c>
      <c r="E95" s="1" t="n">
        <v>0.116589</v>
      </c>
      <c r="G95" s="1" t="n">
        <v>0.031866074</v>
      </c>
      <c r="H95" s="1" t="n">
        <v>0.02966094</v>
      </c>
      <c r="I95" s="1" t="n">
        <v>0.029744864</v>
      </c>
      <c r="J95" s="1" t="n">
        <v>0.029758453</v>
      </c>
      <c r="K95" s="1" t="n">
        <v>0.030011415</v>
      </c>
      <c r="L95" s="1" t="n">
        <v>0.026848555</v>
      </c>
      <c r="M95" s="1" t="n">
        <v>0.029616117</v>
      </c>
      <c r="N95" s="1" t="n">
        <v>0.029719114</v>
      </c>
      <c r="O95" s="1" t="n">
        <v>0.029646873</v>
      </c>
      <c r="P95" s="1" t="n">
        <v>0.03036952</v>
      </c>
      <c r="R95" s="1" t="n">
        <f aca="false">PERCENTILE(G95:P95,0.9)</f>
        <v>0.0305191754</v>
      </c>
      <c r="S95" s="5" t="n">
        <f aca="false">spmv_1!R$6/R95</f>
        <v>5.5124232026269</v>
      </c>
      <c r="T95" s="6" t="n">
        <f aca="false">S95/64</f>
        <v>0.0861316125410453</v>
      </c>
    </row>
    <row r="96" customFormat="false" ht="15" hidden="false" customHeight="false" outlineLevel="0" collapsed="false">
      <c r="A96" s="1" t="s">
        <v>16</v>
      </c>
      <c r="B96" s="1" t="n">
        <v>27</v>
      </c>
      <c r="D96" s="1" t="n">
        <v>1732754</v>
      </c>
      <c r="E96" s="1" t="n">
        <v>0.116148</v>
      </c>
      <c r="G96" s="1" t="n">
        <v>0.031670094</v>
      </c>
      <c r="H96" s="1" t="n">
        <v>0.029825449</v>
      </c>
      <c r="I96" s="1" t="n">
        <v>0.029697895</v>
      </c>
      <c r="J96" s="1" t="n">
        <v>0.029592752</v>
      </c>
      <c r="K96" s="1" t="n">
        <v>0.029923439</v>
      </c>
      <c r="L96" s="1" t="n">
        <v>0.02752924</v>
      </c>
      <c r="M96" s="1" t="n">
        <v>0.030082941</v>
      </c>
      <c r="N96" s="1" t="n">
        <v>0.030080557</v>
      </c>
      <c r="O96" s="1" t="n">
        <v>0.029634237</v>
      </c>
      <c r="P96" s="1" t="n">
        <v>0.030333757</v>
      </c>
      <c r="R96" s="1" t="n">
        <f aca="false">PERCENTILE(G96:P96,0.9)</f>
        <v>0.0304673907</v>
      </c>
      <c r="S96" s="5" t="n">
        <f aca="false">spmv_1!R$6/R96</f>
        <v>5.521792537357</v>
      </c>
      <c r="T96" s="6" t="n">
        <f aca="false">S96/64</f>
        <v>0.0862780083962031</v>
      </c>
    </row>
    <row r="97" customFormat="false" ht="15" hidden="false" customHeight="false" outlineLevel="0" collapsed="false">
      <c r="A97" s="1" t="s">
        <v>16</v>
      </c>
      <c r="B97" s="1" t="n">
        <v>28</v>
      </c>
      <c r="D97" s="1" t="n">
        <v>1732748</v>
      </c>
      <c r="E97" s="1" t="n">
        <v>0.114061</v>
      </c>
      <c r="G97" s="1" t="n">
        <v>0.032107592</v>
      </c>
      <c r="H97" s="1" t="n">
        <v>0.030175924</v>
      </c>
      <c r="I97" s="1" t="n">
        <v>0.03023386</v>
      </c>
      <c r="J97" s="1" t="n">
        <v>0.030186892</v>
      </c>
      <c r="K97" s="1" t="n">
        <v>0.03068018</v>
      </c>
      <c r="L97" s="1" t="n">
        <v>0.028722286</v>
      </c>
      <c r="M97" s="1" t="n">
        <v>0.030682325</v>
      </c>
      <c r="N97" s="1" t="n">
        <v>0.030282736</v>
      </c>
      <c r="O97" s="1" t="n">
        <v>0.030151606</v>
      </c>
      <c r="P97" s="1" t="n">
        <v>0.030604839</v>
      </c>
      <c r="R97" s="1" t="n">
        <f aca="false">PERCENTILE(G97:P97,0.9)</f>
        <v>0.0308248517</v>
      </c>
      <c r="S97" s="5" t="n">
        <f aca="false">spmv_1!R$6/R97</f>
        <v>5.45775896141619</v>
      </c>
      <c r="T97" s="6" t="n">
        <f aca="false">S97/64</f>
        <v>0.0852774837721279</v>
      </c>
    </row>
    <row r="98" customFormat="false" ht="15" hidden="false" customHeight="false" outlineLevel="0" collapsed="false">
      <c r="A98" s="1" t="s">
        <v>16</v>
      </c>
      <c r="B98" s="1" t="n">
        <v>29</v>
      </c>
      <c r="D98" s="1" t="n">
        <v>1732748</v>
      </c>
      <c r="E98" s="1" t="n">
        <v>0.140561</v>
      </c>
      <c r="G98" s="1" t="n">
        <v>0.026505232</v>
      </c>
      <c r="H98" s="1" t="n">
        <v>0.024628878</v>
      </c>
      <c r="I98" s="1" t="n">
        <v>0.024230003</v>
      </c>
      <c r="J98" s="1" t="n">
        <v>0.024439335</v>
      </c>
      <c r="K98" s="1" t="n">
        <v>0.024222374</v>
      </c>
      <c r="L98" s="1" t="n">
        <v>0.023650408</v>
      </c>
      <c r="M98" s="1" t="n">
        <v>0.02421093</v>
      </c>
      <c r="N98" s="1" t="n">
        <v>0.024641037</v>
      </c>
      <c r="O98" s="1" t="n">
        <v>0.024440527</v>
      </c>
      <c r="P98" s="1" t="n">
        <v>0.02557826</v>
      </c>
      <c r="R98" s="1" t="n">
        <f aca="false">PERCENTILE(G98:P98,0.9)</f>
        <v>0.0256709572</v>
      </c>
      <c r="S98" s="5" t="n">
        <f aca="false">spmv_1!R$6/R98</f>
        <v>6.55349971133916</v>
      </c>
      <c r="T98" s="6" t="n">
        <f aca="false">S98/64</f>
        <v>0.102398432989674</v>
      </c>
    </row>
    <row r="99" customFormat="false" ht="15" hidden="false" customHeight="false" outlineLevel="0" collapsed="false">
      <c r="A99" s="1" t="s">
        <v>16</v>
      </c>
      <c r="B99" s="1" t="n">
        <v>30</v>
      </c>
      <c r="D99" s="1" t="n">
        <v>1732642</v>
      </c>
      <c r="E99" s="1" t="n">
        <v>0.132811</v>
      </c>
      <c r="G99" s="1" t="n">
        <v>0.028043032</v>
      </c>
      <c r="H99" s="1" t="n">
        <v>0.026025295</v>
      </c>
      <c r="I99" s="1" t="n">
        <v>0.026130438</v>
      </c>
      <c r="J99" s="1" t="n">
        <v>0.02617836</v>
      </c>
      <c r="K99" s="1" t="n">
        <v>0.025313854</v>
      </c>
      <c r="L99" s="1" t="n">
        <v>0.02482295</v>
      </c>
      <c r="M99" s="1" t="n">
        <v>0.02566123</v>
      </c>
      <c r="N99" s="1" t="n">
        <v>0.026150465</v>
      </c>
      <c r="O99" s="1" t="n">
        <v>0.025624037</v>
      </c>
      <c r="P99" s="1" t="n">
        <v>0.026969194</v>
      </c>
      <c r="R99" s="1" t="n">
        <f aca="false">PERCENTILE(G99:P99,0.9)</f>
        <v>0.0270765778</v>
      </c>
      <c r="S99" s="5" t="n">
        <f aca="false">spmv_1!R$6/R99</f>
        <v>6.21328928059734</v>
      </c>
      <c r="T99" s="6" t="n">
        <f aca="false">S99/64</f>
        <v>0.0970826450093335</v>
      </c>
    </row>
    <row r="100" customFormat="false" ht="15" hidden="false" customHeight="false" outlineLevel="0" collapsed="false">
      <c r="A100" s="1" t="s">
        <v>16</v>
      </c>
      <c r="B100" s="1" t="n">
        <v>31</v>
      </c>
      <c r="D100" s="1" t="n">
        <v>1732642</v>
      </c>
      <c r="E100" s="1" t="n">
        <v>0.132246</v>
      </c>
      <c r="G100" s="1" t="n">
        <v>0.028109789</v>
      </c>
      <c r="H100" s="1" t="n">
        <v>0.026124477</v>
      </c>
      <c r="I100" s="1" t="n">
        <v>0.026248217</v>
      </c>
      <c r="J100" s="1" t="n">
        <v>0.026282072</v>
      </c>
      <c r="K100" s="1" t="n">
        <v>0.02545166</v>
      </c>
      <c r="L100" s="1" t="n">
        <v>0.024942875</v>
      </c>
      <c r="M100" s="1" t="n">
        <v>0.02577424</v>
      </c>
      <c r="N100" s="1" t="n">
        <v>0.026248693</v>
      </c>
      <c r="O100" s="1" t="n">
        <v>0.02575016</v>
      </c>
      <c r="P100" s="1" t="n">
        <v>0.027100801</v>
      </c>
      <c r="R100" s="1" t="n">
        <f aca="false">PERCENTILE(G100:P100,0.9)</f>
        <v>0.0272016998</v>
      </c>
      <c r="S100" s="5" t="n">
        <f aca="false">spmv_1!R$6/R100</f>
        <v>6.18470947907454</v>
      </c>
      <c r="T100" s="6" t="n">
        <f aca="false">S100/64</f>
        <v>0.0966360856105397</v>
      </c>
    </row>
    <row r="101" customFormat="false" ht="15" hidden="false" customHeight="false" outlineLevel="0" collapsed="false">
      <c r="A101" s="1" t="s">
        <v>16</v>
      </c>
      <c r="B101" s="1" t="n">
        <v>32</v>
      </c>
      <c r="D101" s="1" t="n">
        <v>1732652</v>
      </c>
      <c r="E101" s="1" t="n">
        <v>0.136076</v>
      </c>
      <c r="G101" s="1" t="n">
        <v>0.027065992</v>
      </c>
      <c r="H101" s="1" t="n">
        <v>0.025324583</v>
      </c>
      <c r="I101" s="1" t="n">
        <v>0.02511549</v>
      </c>
      <c r="J101" s="1" t="n">
        <v>0.025234461</v>
      </c>
      <c r="K101" s="1" t="n">
        <v>0.025242567</v>
      </c>
      <c r="L101" s="1" t="n">
        <v>0.024644852</v>
      </c>
      <c r="M101" s="1" t="n">
        <v>0.025235176</v>
      </c>
      <c r="N101" s="1" t="n">
        <v>0.025402308</v>
      </c>
      <c r="O101" s="1" t="n">
        <v>0.024948597</v>
      </c>
      <c r="P101" s="1" t="n">
        <v>0.02644515</v>
      </c>
      <c r="R101" s="1" t="n">
        <f aca="false">PERCENTILE(G101:P101,0.9)</f>
        <v>0.0265072342</v>
      </c>
      <c r="S101" s="5" t="n">
        <f aca="false">spmv_1!R$6/R101</f>
        <v>6.34674328263188</v>
      </c>
      <c r="T101" s="6" t="n">
        <f aca="false">S101/64</f>
        <v>0.0991678637911231</v>
      </c>
    </row>
    <row r="102" customFormat="false" ht="15" hidden="false" customHeight="false" outlineLevel="0" collapsed="false">
      <c r="A102" s="1" t="s">
        <v>16</v>
      </c>
      <c r="B102" s="1" t="n">
        <v>33</v>
      </c>
      <c r="D102" s="1" t="n">
        <v>1732652</v>
      </c>
      <c r="E102" s="1" t="n">
        <v>0.13113</v>
      </c>
      <c r="G102" s="1" t="n">
        <v>0.028625011</v>
      </c>
      <c r="H102" s="1" t="n">
        <v>0.026173115</v>
      </c>
      <c r="I102" s="1" t="n">
        <v>0.026085854</v>
      </c>
      <c r="J102" s="1" t="n">
        <v>0.026236296</v>
      </c>
      <c r="K102" s="1" t="n">
        <v>0.026128531</v>
      </c>
      <c r="L102" s="1" t="n">
        <v>0.025353193</v>
      </c>
      <c r="M102" s="1" t="n">
        <v>0.026005268</v>
      </c>
      <c r="N102" s="1" t="n">
        <v>0.02635479</v>
      </c>
      <c r="O102" s="1" t="n">
        <v>0.025973082</v>
      </c>
      <c r="P102" s="1" t="n">
        <v>0.027329206</v>
      </c>
      <c r="R102" s="1" t="n">
        <f aca="false">PERCENTILE(G102:P102,0.9)</f>
        <v>0.0274587865</v>
      </c>
      <c r="S102" s="5" t="n">
        <f aca="false">spmv_1!R$6/R102</f>
        <v>6.12680427811331</v>
      </c>
      <c r="T102" s="6" t="n">
        <f aca="false">S102/64</f>
        <v>0.0957313168455205</v>
      </c>
    </row>
    <row r="103" customFormat="false" ht="15" hidden="false" customHeight="false" outlineLevel="0" collapsed="false">
      <c r="A103" s="1" t="s">
        <v>16</v>
      </c>
      <c r="B103" s="1" t="n">
        <v>34</v>
      </c>
      <c r="D103" s="1" t="n">
        <v>1732246</v>
      </c>
      <c r="E103" s="1" t="n">
        <v>0.132612</v>
      </c>
      <c r="G103" s="1" t="n">
        <v>0.028409481</v>
      </c>
      <c r="H103" s="1" t="n">
        <v>0.025881052</v>
      </c>
      <c r="I103" s="1" t="n">
        <v>0.02579236</v>
      </c>
      <c r="J103" s="1" t="n">
        <v>0.025911093</v>
      </c>
      <c r="K103" s="1" t="n">
        <v>0.025804281</v>
      </c>
      <c r="L103" s="1" t="n">
        <v>0.025005579</v>
      </c>
      <c r="M103" s="1" t="n">
        <v>0.025677443</v>
      </c>
      <c r="N103" s="1" t="n">
        <v>0.026096344</v>
      </c>
      <c r="O103" s="1" t="n">
        <v>0.025645018</v>
      </c>
      <c r="P103" s="1" t="n">
        <v>0.027028084</v>
      </c>
      <c r="R103" s="1" t="n">
        <f aca="false">PERCENTILE(G103:P103,0.9)</f>
        <v>0.0271662237</v>
      </c>
      <c r="S103" s="5" t="n">
        <f aca="false">spmv_1!R$6/R103</f>
        <v>6.19278602936631</v>
      </c>
      <c r="T103" s="6" t="n">
        <f aca="false">S103/64</f>
        <v>0.0967622817088486</v>
      </c>
    </row>
    <row r="104" customFormat="false" ht="15" hidden="false" customHeight="false" outlineLevel="0" collapsed="false">
      <c r="A104" s="1" t="s">
        <v>16</v>
      </c>
      <c r="B104" s="1" t="n">
        <v>35</v>
      </c>
      <c r="D104" s="1" t="n">
        <v>1732246</v>
      </c>
      <c r="E104" s="1" t="n">
        <v>0.139561</v>
      </c>
      <c r="G104" s="1" t="n">
        <v>0.026719093</v>
      </c>
      <c r="H104" s="1" t="n">
        <v>0.024614096</v>
      </c>
      <c r="I104" s="1" t="n">
        <v>0.02445364</v>
      </c>
      <c r="J104" s="1" t="n">
        <v>0.024591684</v>
      </c>
      <c r="K104" s="1" t="n">
        <v>0.024584532</v>
      </c>
      <c r="L104" s="1" t="n">
        <v>0.023981333</v>
      </c>
      <c r="M104" s="1" t="n">
        <v>0.024462223</v>
      </c>
      <c r="N104" s="1" t="n">
        <v>0.024761677</v>
      </c>
      <c r="O104" s="1" t="n">
        <v>0.024392128</v>
      </c>
      <c r="P104" s="1" t="n">
        <v>0.025681496</v>
      </c>
      <c r="R104" s="1" t="n">
        <f aca="false">PERCENTILE(G104:P104,0.9)</f>
        <v>0.0257852557</v>
      </c>
      <c r="S104" s="5" t="n">
        <f aca="false">spmv_1!R$6/R104</f>
        <v>6.52444996308491</v>
      </c>
      <c r="T104" s="6" t="n">
        <f aca="false">S104/64</f>
        <v>0.101944530673202</v>
      </c>
    </row>
    <row r="105" customFormat="false" ht="15" hidden="false" customHeight="false" outlineLevel="0" collapsed="false">
      <c r="A105" s="1" t="s">
        <v>16</v>
      </c>
      <c r="B105" s="1" t="n">
        <v>36</v>
      </c>
      <c r="D105" s="1" t="n">
        <v>1731882</v>
      </c>
      <c r="E105" s="1" t="n">
        <v>0.11376</v>
      </c>
      <c r="G105" s="1" t="n">
        <v>0.035830975</v>
      </c>
      <c r="H105" s="1" t="n">
        <v>0.02991581</v>
      </c>
      <c r="I105" s="1" t="n">
        <v>0.029795885</v>
      </c>
      <c r="J105" s="1" t="n">
        <v>0.029934406</v>
      </c>
      <c r="K105" s="1" t="n">
        <v>0.029603243</v>
      </c>
      <c r="L105" s="1" t="n">
        <v>0.029109478</v>
      </c>
      <c r="M105" s="1" t="n">
        <v>0.02948904</v>
      </c>
      <c r="N105" s="1" t="n">
        <v>0.030114174</v>
      </c>
      <c r="O105" s="1" t="n">
        <v>0.029669523</v>
      </c>
      <c r="P105" s="1" t="n">
        <v>0.03101635</v>
      </c>
      <c r="R105" s="1" t="n">
        <f aca="false">PERCENTILE(G105:P105,0.9)</f>
        <v>0.0314978125</v>
      </c>
      <c r="S105" s="5" t="n">
        <f aca="false">spmv_1!R$6/R105</f>
        <v>5.34115220223627</v>
      </c>
      <c r="T105" s="6" t="n">
        <f aca="false">S105/64</f>
        <v>0.0834555031599417</v>
      </c>
    </row>
    <row r="106" customFormat="false" ht="15" hidden="false" customHeight="false" outlineLevel="0" collapsed="false">
      <c r="A106" s="1" t="s">
        <v>16</v>
      </c>
      <c r="B106" s="1" t="n">
        <v>37</v>
      </c>
      <c r="D106" s="1" t="n">
        <v>1731882</v>
      </c>
      <c r="E106" s="1" t="n">
        <v>0.136604</v>
      </c>
      <c r="G106" s="1" t="n">
        <v>0.027890921</v>
      </c>
      <c r="H106" s="1" t="n">
        <v>0.024837017</v>
      </c>
      <c r="I106" s="1" t="n">
        <v>0.024694204</v>
      </c>
      <c r="J106" s="1" t="n">
        <v>0.02487874</v>
      </c>
      <c r="K106" s="1" t="n">
        <v>0.025064707</v>
      </c>
      <c r="L106" s="1" t="n">
        <v>0.025299311</v>
      </c>
      <c r="M106" s="1" t="n">
        <v>0.025376081</v>
      </c>
      <c r="N106" s="1" t="n">
        <v>0.024970055</v>
      </c>
      <c r="O106" s="1" t="n">
        <v>0.024511337</v>
      </c>
      <c r="P106" s="1" t="n">
        <v>0.026039839</v>
      </c>
      <c r="R106" s="1" t="n">
        <f aca="false">PERCENTILE(G106:P106,0.9)</f>
        <v>0.0262249472</v>
      </c>
      <c r="S106" s="5" t="n">
        <f aca="false">spmv_1!R$6/R106</f>
        <v>6.41506003108369</v>
      </c>
      <c r="T106" s="6" t="n">
        <f aca="false">S106/64</f>
        <v>0.100235312985683</v>
      </c>
    </row>
    <row r="107" customFormat="false" ht="15" hidden="false" customHeight="false" outlineLevel="0" collapsed="false">
      <c r="A107" s="1" t="s">
        <v>16</v>
      </c>
      <c r="B107" s="1" t="n">
        <v>38</v>
      </c>
      <c r="D107" s="1" t="n">
        <v>1732146</v>
      </c>
      <c r="E107" s="1" t="n">
        <v>0.11601</v>
      </c>
      <c r="G107" s="1" t="n">
        <v>0.030696154</v>
      </c>
      <c r="H107" s="1" t="n">
        <v>0.02925849</v>
      </c>
      <c r="I107" s="1" t="n">
        <v>0.029219389</v>
      </c>
      <c r="J107" s="1" t="n">
        <v>0.029390097</v>
      </c>
      <c r="K107" s="1" t="n">
        <v>0.030234337</v>
      </c>
      <c r="L107" s="1" t="n">
        <v>0.030167103</v>
      </c>
      <c r="M107" s="1" t="n">
        <v>0.030505896</v>
      </c>
      <c r="N107" s="1" t="n">
        <v>0.029498339</v>
      </c>
      <c r="O107" s="1" t="n">
        <v>0.029141665</v>
      </c>
      <c r="P107" s="1" t="n">
        <v>0.030507565</v>
      </c>
      <c r="R107" s="1" t="n">
        <f aca="false">PERCENTILE(G107:P107,0.9)</f>
        <v>0.0305264239</v>
      </c>
      <c r="S107" s="5" t="n">
        <f aca="false">spmv_1!R$6/R107</f>
        <v>5.51111427762097</v>
      </c>
      <c r="T107" s="6" t="n">
        <f aca="false">S107/64</f>
        <v>0.0861111605878277</v>
      </c>
    </row>
    <row r="108" customFormat="false" ht="15" hidden="false" customHeight="false" outlineLevel="0" collapsed="false">
      <c r="A108" s="1" t="s">
        <v>16</v>
      </c>
      <c r="B108" s="1" t="n">
        <v>39</v>
      </c>
      <c r="D108" s="1" t="n">
        <v>1732146</v>
      </c>
      <c r="E108" s="1" t="n">
        <v>0.143068</v>
      </c>
      <c r="G108" s="1" t="n">
        <v>0.025740385</v>
      </c>
      <c r="H108" s="1" t="n">
        <v>0.023508787</v>
      </c>
      <c r="I108" s="1" t="n">
        <v>0.023265839</v>
      </c>
      <c r="J108" s="1" t="n">
        <v>0.023322821</v>
      </c>
      <c r="K108" s="1" t="n">
        <v>0.024777412</v>
      </c>
      <c r="L108" s="1" t="n">
        <v>0.025234938</v>
      </c>
      <c r="M108" s="1" t="n">
        <v>0.02508688</v>
      </c>
      <c r="N108" s="1" t="n">
        <v>0.02334094</v>
      </c>
      <c r="O108" s="1" t="n">
        <v>0.023492336</v>
      </c>
      <c r="P108" s="1" t="n">
        <v>0.024373531</v>
      </c>
      <c r="R108" s="1" t="n">
        <f aca="false">PERCENTILE(G108:P108,0.9)</f>
        <v>0.0252854827</v>
      </c>
      <c r="S108" s="5" t="n">
        <f aca="false">spmv_1!R$6/R108</f>
        <v>6.65340711886034</v>
      </c>
      <c r="T108" s="6" t="n">
        <f aca="false">S108/64</f>
        <v>0.103959486232193</v>
      </c>
    </row>
    <row r="109" customFormat="false" ht="15" hidden="false" customHeight="false" outlineLevel="0" collapsed="false">
      <c r="A109" s="1" t="s">
        <v>16</v>
      </c>
      <c r="B109" s="1" t="n">
        <v>40</v>
      </c>
      <c r="D109" s="1" t="n">
        <v>1732844</v>
      </c>
      <c r="E109" s="1" t="n">
        <v>0.11459</v>
      </c>
      <c r="G109" s="1" t="n">
        <v>0.030382633</v>
      </c>
      <c r="H109" s="1" t="n">
        <v>0.029791832</v>
      </c>
      <c r="I109" s="1" t="n">
        <v>0.029685497</v>
      </c>
      <c r="J109" s="1" t="n">
        <v>0.029725075</v>
      </c>
      <c r="K109" s="1" t="n">
        <v>0.030875444</v>
      </c>
      <c r="L109" s="1" t="n">
        <v>0.030847073</v>
      </c>
      <c r="M109" s="1" t="n">
        <v>0.031006336</v>
      </c>
      <c r="N109" s="1" t="n">
        <v>0.029567003</v>
      </c>
      <c r="O109" s="1" t="n">
        <v>0.029910088</v>
      </c>
      <c r="P109" s="1" t="n">
        <v>0.030652046</v>
      </c>
      <c r="R109" s="1" t="n">
        <f aca="false">PERCENTILE(G109:P109,0.9)</f>
        <v>0.0308885332</v>
      </c>
      <c r="S109" s="5" t="n">
        <f aca="false">spmv_1!R$6/R109</f>
        <v>5.44650694517278</v>
      </c>
      <c r="T109" s="6" t="n">
        <f aca="false">S109/64</f>
        <v>0.0851016710183247</v>
      </c>
    </row>
    <row r="110" customFormat="false" ht="15" hidden="false" customHeight="false" outlineLevel="0" collapsed="false">
      <c r="A110" s="1" t="s">
        <v>16</v>
      </c>
      <c r="B110" s="1" t="n">
        <v>41</v>
      </c>
      <c r="D110" s="1" t="n">
        <v>1732844</v>
      </c>
      <c r="E110" s="1" t="n">
        <v>0.137461</v>
      </c>
      <c r="G110" s="1" t="n">
        <v>0.025378227</v>
      </c>
      <c r="H110" s="1" t="n">
        <v>0.024715185</v>
      </c>
      <c r="I110" s="1" t="n">
        <v>0.024448395</v>
      </c>
      <c r="J110" s="1" t="n">
        <v>0.024504185</v>
      </c>
      <c r="K110" s="1" t="n">
        <v>0.025901318</v>
      </c>
      <c r="L110" s="1" t="n">
        <v>0.026391268</v>
      </c>
      <c r="M110" s="1" t="n">
        <v>0.026214361</v>
      </c>
      <c r="N110" s="1" t="n">
        <v>0.024441957</v>
      </c>
      <c r="O110" s="1" t="n">
        <v>0.024659634</v>
      </c>
      <c r="P110" s="1" t="n">
        <v>0.025466681</v>
      </c>
      <c r="R110" s="1" t="n">
        <f aca="false">PERCENTILE(G110:P110,0.9)</f>
        <v>0.0262320517</v>
      </c>
      <c r="S110" s="5" t="n">
        <f aca="false">spmv_1!R$6/R110</f>
        <v>6.41332262241615</v>
      </c>
      <c r="T110" s="6" t="n">
        <f aca="false">S110/64</f>
        <v>0.100208165975252</v>
      </c>
    </row>
    <row r="111" customFormat="false" ht="15" hidden="false" customHeight="false" outlineLevel="0" collapsed="false">
      <c r="A111" s="1" t="s">
        <v>16</v>
      </c>
      <c r="B111" s="1" t="n">
        <v>42</v>
      </c>
      <c r="D111" s="1" t="n">
        <v>1732816</v>
      </c>
      <c r="E111" s="1" t="n">
        <v>0.137331</v>
      </c>
      <c r="G111" s="1" t="n">
        <v>0.025082827</v>
      </c>
      <c r="H111" s="1" t="n">
        <v>0.024730921</v>
      </c>
      <c r="I111" s="1" t="n">
        <v>0.024520874</v>
      </c>
      <c r="J111" s="1" t="n">
        <v>0.024615765</v>
      </c>
      <c r="K111" s="1" t="n">
        <v>0.026025057</v>
      </c>
      <c r="L111" s="1" t="n">
        <v>0.026467323</v>
      </c>
      <c r="M111" s="1" t="n">
        <v>0.026164532</v>
      </c>
      <c r="N111" s="1" t="n">
        <v>0.02449894</v>
      </c>
      <c r="O111" s="1" t="n">
        <v>0.024788618</v>
      </c>
      <c r="P111" s="1" t="n">
        <v>0.025461912</v>
      </c>
      <c r="R111" s="1" t="n">
        <f aca="false">PERCENTILE(G111:P111,0.9)</f>
        <v>0.0261948111</v>
      </c>
      <c r="S111" s="5" t="n">
        <f aca="false">spmv_1!R$6/R111</f>
        <v>6.42244030536261</v>
      </c>
      <c r="T111" s="6" t="n">
        <f aca="false">S111/64</f>
        <v>0.100350629771291</v>
      </c>
    </row>
    <row r="112" customFormat="false" ht="15" hidden="false" customHeight="false" outlineLevel="0" collapsed="false">
      <c r="A112" s="1" t="s">
        <v>16</v>
      </c>
      <c r="B112" s="1" t="n">
        <v>43</v>
      </c>
      <c r="D112" s="1" t="n">
        <v>1732816</v>
      </c>
      <c r="E112" s="1" t="n">
        <v>0.131772</v>
      </c>
      <c r="G112" s="1" t="n">
        <v>0.02644515</v>
      </c>
      <c r="H112" s="1" t="n">
        <v>0.025848627</v>
      </c>
      <c r="I112" s="1" t="n">
        <v>0.025671005</v>
      </c>
      <c r="J112" s="1" t="n">
        <v>0.025716782</v>
      </c>
      <c r="K112" s="1" t="n">
        <v>0.026928902</v>
      </c>
      <c r="L112" s="1" t="n">
        <v>0.027261972</v>
      </c>
      <c r="M112" s="1" t="n">
        <v>0.027094603</v>
      </c>
      <c r="N112" s="1" t="n">
        <v>0.025630713</v>
      </c>
      <c r="O112" s="1" t="n">
        <v>0.025825977</v>
      </c>
      <c r="P112" s="1" t="n">
        <v>0.026578426</v>
      </c>
      <c r="R112" s="1" t="n">
        <f aca="false">PERCENTILE(G112:P112,0.9)</f>
        <v>0.0271113399</v>
      </c>
      <c r="S112" s="5" t="n">
        <f aca="false">spmv_1!R$6/R112</f>
        <v>6.2053226148369</v>
      </c>
      <c r="T112" s="6" t="n">
        <f aca="false">S112/64</f>
        <v>0.0969581658568266</v>
      </c>
    </row>
    <row r="113" customFormat="false" ht="15" hidden="false" customHeight="false" outlineLevel="0" collapsed="false">
      <c r="A113" s="1" t="s">
        <v>16</v>
      </c>
      <c r="B113" s="1" t="n">
        <v>44</v>
      </c>
      <c r="D113" s="1" t="n">
        <v>1732896</v>
      </c>
      <c r="E113" s="1" t="n">
        <v>0.111021</v>
      </c>
      <c r="G113" s="1" t="n">
        <v>0.029644489</v>
      </c>
      <c r="H113" s="1" t="n">
        <v>0.030919313</v>
      </c>
      <c r="I113" s="1" t="n">
        <v>0.030836582</v>
      </c>
      <c r="J113" s="1" t="n">
        <v>0.030862093</v>
      </c>
      <c r="K113" s="1" t="n">
        <v>0.031933784</v>
      </c>
      <c r="L113" s="1" t="n">
        <v>0.032180071</v>
      </c>
      <c r="M113" s="1" t="n">
        <v>0.032086134</v>
      </c>
      <c r="N113" s="1" t="n">
        <v>0.030793428</v>
      </c>
      <c r="O113" s="1" t="n">
        <v>0.030975342</v>
      </c>
      <c r="P113" s="1" t="n">
        <v>0.031942844</v>
      </c>
      <c r="R113" s="1" t="n">
        <f aca="false">PERCENTILE(G113:P113,0.9)</f>
        <v>0.0320955277</v>
      </c>
      <c r="S113" s="5" t="n">
        <f aca="false">spmv_1!R$6/R113</f>
        <v>5.24168389354757</v>
      </c>
      <c r="T113" s="6" t="n">
        <f aca="false">S113/64</f>
        <v>0.0819013108366808</v>
      </c>
    </row>
    <row r="114" customFormat="false" ht="15" hidden="false" customHeight="false" outlineLevel="0" collapsed="false">
      <c r="A114" s="1" t="s">
        <v>16</v>
      </c>
      <c r="B114" s="1" t="n">
        <v>45</v>
      </c>
      <c r="D114" s="1" t="n">
        <v>1732896</v>
      </c>
      <c r="E114" s="1" t="n">
        <v>0.111051</v>
      </c>
      <c r="G114" s="1" t="n">
        <v>0.029159784</v>
      </c>
      <c r="H114" s="1" t="n">
        <v>0.030940056</v>
      </c>
      <c r="I114" s="1" t="n">
        <v>0.030882597</v>
      </c>
      <c r="J114" s="1" t="n">
        <v>0.030938864</v>
      </c>
      <c r="K114" s="1" t="n">
        <v>0.031882286</v>
      </c>
      <c r="L114" s="1" t="n">
        <v>0.032262325</v>
      </c>
      <c r="M114" s="1" t="n">
        <v>0.032157183</v>
      </c>
      <c r="N114" s="1" t="n">
        <v>0.030848026</v>
      </c>
      <c r="O114" s="1" t="n">
        <v>0.031024218</v>
      </c>
      <c r="P114" s="1" t="n">
        <v>0.031995296</v>
      </c>
      <c r="R114" s="1" t="n">
        <f aca="false">PERCENTILE(G114:P114,0.9)</f>
        <v>0.0321676972</v>
      </c>
      <c r="S114" s="5" t="n">
        <f aca="false">spmv_1!R$6/R114</f>
        <v>5.22992396857056</v>
      </c>
      <c r="T114" s="6" t="n">
        <f aca="false">S114/64</f>
        <v>0.081717562008915</v>
      </c>
    </row>
    <row r="115" customFormat="false" ht="15" hidden="false" customHeight="false" outlineLevel="0" collapsed="false">
      <c r="A115" s="1" t="s">
        <v>16</v>
      </c>
      <c r="B115" s="1" t="n">
        <v>46</v>
      </c>
      <c r="D115" s="1" t="n">
        <v>1732782</v>
      </c>
      <c r="E115" s="1" t="n">
        <v>0.12847</v>
      </c>
      <c r="G115" s="1" t="n">
        <v>0.025995731</v>
      </c>
      <c r="H115" s="1" t="n">
        <v>0.026649714</v>
      </c>
      <c r="I115" s="1" t="n">
        <v>0.026448727</v>
      </c>
      <c r="J115" s="1" t="n">
        <v>0.026455164</v>
      </c>
      <c r="K115" s="1" t="n">
        <v>0.027635098</v>
      </c>
      <c r="L115" s="1" t="n">
        <v>0.028115988</v>
      </c>
      <c r="M115" s="1" t="n">
        <v>0.027815819</v>
      </c>
      <c r="N115" s="1" t="n">
        <v>0.02644825</v>
      </c>
      <c r="O115" s="1" t="n">
        <v>0.026618004</v>
      </c>
      <c r="P115" s="1" t="n">
        <v>0.027574778</v>
      </c>
      <c r="R115" s="1" t="n">
        <f aca="false">PERCENTILE(G115:P115,0.9)</f>
        <v>0.0278458359</v>
      </c>
      <c r="S115" s="5" t="n">
        <f aca="false">spmv_1!R$6/R115</f>
        <v>6.04164339702943</v>
      </c>
      <c r="T115" s="6" t="n">
        <f aca="false">S115/64</f>
        <v>0.0944006780785848</v>
      </c>
    </row>
    <row r="116" customFormat="false" ht="15" hidden="false" customHeight="false" outlineLevel="0" collapsed="false">
      <c r="A116" s="1" t="s">
        <v>16</v>
      </c>
      <c r="B116" s="1" t="n">
        <v>47</v>
      </c>
      <c r="D116" s="1" t="n">
        <v>1732782</v>
      </c>
      <c r="E116" s="1" t="n">
        <v>0.130093</v>
      </c>
      <c r="G116" s="1" t="n">
        <v>0.024726868</v>
      </c>
      <c r="H116" s="1" t="n">
        <v>0.026298046</v>
      </c>
      <c r="I116" s="1" t="n">
        <v>0.026134014</v>
      </c>
      <c r="J116" s="1" t="n">
        <v>0.026108265</v>
      </c>
      <c r="K116" s="1" t="n">
        <v>0.027481794</v>
      </c>
      <c r="L116" s="1" t="n">
        <v>0.028267145</v>
      </c>
      <c r="M116" s="1" t="n">
        <v>0.027719259</v>
      </c>
      <c r="N116" s="1" t="n">
        <v>0.026129007</v>
      </c>
      <c r="O116" s="1" t="n">
        <v>0.026307106</v>
      </c>
      <c r="P116" s="1" t="n">
        <v>0.027220011</v>
      </c>
      <c r="R116" s="1" t="n">
        <f aca="false">PERCENTILE(G116:P116,0.9)</f>
        <v>0.0277740476</v>
      </c>
      <c r="S116" s="5" t="n">
        <f aca="false">spmv_1!R$6/R116</f>
        <v>6.05725938915724</v>
      </c>
      <c r="T116" s="6" t="n">
        <f aca="false">S116/64</f>
        <v>0.0946446779555818</v>
      </c>
    </row>
    <row r="117" customFormat="false" ht="15" hidden="false" customHeight="false" outlineLevel="0" collapsed="false">
      <c r="A117" s="1" t="s">
        <v>16</v>
      </c>
      <c r="B117" s="1" t="n">
        <v>48</v>
      </c>
      <c r="D117" s="1" t="n">
        <v>1732730</v>
      </c>
      <c r="E117" s="1" t="n">
        <v>0.127931</v>
      </c>
      <c r="G117" s="1" t="n">
        <v>0.02554965</v>
      </c>
      <c r="H117" s="1" t="n">
        <v>0.026762724</v>
      </c>
      <c r="I117" s="1" t="n">
        <v>0.026617765</v>
      </c>
      <c r="J117" s="1" t="n">
        <v>0.026467085</v>
      </c>
      <c r="K117" s="1" t="n">
        <v>0.02796483</v>
      </c>
      <c r="L117" s="1" t="n">
        <v>0.028824091</v>
      </c>
      <c r="M117" s="1" t="n">
        <v>0.028171301</v>
      </c>
      <c r="N117" s="1" t="n">
        <v>0.026481628</v>
      </c>
      <c r="O117" s="1" t="n">
        <v>0.026509762</v>
      </c>
      <c r="P117" s="1" t="n">
        <v>0.027535915</v>
      </c>
      <c r="R117" s="1" t="n">
        <f aca="false">PERCENTILE(G117:P117,0.9)</f>
        <v>0.02823658</v>
      </c>
      <c r="S117" s="5" t="n">
        <f aca="false">spmv_1!R$6/R117</f>
        <v>5.95803778644581</v>
      </c>
      <c r="T117" s="6" t="n">
        <f aca="false">S117/64</f>
        <v>0.0930943404132158</v>
      </c>
    </row>
    <row r="118" customFormat="false" ht="15" hidden="false" customHeight="false" outlineLevel="0" collapsed="false">
      <c r="A118" s="1" t="s">
        <v>16</v>
      </c>
      <c r="B118" s="1" t="n">
        <v>49</v>
      </c>
      <c r="D118" s="1" t="n">
        <v>1732730</v>
      </c>
      <c r="E118" s="1" t="n">
        <v>0.120856</v>
      </c>
      <c r="G118" s="1" t="n">
        <v>0.027018547</v>
      </c>
      <c r="H118" s="1" t="n">
        <v>0.028566837</v>
      </c>
      <c r="I118" s="1" t="n">
        <v>0.028488398</v>
      </c>
      <c r="J118" s="1" t="n">
        <v>0.028303623</v>
      </c>
      <c r="K118" s="1" t="n">
        <v>0.02965045</v>
      </c>
      <c r="L118" s="1" t="n">
        <v>0.029802799</v>
      </c>
      <c r="M118" s="1" t="n">
        <v>0.030003548</v>
      </c>
      <c r="N118" s="1" t="n">
        <v>0.028237104</v>
      </c>
      <c r="O118" s="1" t="n">
        <v>0.028238535</v>
      </c>
      <c r="P118" s="1" t="n">
        <v>0.028433561</v>
      </c>
      <c r="R118" s="1" t="n">
        <f aca="false">PERCENTILE(G118:P118,0.9)</f>
        <v>0.0298228739</v>
      </c>
      <c r="S118" s="5" t="n">
        <f aca="false">spmv_1!R$6/R118</f>
        <v>5.64112671247287</v>
      </c>
      <c r="T118" s="6" t="n">
        <f aca="false">S118/64</f>
        <v>0.0881426048823886</v>
      </c>
    </row>
    <row r="119" customFormat="false" ht="15" hidden="false" customHeight="false" outlineLevel="0" collapsed="false">
      <c r="A119" s="1" t="s">
        <v>16</v>
      </c>
      <c r="B119" s="1" t="n">
        <v>50</v>
      </c>
      <c r="D119" s="1" t="n">
        <v>1732352</v>
      </c>
      <c r="E119" s="1" t="n">
        <v>0.13083</v>
      </c>
      <c r="G119" s="1" t="n">
        <v>0.025090694</v>
      </c>
      <c r="H119" s="1" t="n">
        <v>0.026148558</v>
      </c>
      <c r="I119" s="1" t="n">
        <v>0.02598238</v>
      </c>
      <c r="J119" s="1" t="n">
        <v>0.025852203</v>
      </c>
      <c r="K119" s="1" t="n">
        <v>0.027348042</v>
      </c>
      <c r="L119" s="1" t="n">
        <v>0.028082371</v>
      </c>
      <c r="M119" s="1" t="n">
        <v>0.027594566</v>
      </c>
      <c r="N119" s="1" t="n">
        <v>0.02584219</v>
      </c>
      <c r="O119" s="1" t="n">
        <v>0.025961399</v>
      </c>
      <c r="P119" s="1" t="n">
        <v>0.026923418</v>
      </c>
      <c r="R119" s="1" t="n">
        <f aca="false">PERCENTILE(G119:P119,0.9)</f>
        <v>0.0276433465</v>
      </c>
      <c r="S119" s="5" t="n">
        <f aca="false">spmv_1!R$6/R119</f>
        <v>6.0858988473049</v>
      </c>
      <c r="T119" s="6" t="n">
        <f aca="false">S119/64</f>
        <v>0.0950921694891391</v>
      </c>
    </row>
    <row r="120" customFormat="false" ht="15" hidden="false" customHeight="false" outlineLevel="0" collapsed="false">
      <c r="A120" s="1" t="s">
        <v>16</v>
      </c>
      <c r="B120" s="1" t="n">
        <v>51</v>
      </c>
      <c r="D120" s="1" t="n">
        <v>1732352</v>
      </c>
      <c r="E120" s="1" t="n">
        <v>0.122514</v>
      </c>
      <c r="G120" s="1" t="n">
        <v>0.026802778</v>
      </c>
      <c r="H120" s="1" t="n">
        <v>0.028281927</v>
      </c>
      <c r="I120" s="1" t="n">
        <v>0.028087616</v>
      </c>
      <c r="J120" s="1" t="n">
        <v>0.027927876</v>
      </c>
      <c r="K120" s="1" t="n">
        <v>0.0291574</v>
      </c>
      <c r="L120" s="1" t="n">
        <v>0.029112816</v>
      </c>
      <c r="M120" s="1" t="n">
        <v>0.029562235</v>
      </c>
      <c r="N120" s="1" t="n">
        <v>0.027893066</v>
      </c>
      <c r="O120" s="1" t="n">
        <v>0.02784276</v>
      </c>
      <c r="P120" s="1" t="n">
        <v>0.028131485</v>
      </c>
      <c r="R120" s="1" t="n">
        <f aca="false">PERCENTILE(G120:P120,0.9)</f>
        <v>0.0291978835</v>
      </c>
      <c r="S120" s="5" t="n">
        <f aca="false">spmv_1!R$6/R120</f>
        <v>5.76187690453659</v>
      </c>
      <c r="T120" s="6" t="n">
        <f aca="false">S120/64</f>
        <v>0.0900293266333842</v>
      </c>
    </row>
    <row r="121" customFormat="false" ht="15" hidden="false" customHeight="false" outlineLevel="0" collapsed="false">
      <c r="A121" s="1" t="s">
        <v>16</v>
      </c>
      <c r="B121" s="1" t="n">
        <v>52</v>
      </c>
      <c r="D121" s="1" t="n">
        <v>1732200</v>
      </c>
      <c r="E121" s="1" t="n">
        <v>0.124832</v>
      </c>
      <c r="G121" s="1" t="n">
        <v>0.026174545</v>
      </c>
      <c r="H121" s="1" t="n">
        <v>0.027721882</v>
      </c>
      <c r="I121" s="1" t="n">
        <v>0.027589083</v>
      </c>
      <c r="J121" s="1" t="n">
        <v>0.027548552</v>
      </c>
      <c r="K121" s="1" t="n">
        <v>0.028647184</v>
      </c>
      <c r="L121" s="1" t="n">
        <v>0.028172493</v>
      </c>
      <c r="M121" s="1" t="n">
        <v>0.028926134</v>
      </c>
      <c r="N121" s="1" t="n">
        <v>0.0275774</v>
      </c>
      <c r="O121" s="1" t="n">
        <v>0.02749753</v>
      </c>
      <c r="P121" s="1" t="n">
        <v>0.027669191</v>
      </c>
      <c r="R121" s="1" t="n">
        <f aca="false">PERCENTILE(G121:P121,0.9)</f>
        <v>0.028675079</v>
      </c>
      <c r="S121" s="5" t="n">
        <f aca="false">spmv_1!R$6/R121</f>
        <v>5.8669275366251</v>
      </c>
      <c r="T121" s="6" t="n">
        <f aca="false">S121/64</f>
        <v>0.0916707427597671</v>
      </c>
    </row>
    <row r="122" customFormat="false" ht="15" hidden="false" customHeight="false" outlineLevel="0" collapsed="false">
      <c r="A122" s="1" t="s">
        <v>16</v>
      </c>
      <c r="B122" s="1" t="n">
        <v>53</v>
      </c>
      <c r="D122" s="1" t="n">
        <v>1732200</v>
      </c>
      <c r="E122" s="1" t="n">
        <v>0.125836</v>
      </c>
      <c r="G122" s="1" t="n">
        <v>0.026172876</v>
      </c>
      <c r="H122" s="1" t="n">
        <v>0.027287245</v>
      </c>
      <c r="I122" s="1" t="n">
        <v>0.027134895</v>
      </c>
      <c r="J122" s="1" t="n">
        <v>0.027045012</v>
      </c>
      <c r="K122" s="1" t="n">
        <v>0.028152943</v>
      </c>
      <c r="L122" s="1" t="n">
        <v>0.029470444</v>
      </c>
      <c r="M122" s="1" t="n">
        <v>0.028445005</v>
      </c>
      <c r="N122" s="1" t="n">
        <v>0.027079105</v>
      </c>
      <c r="O122" s="1" t="n">
        <v>0.027099609</v>
      </c>
      <c r="P122" s="1" t="n">
        <v>0.027423143</v>
      </c>
      <c r="R122" s="1" t="n">
        <f aca="false">PERCENTILE(G122:P122,0.9)</f>
        <v>0.0285475489</v>
      </c>
      <c r="S122" s="5" t="n">
        <f aca="false">spmv_1!R$6/R122</f>
        <v>5.89313678695547</v>
      </c>
      <c r="T122" s="6" t="n">
        <f aca="false">S122/64</f>
        <v>0.0920802622961792</v>
      </c>
    </row>
    <row r="123" customFormat="false" ht="15" hidden="false" customHeight="false" outlineLevel="0" collapsed="false">
      <c r="A123" s="1" t="s">
        <v>16</v>
      </c>
      <c r="B123" s="1" t="n">
        <v>54</v>
      </c>
      <c r="D123" s="1" t="n">
        <v>1732682</v>
      </c>
      <c r="E123" s="1" t="n">
        <v>0.137585</v>
      </c>
      <c r="G123" s="1" t="n">
        <v>0.024171591</v>
      </c>
      <c r="H123" s="1" t="n">
        <v>0.024584532</v>
      </c>
      <c r="I123" s="1" t="n">
        <v>0.024354219</v>
      </c>
      <c r="J123" s="1" t="n">
        <v>0.02436161</v>
      </c>
      <c r="K123" s="1" t="n">
        <v>0.026189089</v>
      </c>
      <c r="L123" s="1" t="n">
        <v>0.027929306</v>
      </c>
      <c r="M123" s="1" t="n">
        <v>0.026158094</v>
      </c>
      <c r="N123" s="1" t="n">
        <v>0.02428627</v>
      </c>
      <c r="O123" s="1" t="n">
        <v>0.02452445</v>
      </c>
      <c r="P123" s="1" t="n">
        <v>0.025310755</v>
      </c>
      <c r="R123" s="1" t="n">
        <f aca="false">PERCENTILE(G123:P123,0.9)</f>
        <v>0.0263631107</v>
      </c>
      <c r="S123" s="5" t="n">
        <f aca="false">spmv_1!R$6/R123</f>
        <v>6.38144005517528</v>
      </c>
      <c r="T123" s="6" t="n">
        <f aca="false">S123/64</f>
        <v>0.0997100008621138</v>
      </c>
    </row>
    <row r="124" customFormat="false" ht="15" hidden="false" customHeight="false" outlineLevel="0" collapsed="false">
      <c r="A124" s="1" t="s">
        <v>16</v>
      </c>
      <c r="B124" s="1" t="n">
        <v>55</v>
      </c>
      <c r="D124" s="1" t="n">
        <v>1732682</v>
      </c>
      <c r="E124" s="1" t="n">
        <v>0.125226</v>
      </c>
      <c r="G124" s="1" t="n">
        <v>0.027056456</v>
      </c>
      <c r="H124" s="1" t="n">
        <v>0.027120352</v>
      </c>
      <c r="I124" s="1" t="n">
        <v>0.027075291</v>
      </c>
      <c r="J124" s="1" t="n">
        <v>0.026711226</v>
      </c>
      <c r="K124" s="1" t="n">
        <v>0.029197454</v>
      </c>
      <c r="L124" s="1" t="n">
        <v>0.03041625</v>
      </c>
      <c r="M124" s="1" t="n">
        <v>0.029278994</v>
      </c>
      <c r="N124" s="1" t="n">
        <v>0.026463747</v>
      </c>
      <c r="O124" s="1" t="n">
        <v>0.026462555</v>
      </c>
      <c r="P124" s="1" t="n">
        <v>0.026946545</v>
      </c>
      <c r="R124" s="1" t="n">
        <f aca="false">PERCENTILE(G124:P124,0.9)</f>
        <v>0.0293927196</v>
      </c>
      <c r="S124" s="5" t="n">
        <f aca="false">spmv_1!R$6/R124</f>
        <v>5.72368303748252</v>
      </c>
      <c r="T124" s="6" t="n">
        <f aca="false">S124/64</f>
        <v>0.0894325474606644</v>
      </c>
    </row>
    <row r="125" customFormat="false" ht="15" hidden="false" customHeight="false" outlineLevel="0" collapsed="false">
      <c r="A125" s="1" t="s">
        <v>16</v>
      </c>
      <c r="B125" s="1" t="n">
        <v>56</v>
      </c>
      <c r="D125" s="1" t="n">
        <v>1732798</v>
      </c>
      <c r="E125" s="1" t="n">
        <v>0.135231</v>
      </c>
      <c r="G125" s="1" t="n">
        <v>0.025264263</v>
      </c>
      <c r="H125" s="1" t="n">
        <v>0.02493453</v>
      </c>
      <c r="I125" s="1" t="n">
        <v>0.024793148</v>
      </c>
      <c r="J125" s="1" t="n">
        <v>0.024561405</v>
      </c>
      <c r="K125" s="1" t="n">
        <v>0.027196407</v>
      </c>
      <c r="L125" s="1" t="n">
        <v>0.029114008</v>
      </c>
      <c r="M125" s="1" t="n">
        <v>0.027046204</v>
      </c>
      <c r="N125" s="1" t="n">
        <v>0.024194717</v>
      </c>
      <c r="O125" s="1" t="n">
        <v>0.024363279</v>
      </c>
      <c r="P125" s="1" t="n">
        <v>0.0248034</v>
      </c>
      <c r="R125" s="1" t="n">
        <f aca="false">PERCENTILE(G125:P125,0.9)</f>
        <v>0.0273881671</v>
      </c>
      <c r="S125" s="5" t="n">
        <f aca="false">spmv_1!R$6/R125</f>
        <v>6.14260202173223</v>
      </c>
      <c r="T125" s="6" t="n">
        <f aca="false">S125/64</f>
        <v>0.095978156589566</v>
      </c>
    </row>
    <row r="126" customFormat="false" ht="15" hidden="false" customHeight="false" outlineLevel="0" collapsed="false">
      <c r="A126" s="1" t="s">
        <v>16</v>
      </c>
      <c r="B126" s="1" t="n">
        <v>57</v>
      </c>
      <c r="D126" s="1" t="n">
        <v>1732798</v>
      </c>
      <c r="E126" s="1" t="n">
        <v>0.122191</v>
      </c>
      <c r="G126" s="1" t="n">
        <v>0.027648926</v>
      </c>
      <c r="H126" s="1" t="n">
        <v>0.028006792</v>
      </c>
      <c r="I126" s="1" t="n">
        <v>0.027844667</v>
      </c>
      <c r="J126" s="1" t="n">
        <v>0.027734995</v>
      </c>
      <c r="K126" s="1" t="n">
        <v>0.029917479</v>
      </c>
      <c r="L126" s="1" t="n">
        <v>0.031361341</v>
      </c>
      <c r="M126" s="1" t="n">
        <v>0.029980183</v>
      </c>
      <c r="N126" s="1" t="n">
        <v>0.027409315</v>
      </c>
      <c r="O126" s="1" t="n">
        <v>0.027403593</v>
      </c>
      <c r="P126" s="1" t="n">
        <v>0.026314259</v>
      </c>
      <c r="R126" s="1" t="n">
        <f aca="false">PERCENTILE(G126:P126,0.9)</f>
        <v>0.0301182988</v>
      </c>
      <c r="S126" s="5" t="n">
        <f aca="false">spmv_1!R$6/R126</f>
        <v>5.58579392937027</v>
      </c>
      <c r="T126" s="6" t="n">
        <f aca="false">S126/64</f>
        <v>0.0872780301464105</v>
      </c>
    </row>
    <row r="127" customFormat="false" ht="15" hidden="false" customHeight="false" outlineLevel="0" collapsed="false">
      <c r="A127" s="1" t="s">
        <v>16</v>
      </c>
      <c r="B127" s="1" t="n">
        <v>58</v>
      </c>
      <c r="D127" s="1" t="n">
        <v>1732468</v>
      </c>
      <c r="E127" s="1" t="n">
        <v>0.12225</v>
      </c>
      <c r="G127" s="1" t="n">
        <v>0.027696609</v>
      </c>
      <c r="H127" s="1" t="n">
        <v>0.028046131</v>
      </c>
      <c r="I127" s="1" t="n">
        <v>0.027934551</v>
      </c>
      <c r="J127" s="1" t="n">
        <v>0.027704477</v>
      </c>
      <c r="K127" s="1" t="n">
        <v>0.029911518</v>
      </c>
      <c r="L127" s="1" t="n">
        <v>0.031230688</v>
      </c>
      <c r="M127" s="1" t="n">
        <v>0.029978752</v>
      </c>
      <c r="N127" s="1" t="n">
        <v>0.02733779</v>
      </c>
      <c r="O127" s="1" t="n">
        <v>0.027418375</v>
      </c>
      <c r="P127" s="1" t="n">
        <v>0.026171684</v>
      </c>
      <c r="R127" s="1" t="n">
        <f aca="false">PERCENTILE(G127:P127,0.9)</f>
        <v>0.0301039456</v>
      </c>
      <c r="S127" s="5" t="n">
        <f aca="false">spmv_1!R$6/R127</f>
        <v>5.58845716888354</v>
      </c>
      <c r="T127" s="6" t="n">
        <f aca="false">S127/64</f>
        <v>0.0873196432638053</v>
      </c>
    </row>
    <row r="128" customFormat="false" ht="15" hidden="false" customHeight="false" outlineLevel="0" collapsed="false">
      <c r="A128" s="1" t="s">
        <v>16</v>
      </c>
      <c r="B128" s="1" t="n">
        <v>59</v>
      </c>
      <c r="D128" s="1" t="n">
        <v>1732468</v>
      </c>
      <c r="E128" s="1" t="n">
        <v>0.119716</v>
      </c>
      <c r="G128" s="1" t="n">
        <v>0.028182745</v>
      </c>
      <c r="H128" s="1" t="n">
        <v>0.02863431</v>
      </c>
      <c r="I128" s="1" t="n">
        <v>0.02840209</v>
      </c>
      <c r="J128" s="1" t="n">
        <v>0.028273821</v>
      </c>
      <c r="K128" s="1" t="n">
        <v>0.030369282</v>
      </c>
      <c r="L128" s="1" t="n">
        <v>0.031924725</v>
      </c>
      <c r="M128" s="1" t="n">
        <v>0.030429125</v>
      </c>
      <c r="N128" s="1" t="n">
        <v>0.027975559</v>
      </c>
      <c r="O128" s="1" t="n">
        <v>0.028034687</v>
      </c>
      <c r="P128" s="1" t="n">
        <v>0.027204275</v>
      </c>
      <c r="R128" s="1" t="n">
        <f aca="false">PERCENTILE(G128:P128,0.9)</f>
        <v>0.030578685</v>
      </c>
      <c r="S128" s="5" t="n">
        <f aca="false">spmv_1!R$6/R128</f>
        <v>5.50169539991664</v>
      </c>
      <c r="T128" s="6" t="n">
        <f aca="false">S128/64</f>
        <v>0.0859639906236975</v>
      </c>
    </row>
    <row r="129" customFormat="false" ht="15" hidden="false" customHeight="false" outlineLevel="0" collapsed="false">
      <c r="A129" s="1" t="s">
        <v>16</v>
      </c>
      <c r="B129" s="1" t="n">
        <v>60</v>
      </c>
      <c r="D129" s="1" t="n">
        <v>1732176</v>
      </c>
      <c r="E129" s="1" t="n">
        <v>0.119678</v>
      </c>
      <c r="G129" s="1" t="n">
        <v>0.028234243</v>
      </c>
      <c r="H129" s="1" t="n">
        <v>0.028585434</v>
      </c>
      <c r="I129" s="1" t="n">
        <v>0.028428316</v>
      </c>
      <c r="J129" s="1" t="n">
        <v>0.028275251</v>
      </c>
      <c r="K129" s="1" t="n">
        <v>0.030315876</v>
      </c>
      <c r="L129" s="1" t="n">
        <v>0.031877279</v>
      </c>
      <c r="M129" s="1" t="n">
        <v>0.03047061</v>
      </c>
      <c r="N129" s="1" t="n">
        <v>0.027897596</v>
      </c>
      <c r="O129" s="1" t="n">
        <v>0.028038979</v>
      </c>
      <c r="P129" s="1" t="n">
        <v>0.02734828</v>
      </c>
      <c r="R129" s="1" t="n">
        <f aca="false">PERCENTILE(G129:P129,0.9)</f>
        <v>0.0306112769</v>
      </c>
      <c r="S129" s="5" t="n">
        <f aca="false">spmv_1!R$6/R129</f>
        <v>5.49583773161714</v>
      </c>
      <c r="T129" s="6" t="n">
        <f aca="false">S129/64</f>
        <v>0.0858724645565177</v>
      </c>
    </row>
    <row r="130" customFormat="false" ht="15" hidden="false" customHeight="false" outlineLevel="0" collapsed="false">
      <c r="A130" s="1" t="s">
        <v>16</v>
      </c>
      <c r="B130" s="1" t="n">
        <v>61</v>
      </c>
      <c r="D130" s="1" t="n">
        <v>1732176</v>
      </c>
      <c r="E130" s="1" t="n">
        <v>0.117519</v>
      </c>
      <c r="G130" s="1" t="n">
        <v>0.028757811</v>
      </c>
      <c r="H130" s="1" t="n">
        <v>0.028915882</v>
      </c>
      <c r="I130" s="1" t="n">
        <v>0.028904915</v>
      </c>
      <c r="J130" s="1" t="n">
        <v>0.028672457</v>
      </c>
      <c r="K130" s="1" t="n">
        <v>0.030838251</v>
      </c>
      <c r="L130" s="1" t="n">
        <v>0.03280139</v>
      </c>
      <c r="M130" s="1" t="n">
        <v>0.030840397</v>
      </c>
      <c r="N130" s="1" t="n">
        <v>0.028372526</v>
      </c>
      <c r="O130" s="1" t="n">
        <v>0.028490782</v>
      </c>
      <c r="P130" s="1" t="n">
        <v>0.02819705</v>
      </c>
      <c r="R130" s="1" t="n">
        <f aca="false">PERCENTILE(G130:P130,0.9)</f>
        <v>0.0310364963</v>
      </c>
      <c r="S130" s="5" t="n">
        <f aca="false">spmv_1!R$6/R130</f>
        <v>5.42054131928545</v>
      </c>
      <c r="T130" s="6" t="n">
        <f aca="false">S130/64</f>
        <v>0.0846959581138352</v>
      </c>
    </row>
    <row r="131" customFormat="false" ht="15" hidden="false" customHeight="false" outlineLevel="0" collapsed="false">
      <c r="A131" s="1" t="s">
        <v>16</v>
      </c>
      <c r="B131" s="1" t="n">
        <v>62</v>
      </c>
      <c r="D131" s="1" t="n">
        <v>1731528</v>
      </c>
      <c r="E131" s="1" t="n">
        <v>0.125478</v>
      </c>
      <c r="G131" s="1" t="n">
        <v>0.027166128</v>
      </c>
      <c r="H131" s="1" t="n">
        <v>0.026875973</v>
      </c>
      <c r="I131" s="1" t="n">
        <v>0.026717663</v>
      </c>
      <c r="J131" s="1" t="n">
        <v>0.026644945</v>
      </c>
      <c r="K131" s="1" t="n">
        <v>0.029080391</v>
      </c>
      <c r="L131" s="1" t="n">
        <v>0.031461954</v>
      </c>
      <c r="M131" s="1" t="n">
        <v>0.029009581</v>
      </c>
      <c r="N131" s="1" t="n">
        <v>0.026227236</v>
      </c>
      <c r="O131" s="1" t="n">
        <v>0.026593447</v>
      </c>
      <c r="P131" s="1" t="n">
        <v>0.026212692</v>
      </c>
      <c r="R131" s="1" t="n">
        <f aca="false">PERCENTILE(G131:P131,0.9)</f>
        <v>0.0293185473</v>
      </c>
      <c r="S131" s="5" t="n">
        <f aca="false">spmv_1!R$6/R131</f>
        <v>5.7381632479451</v>
      </c>
      <c r="T131" s="6" t="n">
        <f aca="false">S131/64</f>
        <v>0.0896588007491422</v>
      </c>
    </row>
    <row r="132" customFormat="false" ht="15" hidden="false" customHeight="false" outlineLevel="0" collapsed="false">
      <c r="A132" s="1" t="s">
        <v>16</v>
      </c>
      <c r="B132" s="1" t="n">
        <v>63</v>
      </c>
      <c r="D132" s="1" t="n">
        <v>1731528</v>
      </c>
      <c r="E132" s="1" t="n">
        <v>0.116119</v>
      </c>
      <c r="G132" s="1" t="n">
        <v>0.028591871</v>
      </c>
      <c r="H132" s="1" t="n">
        <v>0.029205084</v>
      </c>
      <c r="I132" s="1" t="n">
        <v>0.029090881</v>
      </c>
      <c r="J132" s="1" t="n">
        <v>0.02893281</v>
      </c>
      <c r="K132" s="1" t="n">
        <v>0.031244278</v>
      </c>
      <c r="L132" s="1" t="n">
        <v>0.033260584</v>
      </c>
      <c r="M132" s="1" t="n">
        <v>0.03115654</v>
      </c>
      <c r="N132" s="1" t="n">
        <v>0.028610706</v>
      </c>
      <c r="O132" s="1" t="n">
        <v>0.028829813</v>
      </c>
      <c r="P132" s="1" t="n">
        <v>0.02930975</v>
      </c>
      <c r="R132" s="1" t="n">
        <f aca="false">PERCENTILE(G132:P132,0.9)</f>
        <v>0.0314459086</v>
      </c>
      <c r="S132" s="5" t="n">
        <f aca="false">spmv_1!R$6/R132</f>
        <v>5.34996818632234</v>
      </c>
      <c r="T132" s="6" t="n">
        <f aca="false">S132/64</f>
        <v>0.0835932529112865</v>
      </c>
    </row>
    <row r="135" customFormat="false" ht="15" hidden="false" customHeight="false" outlineLevel="0" collapsed="false">
      <c r="A135" s="2" t="s">
        <v>0</v>
      </c>
      <c r="B135" s="2" t="s">
        <v>1</v>
      </c>
      <c r="C135" s="3"/>
      <c r="D135" s="2" t="s">
        <v>2</v>
      </c>
      <c r="E135" s="2" t="s">
        <v>3</v>
      </c>
      <c r="F135" s="3"/>
      <c r="G135" s="2" t="s">
        <v>4</v>
      </c>
      <c r="H135" s="2" t="s">
        <v>5</v>
      </c>
      <c r="I135" s="2" t="s">
        <v>6</v>
      </c>
      <c r="J135" s="2" t="s">
        <v>7</v>
      </c>
      <c r="K135" s="2" t="s">
        <v>8</v>
      </c>
      <c r="L135" s="2" t="s">
        <v>9</v>
      </c>
      <c r="M135" s="2" t="s">
        <v>10</v>
      </c>
      <c r="N135" s="2" t="s">
        <v>11</v>
      </c>
      <c r="O135" s="2" t="s">
        <v>12</v>
      </c>
      <c r="P135" s="2" t="s">
        <v>13</v>
      </c>
      <c r="R135" s="4" t="s">
        <v>14</v>
      </c>
      <c r="S135" s="7" t="s">
        <v>20</v>
      </c>
      <c r="T135" s="8" t="s">
        <v>21</v>
      </c>
    </row>
    <row r="136" customFormat="false" ht="15" hidden="false" customHeight="false" outlineLevel="0" collapsed="false">
      <c r="A136" s="1" t="s">
        <v>17</v>
      </c>
      <c r="B136" s="1" t="n">
        <v>0</v>
      </c>
      <c r="D136" s="1" t="n">
        <v>317855</v>
      </c>
      <c r="E136" s="1" t="n">
        <v>0.097022</v>
      </c>
      <c r="G136" s="1" t="n">
        <v>0.014574289</v>
      </c>
      <c r="H136" s="1" t="n">
        <v>0.007181644</v>
      </c>
      <c r="I136" s="1" t="n">
        <v>0.007292271</v>
      </c>
      <c r="J136" s="1" t="n">
        <v>0.005563021</v>
      </c>
      <c r="K136" s="1" t="n">
        <v>0.005303383</v>
      </c>
      <c r="L136" s="1" t="n">
        <v>0.005256414</v>
      </c>
      <c r="M136" s="1" t="n">
        <v>0.005226851</v>
      </c>
      <c r="N136" s="1" t="n">
        <v>0.005153894</v>
      </c>
      <c r="O136" s="1" t="n">
        <v>0.004775286</v>
      </c>
      <c r="P136" s="1" t="n">
        <v>0.005195379</v>
      </c>
      <c r="R136" s="1" t="n">
        <f aca="false">PERCENTILE(G136:P136,0.9)</f>
        <v>0.0080204728</v>
      </c>
      <c r="S136" s="5" t="n">
        <f aca="false">spmv_1!R$10/R136</f>
        <v>4.36778793140474</v>
      </c>
      <c r="T136" s="6" t="n">
        <f aca="false">S136/64</f>
        <v>0.0682466864281991</v>
      </c>
    </row>
    <row r="137" customFormat="false" ht="15" hidden="false" customHeight="false" outlineLevel="0" collapsed="false">
      <c r="A137" s="1" t="s">
        <v>17</v>
      </c>
      <c r="B137" s="1" t="n">
        <v>1</v>
      </c>
      <c r="D137" s="1" t="n">
        <v>317884</v>
      </c>
      <c r="E137" s="1" t="n">
        <v>0.092747</v>
      </c>
      <c r="G137" s="1" t="n">
        <v>0.017727137</v>
      </c>
      <c r="H137" s="1" t="n">
        <v>0.007137775</v>
      </c>
      <c r="I137" s="1" t="n">
        <v>0.007320881</v>
      </c>
      <c r="J137" s="1" t="n">
        <v>0.0055511</v>
      </c>
      <c r="K137" s="1" t="n">
        <v>0.005260706</v>
      </c>
      <c r="L137" s="1" t="n">
        <v>0.005197287</v>
      </c>
      <c r="M137" s="1" t="n">
        <v>0.005176544</v>
      </c>
      <c r="N137" s="1" t="n">
        <v>0.005132675</v>
      </c>
      <c r="O137" s="1" t="n">
        <v>0.004743338</v>
      </c>
      <c r="P137" s="1" t="n">
        <v>0.005301237</v>
      </c>
      <c r="R137" s="1" t="n">
        <f aca="false">PERCENTILE(G137:P137,0.9)</f>
        <v>0.0083615066</v>
      </c>
      <c r="S137" s="5" t="n">
        <f aca="false">spmv_1!R$10/R137</f>
        <v>4.18964260579547</v>
      </c>
      <c r="T137" s="6" t="n">
        <f aca="false">S137/64</f>
        <v>0.0654631657155542</v>
      </c>
    </row>
    <row r="138" customFormat="false" ht="15" hidden="false" customHeight="false" outlineLevel="0" collapsed="false">
      <c r="A138" s="1" t="s">
        <v>17</v>
      </c>
      <c r="B138" s="1" t="n">
        <v>2</v>
      </c>
      <c r="D138" s="1" t="n">
        <v>317409</v>
      </c>
      <c r="E138" s="1" t="n">
        <v>0.070482</v>
      </c>
      <c r="G138" s="1" t="n">
        <v>0.019962072</v>
      </c>
      <c r="H138" s="1" t="n">
        <v>0.010745287</v>
      </c>
      <c r="I138" s="1" t="n">
        <v>0.008716106</v>
      </c>
      <c r="J138" s="1" t="n">
        <v>0.007532835</v>
      </c>
      <c r="K138" s="1" t="n">
        <v>0.007423401</v>
      </c>
      <c r="L138" s="1" t="n">
        <v>0.007223845</v>
      </c>
      <c r="M138" s="1" t="n">
        <v>0.007169008</v>
      </c>
      <c r="N138" s="1" t="n">
        <v>0.007194519</v>
      </c>
      <c r="O138" s="1" t="n">
        <v>0.006844044</v>
      </c>
      <c r="P138" s="1" t="n">
        <v>0.007256508</v>
      </c>
      <c r="R138" s="1" t="n">
        <f aca="false">PERCENTILE(G138:P138,0.9)</f>
        <v>0.0116669655</v>
      </c>
      <c r="S138" s="5" t="n">
        <f aca="false">spmv_1!R$10/R138</f>
        <v>3.00264231517613</v>
      </c>
      <c r="T138" s="6" t="n">
        <f aca="false">S138/64</f>
        <v>0.046916286174627</v>
      </c>
    </row>
    <row r="139" customFormat="false" ht="15" hidden="false" customHeight="false" outlineLevel="0" collapsed="false">
      <c r="A139" s="1" t="s">
        <v>17</v>
      </c>
      <c r="B139" s="1" t="n">
        <v>3</v>
      </c>
      <c r="D139" s="1" t="n">
        <v>317812</v>
      </c>
      <c r="E139" s="1" t="n">
        <v>0.069929</v>
      </c>
      <c r="G139" s="1" t="n">
        <v>0.02036953</v>
      </c>
      <c r="H139" s="1" t="n">
        <v>0.011250257</v>
      </c>
      <c r="I139" s="1" t="n">
        <v>0.008724689</v>
      </c>
      <c r="J139" s="1" t="n">
        <v>0.007543802</v>
      </c>
      <c r="K139" s="1" t="n">
        <v>0.007449627</v>
      </c>
      <c r="L139" s="1" t="n">
        <v>0.007227659</v>
      </c>
      <c r="M139" s="1" t="n">
        <v>0.007117271</v>
      </c>
      <c r="N139" s="1" t="n">
        <v>0.007144451</v>
      </c>
      <c r="O139" s="1" t="n">
        <v>0.006830692</v>
      </c>
      <c r="P139" s="1" t="n">
        <v>0.007237196</v>
      </c>
      <c r="R139" s="1" t="n">
        <f aca="false">PERCENTILE(G139:P139,0.9)</f>
        <v>0.0121621843</v>
      </c>
      <c r="S139" s="5" t="n">
        <f aca="false">spmv_1!R$10/R139</f>
        <v>2.88038097728876</v>
      </c>
      <c r="T139" s="6" t="n">
        <f aca="false">S139/64</f>
        <v>0.0450059527701369</v>
      </c>
    </row>
    <row r="140" customFormat="false" ht="15" hidden="false" customHeight="false" outlineLevel="0" collapsed="false">
      <c r="A140" s="1" t="s">
        <v>17</v>
      </c>
      <c r="B140" s="1" t="n">
        <v>4</v>
      </c>
      <c r="D140" s="1" t="n">
        <v>315134</v>
      </c>
      <c r="E140" s="1" t="n">
        <v>0.071422</v>
      </c>
      <c r="G140" s="1" t="n">
        <v>0.020308018</v>
      </c>
      <c r="H140" s="1" t="n">
        <v>0.009619236</v>
      </c>
      <c r="I140" s="1" t="n">
        <v>0.008707047</v>
      </c>
      <c r="J140" s="1" t="n">
        <v>0.007493734</v>
      </c>
      <c r="K140" s="1" t="n">
        <v>0.007254362</v>
      </c>
      <c r="L140" s="1" t="n">
        <v>0.006971598</v>
      </c>
      <c r="M140" s="1" t="n">
        <v>0.007038116</v>
      </c>
      <c r="N140" s="1" t="n">
        <v>0.006920576</v>
      </c>
      <c r="O140" s="1" t="n">
        <v>0.006805897</v>
      </c>
      <c r="P140" s="1" t="n">
        <v>0.007127523</v>
      </c>
      <c r="R140" s="1" t="n">
        <f aca="false">PERCENTILE(G140:P140,0.9)</f>
        <v>0.0106881142</v>
      </c>
      <c r="S140" s="5" t="n">
        <f aca="false">spmv_1!R$10/R140</f>
        <v>3.27763379436945</v>
      </c>
      <c r="T140" s="6" t="n">
        <f aca="false">S140/64</f>
        <v>0.0512130280370227</v>
      </c>
    </row>
    <row r="141" customFormat="false" ht="15" hidden="false" customHeight="false" outlineLevel="0" collapsed="false">
      <c r="A141" s="1" t="s">
        <v>17</v>
      </c>
      <c r="B141" s="1" t="n">
        <v>5</v>
      </c>
      <c r="D141" s="1" t="n">
        <v>314865</v>
      </c>
      <c r="E141" s="1" t="n">
        <v>0.063571</v>
      </c>
      <c r="G141" s="1" t="n">
        <v>0.0214715</v>
      </c>
      <c r="H141" s="1" t="n">
        <v>0.010432959</v>
      </c>
      <c r="I141" s="1" t="n">
        <v>0.009225845</v>
      </c>
      <c r="J141" s="1" t="n">
        <v>0.008163691</v>
      </c>
      <c r="K141" s="1" t="n">
        <v>0.008289576</v>
      </c>
      <c r="L141" s="1" t="n">
        <v>0.008505106</v>
      </c>
      <c r="M141" s="1" t="n">
        <v>0.008431196</v>
      </c>
      <c r="N141" s="1" t="n">
        <v>0.008223057</v>
      </c>
      <c r="O141" s="1" t="n">
        <v>0.008054972</v>
      </c>
      <c r="P141" s="1" t="n">
        <v>0.008261919</v>
      </c>
      <c r="R141" s="1" t="n">
        <f aca="false">PERCENTILE(G141:P141,0.9)</f>
        <v>0.0115368131</v>
      </c>
      <c r="S141" s="5" t="n">
        <f aca="false">spmv_1!R$10/R141</f>
        <v>3.03651658359621</v>
      </c>
      <c r="T141" s="6" t="n">
        <f aca="false">S141/64</f>
        <v>0.0474455716186908</v>
      </c>
    </row>
    <row r="142" customFormat="false" ht="15" hidden="false" customHeight="false" outlineLevel="0" collapsed="false">
      <c r="A142" s="1" t="s">
        <v>17</v>
      </c>
      <c r="B142" s="1" t="n">
        <v>6</v>
      </c>
      <c r="D142" s="1" t="n">
        <v>314542</v>
      </c>
      <c r="E142" s="1" t="n">
        <v>0.06989</v>
      </c>
      <c r="G142" s="1" t="n">
        <v>0.020273209</v>
      </c>
      <c r="H142" s="1" t="n">
        <v>0.009649277</v>
      </c>
      <c r="I142" s="1" t="n">
        <v>0.008692741</v>
      </c>
      <c r="J142" s="1" t="n">
        <v>0.007485628</v>
      </c>
      <c r="K142" s="1" t="n">
        <v>0.007524967</v>
      </c>
      <c r="L142" s="1" t="n">
        <v>0.007304907</v>
      </c>
      <c r="M142" s="1" t="n">
        <v>0.007277012</v>
      </c>
      <c r="N142" s="1" t="n">
        <v>0.007244825</v>
      </c>
      <c r="O142" s="1" t="n">
        <v>0.007198811</v>
      </c>
      <c r="P142" s="1" t="n">
        <v>0.007359028</v>
      </c>
      <c r="R142" s="1" t="n">
        <f aca="false">PERCENTILE(G142:P142,0.9)</f>
        <v>0.0107116702</v>
      </c>
      <c r="S142" s="5" t="n">
        <f aca="false">spmv_1!R$10/R142</f>
        <v>3.27042596027649</v>
      </c>
      <c r="T142" s="6" t="n">
        <f aca="false">S142/64</f>
        <v>0.0511004056293201</v>
      </c>
    </row>
    <row r="143" customFormat="false" ht="15" hidden="false" customHeight="false" outlineLevel="0" collapsed="false">
      <c r="A143" s="1" t="s">
        <v>17</v>
      </c>
      <c r="B143" s="1" t="n">
        <v>7</v>
      </c>
      <c r="D143" s="1" t="n">
        <v>314910</v>
      </c>
      <c r="E143" s="1" t="n">
        <v>0.069822</v>
      </c>
      <c r="G143" s="1" t="n">
        <v>0.020312548</v>
      </c>
      <c r="H143" s="1" t="n">
        <v>0.00970602</v>
      </c>
      <c r="I143" s="1" t="n">
        <v>0.008730173</v>
      </c>
      <c r="J143" s="1" t="n">
        <v>0.007511854</v>
      </c>
      <c r="K143" s="1" t="n">
        <v>0.007535934</v>
      </c>
      <c r="L143" s="1" t="n">
        <v>0.00729394</v>
      </c>
      <c r="M143" s="1" t="n">
        <v>0.007283688</v>
      </c>
      <c r="N143" s="1" t="n">
        <v>0.007261276</v>
      </c>
      <c r="O143" s="1" t="n">
        <v>0.007204294</v>
      </c>
      <c r="P143" s="1" t="n">
        <v>0.007364035</v>
      </c>
      <c r="R143" s="1" t="n">
        <f aca="false">PERCENTILE(G143:P143,0.9)</f>
        <v>0.0107666728</v>
      </c>
      <c r="S143" s="5" t="n">
        <f aca="false">spmv_1!R$10/R143</f>
        <v>3.25371866970825</v>
      </c>
      <c r="T143" s="6" t="n">
        <f aca="false">S143/64</f>
        <v>0.0508393542141914</v>
      </c>
    </row>
    <row r="144" customFormat="false" ht="15" hidden="false" customHeight="false" outlineLevel="0" collapsed="false">
      <c r="A144" s="1" t="s">
        <v>17</v>
      </c>
      <c r="B144" s="1" t="n">
        <v>8</v>
      </c>
      <c r="D144" s="1" t="n">
        <v>316949</v>
      </c>
      <c r="E144" s="1" t="n">
        <v>0.070493</v>
      </c>
      <c r="G144" s="1" t="n">
        <v>0.020325661</v>
      </c>
      <c r="H144" s="1" t="n">
        <v>0.009661436</v>
      </c>
      <c r="I144" s="1" t="n">
        <v>0.008716583</v>
      </c>
      <c r="J144" s="1" t="n">
        <v>0.007455587</v>
      </c>
      <c r="K144" s="1" t="n">
        <v>0.007508993</v>
      </c>
      <c r="L144" s="1" t="n">
        <v>0.007253885</v>
      </c>
      <c r="M144" s="1" t="n">
        <v>0.007261276</v>
      </c>
      <c r="N144" s="1" t="n">
        <v>0.007230043</v>
      </c>
      <c r="O144" s="1" t="n">
        <v>0.007179737</v>
      </c>
      <c r="P144" s="1" t="n">
        <v>0.007330179</v>
      </c>
      <c r="R144" s="1" t="n">
        <f aca="false">PERCENTILE(G144:P144,0.9)</f>
        <v>0.0107278585</v>
      </c>
      <c r="S144" s="5" t="n">
        <f aca="false">spmv_1!R$10/R144</f>
        <v>3.26549089923213</v>
      </c>
      <c r="T144" s="6" t="n">
        <f aca="false">S144/64</f>
        <v>0.051023295300502</v>
      </c>
    </row>
    <row r="145" customFormat="false" ht="15" hidden="false" customHeight="false" outlineLevel="0" collapsed="false">
      <c r="A145" s="1" t="s">
        <v>17</v>
      </c>
      <c r="B145" s="1" t="n">
        <v>9</v>
      </c>
      <c r="D145" s="1" t="n">
        <v>317303</v>
      </c>
      <c r="E145" s="1" t="n">
        <v>0.070624</v>
      </c>
      <c r="G145" s="1" t="n">
        <v>0.020281792</v>
      </c>
      <c r="H145" s="1" t="n">
        <v>0.009647608</v>
      </c>
      <c r="I145" s="1" t="n">
        <v>0.008723736</v>
      </c>
      <c r="J145" s="1" t="n">
        <v>0.007456303</v>
      </c>
      <c r="K145" s="1" t="n">
        <v>0.007471323</v>
      </c>
      <c r="L145" s="1" t="n">
        <v>0.007260323</v>
      </c>
      <c r="M145" s="1" t="n">
        <v>0.007238626</v>
      </c>
      <c r="N145" s="1" t="n">
        <v>0.007230043</v>
      </c>
      <c r="O145" s="1" t="n">
        <v>0.007195711</v>
      </c>
      <c r="P145" s="1" t="n">
        <v>0.007350922</v>
      </c>
      <c r="R145" s="1" t="n">
        <f aca="false">PERCENTILE(G145:P145,0.9)</f>
        <v>0.0107110264</v>
      </c>
      <c r="S145" s="5" t="n">
        <f aca="false">spmv_1!R$10/R145</f>
        <v>3.27062253342966</v>
      </c>
      <c r="T145" s="6" t="n">
        <f aca="false">S145/64</f>
        <v>0.0511034770848385</v>
      </c>
    </row>
    <row r="146" customFormat="false" ht="15" hidden="false" customHeight="false" outlineLevel="0" collapsed="false">
      <c r="A146" s="1" t="s">
        <v>17</v>
      </c>
      <c r="B146" s="1" t="n">
        <v>10</v>
      </c>
      <c r="D146" s="1" t="n">
        <v>316274</v>
      </c>
      <c r="E146" s="1" t="n">
        <v>0.070844</v>
      </c>
      <c r="G146" s="1" t="n">
        <v>0.020394802</v>
      </c>
      <c r="H146" s="1" t="n">
        <v>0.00951767</v>
      </c>
      <c r="I146" s="1" t="n">
        <v>0.008690119</v>
      </c>
      <c r="J146" s="1" t="n">
        <v>0.007332802</v>
      </c>
      <c r="K146" s="1" t="n">
        <v>0.00743103</v>
      </c>
      <c r="L146" s="1" t="n">
        <v>0.007145643</v>
      </c>
      <c r="M146" s="1" t="n">
        <v>0.007210016</v>
      </c>
      <c r="N146" s="1" t="n">
        <v>0.007130623</v>
      </c>
      <c r="O146" s="1" t="n">
        <v>0.007162333</v>
      </c>
      <c r="P146" s="1" t="n">
        <v>0.007272005</v>
      </c>
      <c r="R146" s="1" t="n">
        <f aca="false">PERCENTILE(G146:P146,0.9)</f>
        <v>0.0106053832</v>
      </c>
      <c r="S146" s="5" t="n">
        <f aca="false">spmv_1!R$10/R146</f>
        <v>3.30320212286153</v>
      </c>
      <c r="T146" s="6" t="n">
        <f aca="false">S146/64</f>
        <v>0.0516125331697114</v>
      </c>
    </row>
    <row r="147" customFormat="false" ht="15" hidden="false" customHeight="false" outlineLevel="0" collapsed="false">
      <c r="A147" s="1" t="s">
        <v>17</v>
      </c>
      <c r="B147" s="1" t="n">
        <v>11</v>
      </c>
      <c r="D147" s="1" t="n">
        <v>316678</v>
      </c>
      <c r="E147" s="1" t="n">
        <v>0.063802</v>
      </c>
      <c r="G147" s="1" t="n">
        <v>0.021586657</v>
      </c>
      <c r="H147" s="1" t="n">
        <v>0.010504246</v>
      </c>
      <c r="I147" s="1" t="n">
        <v>0.009254932</v>
      </c>
      <c r="J147" s="1" t="n">
        <v>0.008238077</v>
      </c>
      <c r="K147" s="1" t="n">
        <v>0.008278131</v>
      </c>
      <c r="L147" s="1" t="n">
        <v>0.008464098</v>
      </c>
      <c r="M147" s="1" t="n">
        <v>0.008405685</v>
      </c>
      <c r="N147" s="1" t="n">
        <v>0.008203506</v>
      </c>
      <c r="O147" s="1" t="n">
        <v>0.008075714</v>
      </c>
      <c r="P147" s="1" t="n">
        <v>0.008257389</v>
      </c>
      <c r="R147" s="1" t="n">
        <f aca="false">PERCENTILE(G147:P147,0.9)</f>
        <v>0.0116124871</v>
      </c>
      <c r="S147" s="5" t="n">
        <f aca="false">spmv_1!R$10/R147</f>
        <v>3.01672880222188</v>
      </c>
      <c r="T147" s="6" t="n">
        <f aca="false">S147/64</f>
        <v>0.0471363875347169</v>
      </c>
    </row>
    <row r="148" customFormat="false" ht="15" hidden="false" customHeight="false" outlineLevel="0" collapsed="false">
      <c r="A148" s="1" t="s">
        <v>17</v>
      </c>
      <c r="B148" s="1" t="n">
        <v>12</v>
      </c>
      <c r="D148" s="1" t="n">
        <v>314346</v>
      </c>
      <c r="E148" s="1" t="n">
        <v>0.0633</v>
      </c>
      <c r="G148" s="1" t="n">
        <v>0.021600246</v>
      </c>
      <c r="H148" s="1" t="n">
        <v>0.0111444</v>
      </c>
      <c r="I148" s="1" t="n">
        <v>0.009281874</v>
      </c>
      <c r="J148" s="1" t="n">
        <v>0.008162737</v>
      </c>
      <c r="K148" s="1" t="n">
        <v>0.008102894</v>
      </c>
      <c r="L148" s="1" t="n">
        <v>0.008352041</v>
      </c>
      <c r="M148" s="1" t="n">
        <v>0.008328915</v>
      </c>
      <c r="N148" s="1" t="n">
        <v>0.008152246</v>
      </c>
      <c r="O148" s="1" t="n">
        <v>0.008031845</v>
      </c>
      <c r="P148" s="1" t="n">
        <v>0.00816226</v>
      </c>
      <c r="R148" s="1" t="n">
        <f aca="false">PERCENTILE(G148:P148,0.9)</f>
        <v>0.0121899846</v>
      </c>
      <c r="S148" s="5" t="n">
        <f aca="false">spmv_1!R$10/R148</f>
        <v>2.87381202269936</v>
      </c>
      <c r="T148" s="6" t="n">
        <f aca="false">S148/64</f>
        <v>0.0449033128546775</v>
      </c>
    </row>
    <row r="149" customFormat="false" ht="15" hidden="false" customHeight="false" outlineLevel="0" collapsed="false">
      <c r="A149" s="1" t="s">
        <v>17</v>
      </c>
      <c r="B149" s="1" t="n">
        <v>13</v>
      </c>
      <c r="D149" s="1" t="n">
        <v>314596</v>
      </c>
      <c r="E149" s="1" t="n">
        <v>0.063765</v>
      </c>
      <c r="G149" s="1" t="n">
        <v>0.021535635</v>
      </c>
      <c r="H149" s="1" t="n">
        <v>0.010368586</v>
      </c>
      <c r="I149" s="1" t="n">
        <v>0.009227991</v>
      </c>
      <c r="J149" s="1" t="n">
        <v>0.008195877</v>
      </c>
      <c r="K149" s="1" t="n">
        <v>0.008204699</v>
      </c>
      <c r="L149" s="1" t="n">
        <v>0.008412361</v>
      </c>
      <c r="M149" s="1" t="n">
        <v>0.008345127</v>
      </c>
      <c r="N149" s="1" t="n">
        <v>0.008155823</v>
      </c>
      <c r="O149" s="1" t="n">
        <v>0.008033991</v>
      </c>
      <c r="P149" s="1" t="n">
        <v>0.008194208</v>
      </c>
      <c r="R149" s="1" t="n">
        <f aca="false">PERCENTILE(G149:P149,0.9)</f>
        <v>0.0114852909</v>
      </c>
      <c r="S149" s="5" t="n">
        <f aca="false">spmv_1!R$10/R149</f>
        <v>3.05013818152399</v>
      </c>
      <c r="T149" s="6" t="n">
        <f aca="false">S149/64</f>
        <v>0.0476584090863123</v>
      </c>
    </row>
    <row r="150" customFormat="false" ht="15" hidden="false" customHeight="false" outlineLevel="0" collapsed="false">
      <c r="A150" s="1" t="s">
        <v>17</v>
      </c>
      <c r="B150" s="1" t="n">
        <v>14</v>
      </c>
      <c r="D150" s="1" t="n">
        <v>314603</v>
      </c>
      <c r="E150" s="1" t="n">
        <v>0.0652</v>
      </c>
      <c r="G150" s="1" t="n">
        <v>0.021489382</v>
      </c>
      <c r="H150" s="1" t="n">
        <v>0.010129929</v>
      </c>
      <c r="I150" s="1" t="n">
        <v>0.009031773</v>
      </c>
      <c r="J150" s="1" t="n">
        <v>0.007910252</v>
      </c>
      <c r="K150" s="1" t="n">
        <v>0.00798583</v>
      </c>
      <c r="L150" s="1" t="n">
        <v>0.008216381</v>
      </c>
      <c r="M150" s="1" t="n">
        <v>0.008148193</v>
      </c>
      <c r="N150" s="1" t="n">
        <v>0.007860184</v>
      </c>
      <c r="O150" s="1" t="n">
        <v>0.007799387</v>
      </c>
      <c r="P150" s="1" t="n">
        <v>0.007932186</v>
      </c>
      <c r="R150" s="1" t="n">
        <f aca="false">PERCENTILE(G150:P150,0.9)</f>
        <v>0.0112658743</v>
      </c>
      <c r="S150" s="5" t="n">
        <f aca="false">spmv_1!R$10/R150</f>
        <v>3.10954333122641</v>
      </c>
      <c r="T150" s="6" t="n">
        <f aca="false">S150/64</f>
        <v>0.0485866145504127</v>
      </c>
    </row>
    <row r="151" customFormat="false" ht="15" hidden="false" customHeight="false" outlineLevel="0" collapsed="false">
      <c r="A151" s="1" t="s">
        <v>17</v>
      </c>
      <c r="B151" s="1" t="n">
        <v>15</v>
      </c>
      <c r="D151" s="1" t="n">
        <v>315110</v>
      </c>
      <c r="E151" s="1" t="n">
        <v>0.063586</v>
      </c>
      <c r="G151" s="1" t="n">
        <v>0.021514893</v>
      </c>
      <c r="H151" s="1" t="n">
        <v>0.011370182</v>
      </c>
      <c r="I151" s="1" t="n">
        <v>0.009199142</v>
      </c>
      <c r="J151" s="1" t="n">
        <v>0.008088827</v>
      </c>
      <c r="K151" s="1" t="n">
        <v>0.008090019</v>
      </c>
      <c r="L151" s="1" t="n">
        <v>0.008384228</v>
      </c>
      <c r="M151" s="1" t="n">
        <v>0.008277655</v>
      </c>
      <c r="N151" s="1" t="n">
        <v>0.008078575</v>
      </c>
      <c r="O151" s="1" t="n">
        <v>0.007988214</v>
      </c>
      <c r="P151" s="1" t="n">
        <v>0.008121014</v>
      </c>
      <c r="R151" s="1" t="n">
        <f aca="false">PERCENTILE(G151:P151,0.9)</f>
        <v>0.0123846531</v>
      </c>
      <c r="S151" s="5" t="n">
        <f aca="false">spmv_1!R$10/R151</f>
        <v>2.82863993178784</v>
      </c>
      <c r="T151" s="6" t="n">
        <f aca="false">S151/64</f>
        <v>0.0441974989341849</v>
      </c>
    </row>
    <row r="152" customFormat="false" ht="15" hidden="false" customHeight="false" outlineLevel="0" collapsed="false">
      <c r="A152" s="1" t="s">
        <v>17</v>
      </c>
      <c r="B152" s="1" t="n">
        <v>16</v>
      </c>
      <c r="D152" s="1" t="n">
        <v>317236</v>
      </c>
      <c r="E152" s="1" t="n">
        <v>0.064713</v>
      </c>
      <c r="G152" s="1" t="n">
        <v>0.021550417</v>
      </c>
      <c r="H152" s="1" t="n">
        <v>0.010044813</v>
      </c>
      <c r="I152" s="1" t="n">
        <v>0.009141684</v>
      </c>
      <c r="J152" s="1" t="n">
        <v>0.008116722</v>
      </c>
      <c r="K152" s="1" t="n">
        <v>0.008232832</v>
      </c>
      <c r="L152" s="1" t="n">
        <v>0.008385658</v>
      </c>
      <c r="M152" s="1" t="n">
        <v>0.008383751</v>
      </c>
      <c r="N152" s="1" t="n">
        <v>0.008062601</v>
      </c>
      <c r="O152" s="1" t="n">
        <v>0.008014917</v>
      </c>
      <c r="P152" s="1" t="n">
        <v>0.008111</v>
      </c>
      <c r="R152" s="1" t="n">
        <f aca="false">PERCENTILE(G152:P152,0.9)</f>
        <v>0.0111953734</v>
      </c>
      <c r="S152" s="5" t="n">
        <f aca="false">spmv_1!R$10/R152</f>
        <v>3.12912513485258</v>
      </c>
      <c r="T152" s="6" t="n">
        <f aca="false">S152/64</f>
        <v>0.0488925802320716</v>
      </c>
    </row>
    <row r="153" customFormat="false" ht="15" hidden="false" customHeight="false" outlineLevel="0" collapsed="false">
      <c r="A153" s="1" t="s">
        <v>17</v>
      </c>
      <c r="B153" s="1" t="n">
        <v>17</v>
      </c>
      <c r="D153" s="1" t="n">
        <v>317938</v>
      </c>
      <c r="E153" s="1" t="n">
        <v>0.094283</v>
      </c>
      <c r="G153" s="1" t="n">
        <v>0.018331051</v>
      </c>
      <c r="H153" s="1" t="n">
        <v>0.007405519</v>
      </c>
      <c r="I153" s="1" t="n">
        <v>0.007029057</v>
      </c>
      <c r="J153" s="1" t="n">
        <v>0.004985571</v>
      </c>
      <c r="K153" s="1" t="n">
        <v>0.005051613</v>
      </c>
      <c r="L153" s="1" t="n">
        <v>0.004955292</v>
      </c>
      <c r="M153" s="1" t="n">
        <v>0.00500083</v>
      </c>
      <c r="N153" s="1" t="n">
        <v>0.004893064</v>
      </c>
      <c r="O153" s="1" t="n">
        <v>0.004936457</v>
      </c>
      <c r="P153" s="1" t="n">
        <v>0.004854918</v>
      </c>
      <c r="R153" s="1" t="n">
        <f aca="false">PERCENTILE(G153:P153,0.9)</f>
        <v>0.0084980722</v>
      </c>
      <c r="S153" s="5" t="n">
        <f aca="false">spmv_1!R$10/R153</f>
        <v>4.12231427028827</v>
      </c>
      <c r="T153" s="6" t="n">
        <f aca="false">S153/64</f>
        <v>0.0644111604732542</v>
      </c>
    </row>
    <row r="154" customFormat="false" ht="15" hidden="false" customHeight="false" outlineLevel="0" collapsed="false">
      <c r="A154" s="1" t="s">
        <v>17</v>
      </c>
      <c r="B154" s="1" t="n">
        <v>18</v>
      </c>
      <c r="D154" s="1" t="n">
        <v>317431</v>
      </c>
      <c r="E154" s="1" t="n">
        <v>0.064349</v>
      </c>
      <c r="G154" s="1" t="n">
        <v>0.021642685</v>
      </c>
      <c r="H154" s="1" t="n">
        <v>0.010659218</v>
      </c>
      <c r="I154" s="1" t="n">
        <v>0.009199858</v>
      </c>
      <c r="J154" s="1" t="n">
        <v>0.008046389</v>
      </c>
      <c r="K154" s="1" t="n">
        <v>0.008212328</v>
      </c>
      <c r="L154" s="1" t="n">
        <v>0.008351803</v>
      </c>
      <c r="M154" s="1" t="n">
        <v>0.008332968</v>
      </c>
      <c r="N154" s="1" t="n">
        <v>0.008101225</v>
      </c>
      <c r="O154" s="1" t="n">
        <v>0.008006573</v>
      </c>
      <c r="P154" s="1" t="n">
        <v>0.008105993</v>
      </c>
      <c r="R154" s="1" t="n">
        <f aca="false">PERCENTILE(G154:P154,0.9)</f>
        <v>0.0117575647</v>
      </c>
      <c r="S154" s="5" t="n">
        <f aca="false">spmv_1!R$10/R154</f>
        <v>2.9795051266016</v>
      </c>
      <c r="T154" s="6" t="n">
        <f aca="false">S154/64</f>
        <v>0.04655476760315</v>
      </c>
    </row>
    <row r="155" customFormat="false" ht="15" hidden="false" customHeight="false" outlineLevel="0" collapsed="false">
      <c r="A155" s="1" t="s">
        <v>17</v>
      </c>
      <c r="B155" s="1" t="n">
        <v>19</v>
      </c>
      <c r="D155" s="1" t="n">
        <v>318160</v>
      </c>
      <c r="E155" s="1" t="n">
        <v>0.064006</v>
      </c>
      <c r="G155" s="1" t="n">
        <v>0.021539927</v>
      </c>
      <c r="H155" s="1" t="n">
        <v>0.011584997</v>
      </c>
      <c r="I155" s="1" t="n">
        <v>0.009149313</v>
      </c>
      <c r="J155" s="1" t="n">
        <v>0.008011103</v>
      </c>
      <c r="K155" s="1" t="n">
        <v>0.008260965</v>
      </c>
      <c r="L155" s="1" t="n">
        <v>0.008362055</v>
      </c>
      <c r="M155" s="1" t="n">
        <v>0.008357048</v>
      </c>
      <c r="N155" s="1" t="n">
        <v>0.008105993</v>
      </c>
      <c r="O155" s="1" t="n">
        <v>0.007938385</v>
      </c>
      <c r="P155" s="1" t="n">
        <v>0.008105278</v>
      </c>
      <c r="R155" s="1" t="n">
        <f aca="false">PERCENTILE(G155:P155,0.9)</f>
        <v>0.01258049</v>
      </c>
      <c r="S155" s="5" t="n">
        <f aca="false">spmv_1!R$10/R155</f>
        <v>2.78460730066953</v>
      </c>
      <c r="T155" s="6" t="n">
        <f aca="false">S155/64</f>
        <v>0.0435094890729614</v>
      </c>
    </row>
    <row r="156" customFormat="false" ht="15" hidden="false" customHeight="false" outlineLevel="0" collapsed="false">
      <c r="A156" s="1" t="s">
        <v>17</v>
      </c>
      <c r="B156" s="1" t="n">
        <v>20</v>
      </c>
      <c r="D156" s="1" t="n">
        <v>315892</v>
      </c>
      <c r="E156" s="1" t="n">
        <v>0.083834</v>
      </c>
      <c r="G156" s="1" t="n">
        <v>0.021344662</v>
      </c>
      <c r="H156" s="1" t="n">
        <v>0.009408474</v>
      </c>
      <c r="I156" s="1" t="n">
        <v>0.006640911</v>
      </c>
      <c r="J156" s="1" t="n">
        <v>0.005760431</v>
      </c>
      <c r="K156" s="1" t="n">
        <v>0.005732536</v>
      </c>
      <c r="L156" s="1" t="n">
        <v>0.00537014</v>
      </c>
      <c r="M156" s="1" t="n">
        <v>0.005409718</v>
      </c>
      <c r="N156" s="1" t="n">
        <v>0.005200386</v>
      </c>
      <c r="O156" s="1" t="n">
        <v>0.005463362</v>
      </c>
      <c r="P156" s="1" t="n">
        <v>0.005031109</v>
      </c>
      <c r="R156" s="1" t="n">
        <f aca="false">PERCENTILE(G156:P156,0.9)</f>
        <v>0.0106020928</v>
      </c>
      <c r="S156" s="5" t="n">
        <f aca="false">spmv_1!R$10/R156</f>
        <v>3.30422728425845</v>
      </c>
      <c r="T156" s="6" t="n">
        <f aca="false">S156/64</f>
        <v>0.0516285513165382</v>
      </c>
    </row>
    <row r="157" customFormat="false" ht="15" hidden="false" customHeight="false" outlineLevel="0" collapsed="false">
      <c r="A157" s="1" t="s">
        <v>17</v>
      </c>
      <c r="B157" s="1" t="n">
        <v>21</v>
      </c>
      <c r="D157" s="1" t="n">
        <v>315777</v>
      </c>
      <c r="E157" s="1" t="n">
        <v>0.071508</v>
      </c>
      <c r="G157" s="1" t="n">
        <v>0.020389318</v>
      </c>
      <c r="H157" s="1" t="n">
        <v>0.009960175</v>
      </c>
      <c r="I157" s="1" t="n">
        <v>0.007819653</v>
      </c>
      <c r="J157" s="1" t="n">
        <v>0.007467985</v>
      </c>
      <c r="K157" s="1" t="n">
        <v>0.007483482</v>
      </c>
      <c r="L157" s="1" t="n">
        <v>0.007009983</v>
      </c>
      <c r="M157" s="1" t="n">
        <v>0.007109404</v>
      </c>
      <c r="N157" s="1" t="n">
        <v>0.006890535</v>
      </c>
      <c r="O157" s="1" t="n">
        <v>0.007224321</v>
      </c>
      <c r="P157" s="1" t="n">
        <v>0.006964684</v>
      </c>
      <c r="R157" s="1" t="n">
        <f aca="false">PERCENTILE(G157:P157,0.9)</f>
        <v>0.0110030893</v>
      </c>
      <c r="S157" s="5" t="n">
        <f aca="false">spmv_1!R$10/R157</f>
        <v>3.18380805107162</v>
      </c>
      <c r="T157" s="6" t="n">
        <f aca="false">S157/64</f>
        <v>0.0497470007979941</v>
      </c>
    </row>
    <row r="158" customFormat="false" ht="15" hidden="false" customHeight="false" outlineLevel="0" collapsed="false">
      <c r="A158" s="1" t="s">
        <v>17</v>
      </c>
      <c r="B158" s="1" t="n">
        <v>22</v>
      </c>
      <c r="D158" s="1" t="n">
        <v>314789</v>
      </c>
      <c r="E158" s="1" t="n">
        <v>0.094359</v>
      </c>
      <c r="G158" s="1" t="n">
        <v>0.018069267</v>
      </c>
      <c r="H158" s="1" t="n">
        <v>0.00821209</v>
      </c>
      <c r="I158" s="1" t="n">
        <v>0.006157637</v>
      </c>
      <c r="J158" s="1" t="n">
        <v>0.004976034</v>
      </c>
      <c r="K158" s="1" t="n">
        <v>0.005008459</v>
      </c>
      <c r="L158" s="1" t="n">
        <v>0.00487113</v>
      </c>
      <c r="M158" s="1" t="n">
        <v>0.004937887</v>
      </c>
      <c r="N158" s="1" t="n">
        <v>0.004820585</v>
      </c>
      <c r="O158" s="1" t="n">
        <v>0.004877567</v>
      </c>
      <c r="P158" s="1" t="n">
        <v>0.004791021</v>
      </c>
      <c r="R158" s="1" t="n">
        <f aca="false">PERCENTILE(G158:P158,0.9)</f>
        <v>0.0091978077</v>
      </c>
      <c r="S158" s="5" t="n">
        <f aca="false">spmv_1!R$10/R158</f>
        <v>3.80870370881966</v>
      </c>
      <c r="T158" s="6" t="n">
        <f aca="false">S158/64</f>
        <v>0.0595109954503072</v>
      </c>
    </row>
    <row r="159" customFormat="false" ht="15" hidden="false" customHeight="false" outlineLevel="0" collapsed="false">
      <c r="A159" s="1" t="s">
        <v>17</v>
      </c>
      <c r="B159" s="1" t="n">
        <v>23</v>
      </c>
      <c r="D159" s="1" t="n">
        <v>314960</v>
      </c>
      <c r="E159" s="1" t="n">
        <v>0.064202</v>
      </c>
      <c r="G159" s="1" t="n">
        <v>0.021303654</v>
      </c>
      <c r="H159" s="1" t="n">
        <v>0.010464907</v>
      </c>
      <c r="I159" s="1" t="n">
        <v>0.008355856</v>
      </c>
      <c r="J159" s="1" t="n">
        <v>0.008265257</v>
      </c>
      <c r="K159" s="1" t="n">
        <v>0.008346081</v>
      </c>
      <c r="L159" s="1" t="n">
        <v>0.00852704</v>
      </c>
      <c r="M159" s="1" t="n">
        <v>0.008531332</v>
      </c>
      <c r="N159" s="1" t="n">
        <v>0.008192778</v>
      </c>
      <c r="O159" s="1" t="n">
        <v>0.007870913</v>
      </c>
      <c r="P159" s="1" t="n">
        <v>0.008257627</v>
      </c>
      <c r="R159" s="1" t="n">
        <f aca="false">PERCENTILE(G159:P159,0.9)</f>
        <v>0.0115487817</v>
      </c>
      <c r="S159" s="5" t="n">
        <f aca="false">spmv_1!R$10/R159</f>
        <v>3.03336968435381</v>
      </c>
      <c r="T159" s="6" t="n">
        <f aca="false">S159/64</f>
        <v>0.0473964013180282</v>
      </c>
    </row>
    <row r="160" customFormat="false" ht="15" hidden="false" customHeight="false" outlineLevel="0" collapsed="false">
      <c r="A160" s="1" t="s">
        <v>17</v>
      </c>
      <c r="B160" s="1" t="n">
        <v>24</v>
      </c>
      <c r="D160" s="1" t="n">
        <v>317347</v>
      </c>
      <c r="E160" s="1" t="n">
        <v>0.070415</v>
      </c>
      <c r="G160" s="1" t="n">
        <v>0.020306349</v>
      </c>
      <c r="H160" s="1" t="n">
        <v>0.009923458</v>
      </c>
      <c r="I160" s="1" t="n">
        <v>0.007475138</v>
      </c>
      <c r="J160" s="1" t="n">
        <v>0.007717609</v>
      </c>
      <c r="K160" s="1" t="n">
        <v>0.007708788</v>
      </c>
      <c r="L160" s="1" t="n">
        <v>0.007470369</v>
      </c>
      <c r="M160" s="1" t="n">
        <v>0.007488728</v>
      </c>
      <c r="N160" s="1" t="n">
        <v>0.007360697</v>
      </c>
      <c r="O160" s="1" t="n">
        <v>0.007141113</v>
      </c>
      <c r="P160" s="1" t="n">
        <v>0.007543564</v>
      </c>
      <c r="R160" s="1" t="n">
        <f aca="false">PERCENTILE(G160:P160,0.9)</f>
        <v>0.0109617471</v>
      </c>
      <c r="S160" s="5" t="n">
        <f aca="false">spmv_1!R$10/R160</f>
        <v>3.19581577465877</v>
      </c>
      <c r="T160" s="6" t="n">
        <f aca="false">S160/64</f>
        <v>0.0499346214790433</v>
      </c>
    </row>
    <row r="161" customFormat="false" ht="15" hidden="false" customHeight="false" outlineLevel="0" collapsed="false">
      <c r="A161" s="1" t="s">
        <v>17</v>
      </c>
      <c r="B161" s="1" t="n">
        <v>25</v>
      </c>
      <c r="D161" s="1" t="n">
        <v>318168</v>
      </c>
      <c r="E161" s="1" t="n">
        <v>0.070898</v>
      </c>
      <c r="G161" s="1" t="n">
        <v>0.020214796</v>
      </c>
      <c r="H161" s="1" t="n">
        <v>0.009893656</v>
      </c>
      <c r="I161" s="1" t="n">
        <v>0.007353544</v>
      </c>
      <c r="J161" s="1" t="n">
        <v>0.007702112</v>
      </c>
      <c r="K161" s="1" t="n">
        <v>0.007680655</v>
      </c>
      <c r="L161" s="1" t="n">
        <v>0.007426262</v>
      </c>
      <c r="M161" s="1" t="n">
        <v>0.007457972</v>
      </c>
      <c r="N161" s="1" t="n">
        <v>0.007337093</v>
      </c>
      <c r="O161" s="1" t="n">
        <v>0.007170677</v>
      </c>
      <c r="P161" s="1" t="n">
        <v>0.007517338</v>
      </c>
      <c r="R161" s="1" t="n">
        <f aca="false">PERCENTILE(G161:P161,0.9)</f>
        <v>0.01092577</v>
      </c>
      <c r="S161" s="5" t="n">
        <f aca="false">spmv_1!R$10/R161</f>
        <v>3.20633916877255</v>
      </c>
      <c r="T161" s="6" t="n">
        <f aca="false">S161/64</f>
        <v>0.050099049512071</v>
      </c>
    </row>
    <row r="162" customFormat="false" ht="15" hidden="false" customHeight="false" outlineLevel="0" collapsed="false">
      <c r="A162" s="1" t="s">
        <v>17</v>
      </c>
      <c r="B162" s="1" t="n">
        <v>26</v>
      </c>
      <c r="D162" s="1" t="n">
        <v>317615</v>
      </c>
      <c r="E162" s="1" t="n">
        <v>0.064169</v>
      </c>
      <c r="G162" s="1" t="n">
        <v>0.021467447</v>
      </c>
      <c r="H162" s="1" t="n">
        <v>0.011381149</v>
      </c>
      <c r="I162" s="1" t="n">
        <v>0.008183479</v>
      </c>
      <c r="J162" s="1" t="n">
        <v>0.008254051</v>
      </c>
      <c r="K162" s="1" t="n">
        <v>0.008372068</v>
      </c>
      <c r="L162" s="1" t="n">
        <v>0.008520842</v>
      </c>
      <c r="M162" s="1" t="n">
        <v>0.008494377</v>
      </c>
      <c r="N162" s="1" t="n">
        <v>0.008187771</v>
      </c>
      <c r="O162" s="1" t="n">
        <v>0.007880926</v>
      </c>
      <c r="P162" s="1" t="n">
        <v>0.00825119</v>
      </c>
      <c r="R162" s="1" t="n">
        <f aca="false">PERCENTILE(G162:P162,0.9)</f>
        <v>0.0123897788</v>
      </c>
      <c r="S162" s="5" t="n">
        <f aca="false">spmv_1!R$10/R162</f>
        <v>2.82746971237291</v>
      </c>
      <c r="T162" s="6" t="n">
        <f aca="false">S162/64</f>
        <v>0.0441792142558268</v>
      </c>
    </row>
    <row r="163" customFormat="false" ht="15" hidden="false" customHeight="false" outlineLevel="0" collapsed="false">
      <c r="A163" s="1" t="s">
        <v>17</v>
      </c>
      <c r="B163" s="1" t="n">
        <v>27</v>
      </c>
      <c r="D163" s="1" t="n">
        <v>317584</v>
      </c>
      <c r="E163" s="1" t="n">
        <v>0.064708</v>
      </c>
      <c r="G163" s="1" t="n">
        <v>0.021501541</v>
      </c>
      <c r="H163" s="1" t="n">
        <v>0.010438919</v>
      </c>
      <c r="I163" s="1" t="n">
        <v>0.008147478</v>
      </c>
      <c r="J163" s="1" t="n">
        <v>0.008244038</v>
      </c>
      <c r="K163" s="1" t="n">
        <v>0.008352518</v>
      </c>
      <c r="L163" s="1" t="n">
        <v>0.008557796</v>
      </c>
      <c r="M163" s="1" t="n">
        <v>0.008522272</v>
      </c>
      <c r="N163" s="1" t="n">
        <v>0.008205175</v>
      </c>
      <c r="O163" s="1" t="n">
        <v>0.00790906</v>
      </c>
      <c r="P163" s="1" t="n">
        <v>0.008280754</v>
      </c>
      <c r="R163" s="1" t="n">
        <f aca="false">PERCENTILE(G163:P163,0.9)</f>
        <v>0.0115451812</v>
      </c>
      <c r="S163" s="5" t="n">
        <f aca="false">spmv_1!R$10/R163</f>
        <v>3.03431567622343</v>
      </c>
      <c r="T163" s="6" t="n">
        <f aca="false">S163/64</f>
        <v>0.0474111824409911</v>
      </c>
    </row>
    <row r="164" customFormat="false" ht="15" hidden="false" customHeight="false" outlineLevel="0" collapsed="false">
      <c r="A164" s="1" t="s">
        <v>17</v>
      </c>
      <c r="B164" s="1" t="n">
        <v>28</v>
      </c>
      <c r="D164" s="1" t="n">
        <v>314807</v>
      </c>
      <c r="E164" s="1" t="n">
        <v>0.064155</v>
      </c>
      <c r="G164" s="1" t="n">
        <v>0.021609068</v>
      </c>
      <c r="H164" s="1" t="n">
        <v>0.010529995</v>
      </c>
      <c r="I164" s="1" t="n">
        <v>0.007730246</v>
      </c>
      <c r="J164" s="1" t="n">
        <v>0.00829196</v>
      </c>
      <c r="K164" s="1" t="n">
        <v>0.008404016</v>
      </c>
      <c r="L164" s="1" t="n">
        <v>0.008526802</v>
      </c>
      <c r="M164" s="1" t="n">
        <v>0.008522987</v>
      </c>
      <c r="N164" s="1" t="n">
        <v>0.008248568</v>
      </c>
      <c r="O164" s="1" t="n">
        <v>0.007940531</v>
      </c>
      <c r="P164" s="1" t="n">
        <v>0.008334637</v>
      </c>
      <c r="R164" s="1" t="n">
        <f aca="false">PERCENTILE(G164:P164,0.9)</f>
        <v>0.0116379023</v>
      </c>
      <c r="S164" s="5" t="n">
        <f aca="false">spmv_1!R$10/R164</f>
        <v>3.01014077940833</v>
      </c>
      <c r="T164" s="6" t="n">
        <f aca="false">S164/64</f>
        <v>0.0470334496782552</v>
      </c>
    </row>
    <row r="165" customFormat="false" ht="15" hidden="false" customHeight="false" outlineLevel="0" collapsed="false">
      <c r="A165" s="1" t="s">
        <v>17</v>
      </c>
      <c r="B165" s="1" t="n">
        <v>29</v>
      </c>
      <c r="D165" s="1" t="n">
        <v>315241</v>
      </c>
      <c r="E165" s="1" t="n">
        <v>0.089694</v>
      </c>
      <c r="G165" s="1" t="n">
        <v>0.01834178</v>
      </c>
      <c r="H165" s="1" t="n">
        <v>0.007946253</v>
      </c>
      <c r="I165" s="1" t="n">
        <v>0.005762577</v>
      </c>
      <c r="J165" s="1" t="n">
        <v>0.005495787</v>
      </c>
      <c r="K165" s="1" t="n">
        <v>0.005685091</v>
      </c>
      <c r="L165" s="1" t="n">
        <v>0.005540609</v>
      </c>
      <c r="M165" s="1" t="n">
        <v>0.005755186</v>
      </c>
      <c r="N165" s="1" t="n">
        <v>0.005353689</v>
      </c>
      <c r="O165" s="1" t="n">
        <v>0.004867315</v>
      </c>
      <c r="P165" s="1" t="n">
        <v>0.005543947</v>
      </c>
      <c r="R165" s="1" t="n">
        <f aca="false">PERCENTILE(G165:P165,0.9)</f>
        <v>0.0089858057</v>
      </c>
      <c r="S165" s="5" t="n">
        <f aca="false">spmv_1!R$10/R165</f>
        <v>3.89856240715287</v>
      </c>
      <c r="T165" s="6" t="n">
        <f aca="false">S165/64</f>
        <v>0.0609150376117637</v>
      </c>
    </row>
    <row r="166" customFormat="false" ht="15" hidden="false" customHeight="false" outlineLevel="0" collapsed="false">
      <c r="A166" s="1" t="s">
        <v>17</v>
      </c>
      <c r="B166" s="1" t="n">
        <v>30</v>
      </c>
      <c r="D166" s="1" t="n">
        <v>313772</v>
      </c>
      <c r="E166" s="1" t="n">
        <v>0.070536</v>
      </c>
      <c r="G166" s="1" t="n">
        <v>0.020494461</v>
      </c>
      <c r="H166" s="1" t="n">
        <v>0.00983119</v>
      </c>
      <c r="I166" s="1" t="n">
        <v>0.006432056</v>
      </c>
      <c r="J166" s="1" t="n">
        <v>0.007655382</v>
      </c>
      <c r="K166" s="1" t="n">
        <v>0.007698536</v>
      </c>
      <c r="L166" s="1" t="n">
        <v>0.007429838</v>
      </c>
      <c r="M166" s="1" t="n">
        <v>0.007460594</v>
      </c>
      <c r="N166" s="1" t="n">
        <v>0.007332325</v>
      </c>
      <c r="O166" s="1" t="n">
        <v>0.007144451</v>
      </c>
      <c r="P166" s="1" t="n">
        <v>0.007489204</v>
      </c>
      <c r="R166" s="1" t="n">
        <f aca="false">PERCENTILE(G166:P166,0.9)</f>
        <v>0.0108975171</v>
      </c>
      <c r="S166" s="5" t="n">
        <f aca="false">spmv_1!R$10/R166</f>
        <v>3.21465192286783</v>
      </c>
      <c r="T166" s="6" t="n">
        <f aca="false">S166/64</f>
        <v>0.0502289362948098</v>
      </c>
    </row>
    <row r="167" customFormat="false" ht="15" hidden="false" customHeight="false" outlineLevel="0" collapsed="false">
      <c r="A167" s="1" t="s">
        <v>17</v>
      </c>
      <c r="B167" s="1" t="n">
        <v>31</v>
      </c>
      <c r="D167" s="1" t="n">
        <v>313928</v>
      </c>
      <c r="E167" s="1" t="n">
        <v>0.063664</v>
      </c>
      <c r="G167" s="1" t="n">
        <v>0.021651983</v>
      </c>
      <c r="H167" s="1" t="n">
        <v>0.010556221</v>
      </c>
      <c r="I167" s="1" t="n">
        <v>0.007867098</v>
      </c>
      <c r="J167" s="1" t="n">
        <v>0.008288145</v>
      </c>
      <c r="K167" s="1" t="n">
        <v>0.008396149</v>
      </c>
      <c r="L167" s="1" t="n">
        <v>0.008555174</v>
      </c>
      <c r="M167" s="1" t="n">
        <v>0.008555412</v>
      </c>
      <c r="N167" s="1" t="n">
        <v>0.008299351</v>
      </c>
      <c r="O167" s="1" t="n">
        <v>0.008097887</v>
      </c>
      <c r="P167" s="1" t="n">
        <v>0.008353233</v>
      </c>
      <c r="R167" s="1" t="n">
        <f aca="false">PERCENTILE(G167:P167,0.9)</f>
        <v>0.0116657972</v>
      </c>
      <c r="S167" s="5" t="n">
        <f aca="false">spmv_1!R$10/R167</f>
        <v>3.00294302218798</v>
      </c>
      <c r="T167" s="6" t="n">
        <f aca="false">S167/64</f>
        <v>0.0469209847216871</v>
      </c>
    </row>
    <row r="168" customFormat="false" ht="15" hidden="false" customHeight="false" outlineLevel="0" collapsed="false">
      <c r="A168" s="1" t="s">
        <v>17</v>
      </c>
      <c r="B168" s="1" t="n">
        <v>32</v>
      </c>
      <c r="D168" s="1" t="n">
        <v>315807</v>
      </c>
      <c r="E168" s="1" t="n">
        <v>0.07626</v>
      </c>
      <c r="G168" s="1" t="n">
        <v>0.019798994</v>
      </c>
      <c r="H168" s="1" t="n">
        <v>0.009088755</v>
      </c>
      <c r="I168" s="1" t="n">
        <v>0.007846832</v>
      </c>
      <c r="J168" s="1" t="n">
        <v>0.006466389</v>
      </c>
      <c r="K168" s="1" t="n">
        <v>0.006762981</v>
      </c>
      <c r="L168" s="1" t="n">
        <v>0.006459951</v>
      </c>
      <c r="M168" s="1" t="n">
        <v>0.0068295</v>
      </c>
      <c r="N168" s="1" t="n">
        <v>0.006792545</v>
      </c>
      <c r="O168" s="1" t="n">
        <v>0.006162405</v>
      </c>
      <c r="P168" s="1" t="n">
        <v>0.006615877</v>
      </c>
      <c r="R168" s="1" t="n">
        <f aca="false">PERCENTILE(G168:P168,0.9)</f>
        <v>0.0101597789</v>
      </c>
      <c r="S168" s="5" t="n">
        <f aca="false">spmv_1!R$10/R168</f>
        <v>3.44807939668845</v>
      </c>
      <c r="T168" s="6" t="n">
        <f aca="false">S168/64</f>
        <v>0.053876240573257</v>
      </c>
    </row>
    <row r="169" customFormat="false" ht="15" hidden="false" customHeight="false" outlineLevel="0" collapsed="false">
      <c r="A169" s="1" t="s">
        <v>17</v>
      </c>
      <c r="B169" s="1" t="n">
        <v>33</v>
      </c>
      <c r="D169" s="1" t="n">
        <v>315788</v>
      </c>
      <c r="E169" s="1" t="n">
        <v>0.075841</v>
      </c>
      <c r="G169" s="1" t="n">
        <v>0.019974709</v>
      </c>
      <c r="H169" s="1" t="n">
        <v>0.009225845</v>
      </c>
      <c r="I169" s="1" t="n">
        <v>0.007874966</v>
      </c>
      <c r="J169" s="1" t="n">
        <v>0.006451845</v>
      </c>
      <c r="K169" s="1" t="n">
        <v>0.006805658</v>
      </c>
      <c r="L169" s="1" t="n">
        <v>0.006504774</v>
      </c>
      <c r="M169" s="1" t="n">
        <v>0.006849527</v>
      </c>
      <c r="N169" s="1" t="n">
        <v>0.006823778</v>
      </c>
      <c r="O169" s="1" t="n">
        <v>0.006150961</v>
      </c>
      <c r="P169" s="1" t="n">
        <v>0.006613731</v>
      </c>
      <c r="R169" s="1" t="n">
        <f aca="false">PERCENTILE(G169:P169,0.9)</f>
        <v>0.0103007314</v>
      </c>
      <c r="S169" s="5" t="n">
        <f aca="false">spmv_1!R$10/R169</f>
        <v>3.40089678486326</v>
      </c>
      <c r="T169" s="6" t="n">
        <f aca="false">S169/64</f>
        <v>0.0531390122634884</v>
      </c>
    </row>
    <row r="170" customFormat="false" ht="15" hidden="false" customHeight="false" outlineLevel="0" collapsed="false">
      <c r="A170" s="1" t="s">
        <v>17</v>
      </c>
      <c r="B170" s="1" t="n">
        <v>34</v>
      </c>
      <c r="D170" s="1" t="n">
        <v>315365</v>
      </c>
      <c r="E170" s="1" t="n">
        <v>0.088005</v>
      </c>
      <c r="G170" s="1" t="n">
        <v>0.01863718</v>
      </c>
      <c r="H170" s="1" t="n">
        <v>0.008057356</v>
      </c>
      <c r="I170" s="1" t="n">
        <v>0.006621361</v>
      </c>
      <c r="J170" s="1" t="n">
        <v>0.005283356</v>
      </c>
      <c r="K170" s="1" t="n">
        <v>0.005637407</v>
      </c>
      <c r="L170" s="1" t="n">
        <v>0.005386353</v>
      </c>
      <c r="M170" s="1" t="n">
        <v>0.005781174</v>
      </c>
      <c r="N170" s="1" t="n">
        <v>0.005631685</v>
      </c>
      <c r="O170" s="1" t="n">
        <v>0.005044699</v>
      </c>
      <c r="P170" s="1" t="n">
        <v>0.005589485</v>
      </c>
      <c r="R170" s="1" t="n">
        <f aca="false">PERCENTILE(G170:P170,0.9)</f>
        <v>0.0091153384</v>
      </c>
      <c r="S170" s="5" t="n">
        <f aca="false">spmv_1!R$10/R170</f>
        <v>3.84316223520566</v>
      </c>
      <c r="T170" s="6" t="n">
        <f aca="false">S170/64</f>
        <v>0.0600494099250885</v>
      </c>
    </row>
    <row r="171" customFormat="false" ht="15" hidden="false" customHeight="false" outlineLevel="0" collapsed="false">
      <c r="A171" s="1" t="s">
        <v>17</v>
      </c>
      <c r="B171" s="1" t="n">
        <v>35</v>
      </c>
      <c r="D171" s="1" t="n">
        <v>315843</v>
      </c>
      <c r="E171" s="1" t="n">
        <v>0.075792</v>
      </c>
      <c r="G171" s="1" t="n">
        <v>0.019824505</v>
      </c>
      <c r="H171" s="1" t="n">
        <v>0.00961709</v>
      </c>
      <c r="I171" s="1" t="n">
        <v>0.007903576</v>
      </c>
      <c r="J171" s="1" t="n">
        <v>0.006409883</v>
      </c>
      <c r="K171" s="1" t="n">
        <v>0.006752014</v>
      </c>
      <c r="L171" s="1" t="n">
        <v>0.006407261</v>
      </c>
      <c r="M171" s="1" t="n">
        <v>0.006874561</v>
      </c>
      <c r="N171" s="1" t="n">
        <v>0.006784201</v>
      </c>
      <c r="O171" s="1" t="n">
        <v>0.006202221</v>
      </c>
      <c r="P171" s="1" t="n">
        <v>0.006569862</v>
      </c>
      <c r="R171" s="1" t="n">
        <f aca="false">PERCENTILE(G171:P171,0.9)</f>
        <v>0.0106378315</v>
      </c>
      <c r="S171" s="5" t="n">
        <f aca="false">spmv_1!R$10/R171</f>
        <v>3.29312645157051</v>
      </c>
      <c r="T171" s="6" t="n">
        <f aca="false">S171/64</f>
        <v>0.0514551008057892</v>
      </c>
    </row>
    <row r="172" customFormat="false" ht="15" hidden="false" customHeight="false" outlineLevel="0" collapsed="false">
      <c r="A172" s="1" t="s">
        <v>17</v>
      </c>
      <c r="B172" s="1" t="n">
        <v>36</v>
      </c>
      <c r="D172" s="1" t="n">
        <v>314019</v>
      </c>
      <c r="E172" s="1" t="n">
        <v>0.085225</v>
      </c>
      <c r="G172" s="1" t="n">
        <v>0.018592119</v>
      </c>
      <c r="H172" s="1" t="n">
        <v>0.008484125</v>
      </c>
      <c r="I172" s="1" t="n">
        <v>0.007246733</v>
      </c>
      <c r="J172" s="1" t="n">
        <v>0.00574398</v>
      </c>
      <c r="K172" s="1" t="n">
        <v>0.005609274</v>
      </c>
      <c r="L172" s="1" t="n">
        <v>0.005426168</v>
      </c>
      <c r="M172" s="1" t="n">
        <v>0.005932093</v>
      </c>
      <c r="N172" s="1" t="n">
        <v>0.005759478</v>
      </c>
      <c r="O172" s="1" t="n">
        <v>0.005161524</v>
      </c>
      <c r="P172" s="1" t="n">
        <v>0.005735874</v>
      </c>
      <c r="R172" s="1" t="n">
        <f aca="false">PERCENTILE(G172:P172,0.9)</f>
        <v>0.0094949244</v>
      </c>
      <c r="S172" s="5" t="n">
        <f aca="false">spmv_1!R$10/R172</f>
        <v>3.68952114036843</v>
      </c>
      <c r="T172" s="6" t="n">
        <f aca="false">S172/64</f>
        <v>0.0576487678182567</v>
      </c>
    </row>
    <row r="173" customFormat="false" ht="15" hidden="false" customHeight="false" outlineLevel="0" collapsed="false">
      <c r="A173" s="1" t="s">
        <v>17</v>
      </c>
      <c r="B173" s="1" t="n">
        <v>37</v>
      </c>
      <c r="D173" s="1" t="n">
        <v>315070</v>
      </c>
      <c r="E173" s="1" t="n">
        <v>0.084148</v>
      </c>
      <c r="G173" s="1" t="n">
        <v>0.018496513</v>
      </c>
      <c r="H173" s="1" t="n">
        <v>0.008624792</v>
      </c>
      <c r="I173" s="1" t="n">
        <v>0.007406712</v>
      </c>
      <c r="J173" s="1" t="n">
        <v>0.005852222</v>
      </c>
      <c r="K173" s="1" t="n">
        <v>0.005845308</v>
      </c>
      <c r="L173" s="1" t="n">
        <v>0.005549192</v>
      </c>
      <c r="M173" s="1" t="n">
        <v>0.006091833</v>
      </c>
      <c r="N173" s="1" t="n">
        <v>0.005895615</v>
      </c>
      <c r="O173" s="1" t="n">
        <v>0.00528264</v>
      </c>
      <c r="P173" s="1" t="n">
        <v>0.005840063</v>
      </c>
      <c r="R173" s="1" t="n">
        <f aca="false">PERCENTILE(G173:P173,0.9)</f>
        <v>0.0096119641</v>
      </c>
      <c r="S173" s="5" t="n">
        <f aca="false">spmv_1!R$10/R173</f>
        <v>3.64459583239601</v>
      </c>
      <c r="T173" s="6" t="n">
        <f aca="false">S173/64</f>
        <v>0.0569468098811876</v>
      </c>
    </row>
    <row r="174" customFormat="false" ht="15" hidden="false" customHeight="false" outlineLevel="0" collapsed="false">
      <c r="A174" s="1" t="s">
        <v>17</v>
      </c>
      <c r="B174" s="1" t="n">
        <v>38</v>
      </c>
      <c r="D174" s="1" t="n">
        <v>315104</v>
      </c>
      <c r="E174" s="1" t="n">
        <v>0.076609</v>
      </c>
      <c r="G174" s="1" t="n">
        <v>0.019454956</v>
      </c>
      <c r="H174" s="1" t="n">
        <v>0.009511471</v>
      </c>
      <c r="I174" s="1" t="n">
        <v>0.008160114</v>
      </c>
      <c r="J174" s="1" t="n">
        <v>0.006873369</v>
      </c>
      <c r="K174" s="1" t="n">
        <v>0.006511211</v>
      </c>
      <c r="L174" s="1" t="n">
        <v>0.006127596</v>
      </c>
      <c r="M174" s="1" t="n">
        <v>0.006719828</v>
      </c>
      <c r="N174" s="1" t="n">
        <v>0.00652194</v>
      </c>
      <c r="O174" s="1" t="n">
        <v>0.006047487</v>
      </c>
      <c r="P174" s="1" t="n">
        <v>0.006334543</v>
      </c>
      <c r="R174" s="1" t="n">
        <f aca="false">PERCENTILE(G174:P174,0.9)</f>
        <v>0.0105058195</v>
      </c>
      <c r="S174" s="5" t="n">
        <f aca="false">spmv_1!R$10/R174</f>
        <v>3.33450658466006</v>
      </c>
      <c r="T174" s="6" t="n">
        <f aca="false">S174/64</f>
        <v>0.0521016653853134</v>
      </c>
    </row>
    <row r="175" customFormat="false" ht="15" hidden="false" customHeight="false" outlineLevel="0" collapsed="false">
      <c r="A175" s="1" t="s">
        <v>17</v>
      </c>
      <c r="B175" s="1" t="n">
        <v>39</v>
      </c>
      <c r="D175" s="1" t="n">
        <v>315656</v>
      </c>
      <c r="E175" s="1" t="n">
        <v>0.076913</v>
      </c>
      <c r="G175" s="1" t="n">
        <v>0.019239664</v>
      </c>
      <c r="H175" s="1" t="n">
        <v>0.009515047</v>
      </c>
      <c r="I175" s="1" t="n">
        <v>0.008152485</v>
      </c>
      <c r="J175" s="1" t="n">
        <v>0.006849051</v>
      </c>
      <c r="K175" s="1" t="n">
        <v>0.006526232</v>
      </c>
      <c r="L175" s="1" t="n">
        <v>0.006232023</v>
      </c>
      <c r="M175" s="1" t="n">
        <v>0.006689548</v>
      </c>
      <c r="N175" s="1" t="n">
        <v>0.006490707</v>
      </c>
      <c r="O175" s="1" t="n">
        <v>0.006057024</v>
      </c>
      <c r="P175" s="1" t="n">
        <v>0.006330013</v>
      </c>
      <c r="R175" s="1" t="n">
        <f aca="false">PERCENTILE(G175:P175,0.9)</f>
        <v>0.0104875087</v>
      </c>
      <c r="S175" s="5" t="n">
        <f aca="false">spmv_1!R$10/R175</f>
        <v>3.34032850909578</v>
      </c>
      <c r="T175" s="6" t="n">
        <f aca="false">S175/64</f>
        <v>0.0521926329546216</v>
      </c>
    </row>
    <row r="176" customFormat="false" ht="15" hidden="false" customHeight="false" outlineLevel="0" collapsed="false">
      <c r="A176" s="1" t="s">
        <v>17</v>
      </c>
      <c r="B176" s="1" t="n">
        <v>40</v>
      </c>
      <c r="D176" s="1" t="n">
        <v>317049</v>
      </c>
      <c r="E176" s="1" t="n">
        <v>0.089552</v>
      </c>
      <c r="G176" s="1" t="n">
        <v>0.01780057</v>
      </c>
      <c r="H176" s="1" t="n">
        <v>0.008287191</v>
      </c>
      <c r="I176" s="1" t="n">
        <v>0.007036209</v>
      </c>
      <c r="J176" s="1" t="n">
        <v>0.005845547</v>
      </c>
      <c r="K176" s="1" t="n">
        <v>0.005412579</v>
      </c>
      <c r="L176" s="1" t="n">
        <v>0.005344152</v>
      </c>
      <c r="M176" s="1" t="n">
        <v>0.005597115</v>
      </c>
      <c r="N176" s="1" t="n">
        <v>0.005287647</v>
      </c>
      <c r="O176" s="1" t="n">
        <v>0.004912615</v>
      </c>
      <c r="P176" s="1" t="n">
        <v>0.005284309</v>
      </c>
      <c r="R176" s="1" t="n">
        <f aca="false">PERCENTILE(G176:P176,0.9)</f>
        <v>0.0092385289</v>
      </c>
      <c r="S176" s="5" t="n">
        <f aca="false">spmv_1!R$10/R176</f>
        <v>3.79191586444028</v>
      </c>
      <c r="T176" s="6" t="n">
        <f aca="false">S176/64</f>
        <v>0.0592486853818794</v>
      </c>
    </row>
    <row r="177" customFormat="false" ht="15" hidden="false" customHeight="false" outlineLevel="0" collapsed="false">
      <c r="A177" s="1" t="s">
        <v>17</v>
      </c>
      <c r="B177" s="1" t="n">
        <v>41</v>
      </c>
      <c r="D177" s="1" t="n">
        <v>317675</v>
      </c>
      <c r="E177" s="1" t="n">
        <v>0.090024</v>
      </c>
      <c r="G177" s="1" t="n">
        <v>0.017649412</v>
      </c>
      <c r="H177" s="1" t="n">
        <v>0.008277178</v>
      </c>
      <c r="I177" s="1" t="n">
        <v>0.007032156</v>
      </c>
      <c r="J177" s="1" t="n">
        <v>0.005789518</v>
      </c>
      <c r="K177" s="1" t="n">
        <v>0.005427361</v>
      </c>
      <c r="L177" s="1" t="n">
        <v>0.005356789</v>
      </c>
      <c r="M177" s="1" t="n">
        <v>0.005611181</v>
      </c>
      <c r="N177" s="1" t="n">
        <v>0.005269289</v>
      </c>
      <c r="O177" s="1" t="n">
        <v>0.004904985</v>
      </c>
      <c r="P177" s="1" t="n">
        <v>0.005257607</v>
      </c>
      <c r="R177" s="1" t="n">
        <f aca="false">PERCENTILE(G177:P177,0.9)</f>
        <v>0.0092144014</v>
      </c>
      <c r="S177" s="5" t="n">
        <f aca="false">spmv_1!R$10/R177</f>
        <v>3.80184482738076</v>
      </c>
      <c r="T177" s="6" t="n">
        <f aca="false">S177/64</f>
        <v>0.0594038254278244</v>
      </c>
    </row>
    <row r="178" customFormat="false" ht="15" hidden="false" customHeight="false" outlineLevel="0" collapsed="false">
      <c r="A178" s="1" t="s">
        <v>17</v>
      </c>
      <c r="B178" s="1" t="n">
        <v>42</v>
      </c>
      <c r="D178" s="1" t="n">
        <v>317484</v>
      </c>
      <c r="E178" s="1" t="n">
        <v>0.089379</v>
      </c>
      <c r="G178" s="1" t="n">
        <v>0.017645359</v>
      </c>
      <c r="H178" s="1" t="n">
        <v>0.008277416</v>
      </c>
      <c r="I178" s="1" t="n">
        <v>0.007059574</v>
      </c>
      <c r="J178" s="1" t="n">
        <v>0.005910873</v>
      </c>
      <c r="K178" s="1" t="n">
        <v>0.00553298</v>
      </c>
      <c r="L178" s="1" t="n">
        <v>0.005418062</v>
      </c>
      <c r="M178" s="1" t="n">
        <v>0.005612135</v>
      </c>
      <c r="N178" s="1" t="n">
        <v>0.005288601</v>
      </c>
      <c r="O178" s="1" t="n">
        <v>0.004960775</v>
      </c>
      <c r="P178" s="1" t="n">
        <v>0.005336285</v>
      </c>
      <c r="R178" s="1" t="n">
        <f aca="false">PERCENTILE(G178:P178,0.9)</f>
        <v>0.0092142103</v>
      </c>
      <c r="S178" s="5" t="n">
        <f aca="false">spmv_1!R$10/R178</f>
        <v>3.80192367651952</v>
      </c>
      <c r="T178" s="6" t="n">
        <f aca="false">S178/64</f>
        <v>0.0594050574456175</v>
      </c>
    </row>
    <row r="179" customFormat="false" ht="15" hidden="false" customHeight="false" outlineLevel="0" collapsed="false">
      <c r="A179" s="1" t="s">
        <v>17</v>
      </c>
      <c r="B179" s="1" t="n">
        <v>43</v>
      </c>
      <c r="D179" s="1" t="n">
        <v>317915</v>
      </c>
      <c r="E179" s="1" t="n">
        <v>0.085872</v>
      </c>
      <c r="G179" s="1" t="n">
        <v>0.017727375</v>
      </c>
      <c r="H179" s="1" t="n">
        <v>0.008457899</v>
      </c>
      <c r="I179" s="1" t="n">
        <v>0.007356882</v>
      </c>
      <c r="J179" s="1" t="n">
        <v>0.006868362</v>
      </c>
      <c r="K179" s="1" t="n">
        <v>0.005799055</v>
      </c>
      <c r="L179" s="1" t="n">
        <v>0.005764961</v>
      </c>
      <c r="M179" s="1" t="n">
        <v>0.005837917</v>
      </c>
      <c r="N179" s="1" t="n">
        <v>0.005531788</v>
      </c>
      <c r="O179" s="1" t="n">
        <v>0.005157471</v>
      </c>
      <c r="P179" s="1" t="n">
        <v>0.00554204</v>
      </c>
      <c r="R179" s="1" t="n">
        <f aca="false">PERCENTILE(G179:P179,0.9)</f>
        <v>0.0093848466</v>
      </c>
      <c r="S179" s="5" t="n">
        <f aca="false">spmv_1!R$10/R179</f>
        <v>3.73279668737473</v>
      </c>
      <c r="T179" s="6" t="n">
        <f aca="false">S179/64</f>
        <v>0.0583249482402302</v>
      </c>
    </row>
    <row r="180" customFormat="false" ht="15" hidden="false" customHeight="false" outlineLevel="0" collapsed="false">
      <c r="A180" s="1" t="s">
        <v>17</v>
      </c>
      <c r="B180" s="1" t="n">
        <v>44</v>
      </c>
      <c r="D180" s="1" t="n">
        <v>315699</v>
      </c>
      <c r="E180" s="1" t="n">
        <v>0.08542</v>
      </c>
      <c r="G180" s="1" t="n">
        <v>0.017612696</v>
      </c>
      <c r="H180" s="1" t="n">
        <v>0.008461237</v>
      </c>
      <c r="I180" s="1" t="n">
        <v>0.007352591</v>
      </c>
      <c r="J180" s="1" t="n">
        <v>0.00720191</v>
      </c>
      <c r="K180" s="1" t="n">
        <v>0.005743027</v>
      </c>
      <c r="L180" s="1" t="n">
        <v>0.005762815</v>
      </c>
      <c r="M180" s="1" t="n">
        <v>0.005703926</v>
      </c>
      <c r="N180" s="1" t="n">
        <v>0.005497694</v>
      </c>
      <c r="O180" s="1" t="n">
        <v>0.005087376</v>
      </c>
      <c r="P180" s="1" t="n">
        <v>0.005493879</v>
      </c>
      <c r="R180" s="1" t="n">
        <f aca="false">PERCENTILE(G180:P180,0.9)</f>
        <v>0.0093763829</v>
      </c>
      <c r="S180" s="5" t="n">
        <f aca="false">spmv_1!R$10/R180</f>
        <v>3.73616613929024</v>
      </c>
      <c r="T180" s="6" t="n">
        <f aca="false">S180/64</f>
        <v>0.05837759592641</v>
      </c>
    </row>
    <row r="181" customFormat="false" ht="15" hidden="false" customHeight="false" outlineLevel="0" collapsed="false">
      <c r="A181" s="1" t="s">
        <v>17</v>
      </c>
      <c r="B181" s="1" t="n">
        <v>45</v>
      </c>
      <c r="D181" s="1" t="n">
        <v>315731</v>
      </c>
      <c r="E181" s="1" t="n">
        <v>0.087072</v>
      </c>
      <c r="G181" s="1" t="n">
        <v>0.017372847</v>
      </c>
      <c r="H181" s="1" t="n">
        <v>0.008522749</v>
      </c>
      <c r="I181" s="1" t="n">
        <v>0.007354259</v>
      </c>
      <c r="J181" s="1" t="n">
        <v>0.006016493</v>
      </c>
      <c r="K181" s="1" t="n">
        <v>0.005734921</v>
      </c>
      <c r="L181" s="1" t="n">
        <v>0.005773306</v>
      </c>
      <c r="M181" s="1" t="n">
        <v>0.005703688</v>
      </c>
      <c r="N181" s="1" t="n">
        <v>0.005507946</v>
      </c>
      <c r="O181" s="1" t="n">
        <v>0.00508213</v>
      </c>
      <c r="P181" s="1" t="n">
        <v>0.00545311</v>
      </c>
      <c r="R181" s="1" t="n">
        <f aca="false">PERCENTILE(G181:P181,0.9)</f>
        <v>0.0094077588</v>
      </c>
      <c r="S181" s="5" t="n">
        <f aca="false">spmv_1!R$10/R181</f>
        <v>3.72370561838809</v>
      </c>
      <c r="T181" s="6" t="n">
        <f aca="false">S181/64</f>
        <v>0.0581829002873139</v>
      </c>
    </row>
    <row r="182" customFormat="false" ht="15" hidden="false" customHeight="false" outlineLevel="0" collapsed="false">
      <c r="A182" s="1" t="s">
        <v>17</v>
      </c>
      <c r="B182" s="1" t="n">
        <v>46</v>
      </c>
      <c r="D182" s="1" t="n">
        <v>315326</v>
      </c>
      <c r="E182" s="1" t="n">
        <v>0.085993</v>
      </c>
      <c r="G182" s="1" t="n">
        <v>0.017298222</v>
      </c>
      <c r="H182" s="1" t="n">
        <v>0.008537054</v>
      </c>
      <c r="I182" s="1" t="n">
        <v>0.007359982</v>
      </c>
      <c r="J182" s="1" t="n">
        <v>0.0072155</v>
      </c>
      <c r="K182" s="1" t="n">
        <v>0.00567627</v>
      </c>
      <c r="L182" s="1" t="n">
        <v>0.005720615</v>
      </c>
      <c r="M182" s="1" t="n">
        <v>0.005609035</v>
      </c>
      <c r="N182" s="1" t="n">
        <v>0.005528688</v>
      </c>
      <c r="O182" s="1" t="n">
        <v>0.004987001</v>
      </c>
      <c r="P182" s="1" t="n">
        <v>0.005405188</v>
      </c>
      <c r="R182" s="1" t="n">
        <f aca="false">PERCENTILE(G182:P182,0.9)</f>
        <v>0.0094131708</v>
      </c>
      <c r="S182" s="5" t="n">
        <f aca="false">spmv_1!R$10/R182</f>
        <v>3.72156471441058</v>
      </c>
      <c r="T182" s="6" t="n">
        <f aca="false">S182/64</f>
        <v>0.0581494486626653</v>
      </c>
    </row>
    <row r="183" customFormat="false" ht="15" hidden="false" customHeight="false" outlineLevel="0" collapsed="false">
      <c r="A183" s="1" t="s">
        <v>17</v>
      </c>
      <c r="B183" s="1" t="n">
        <v>47</v>
      </c>
      <c r="D183" s="1" t="n">
        <v>315821</v>
      </c>
      <c r="E183" s="1" t="n">
        <v>0.087064</v>
      </c>
      <c r="G183" s="1" t="n">
        <v>0.016995907</v>
      </c>
      <c r="H183" s="1" t="n">
        <v>0.008550644</v>
      </c>
      <c r="I183" s="1" t="n">
        <v>0.007317305</v>
      </c>
      <c r="J183" s="1" t="n">
        <v>0.006821632</v>
      </c>
      <c r="K183" s="1" t="n">
        <v>0.005634546</v>
      </c>
      <c r="L183" s="1" t="n">
        <v>0.005731106</v>
      </c>
      <c r="M183" s="1" t="n">
        <v>0.00559783</v>
      </c>
      <c r="N183" s="1" t="n">
        <v>0.005477667</v>
      </c>
      <c r="O183" s="1" t="n">
        <v>0.005004883</v>
      </c>
      <c r="P183" s="1" t="n">
        <v>0.005417347</v>
      </c>
      <c r="R183" s="1" t="n">
        <f aca="false">PERCENTILE(G183:P183,0.9)</f>
        <v>0.0093951703</v>
      </c>
      <c r="S183" s="5" t="n">
        <f aca="false">spmv_1!R$10/R183</f>
        <v>3.72869497639654</v>
      </c>
      <c r="T183" s="6" t="n">
        <f aca="false">S183/64</f>
        <v>0.058260859006196</v>
      </c>
    </row>
    <row r="184" customFormat="false" ht="15" hidden="false" customHeight="false" outlineLevel="0" collapsed="false">
      <c r="A184" s="1" t="s">
        <v>17</v>
      </c>
      <c r="B184" s="1" t="n">
        <v>48</v>
      </c>
      <c r="D184" s="1" t="n">
        <v>317097</v>
      </c>
      <c r="E184" s="1" t="n">
        <v>0.08304</v>
      </c>
      <c r="G184" s="1" t="n">
        <v>0.017002583</v>
      </c>
      <c r="H184" s="1" t="n">
        <v>0.008684397</v>
      </c>
      <c r="I184" s="1" t="n">
        <v>0.007980108</v>
      </c>
      <c r="J184" s="1" t="n">
        <v>0.006542444</v>
      </c>
      <c r="K184" s="1" t="n">
        <v>0.006132841</v>
      </c>
      <c r="L184" s="1" t="n">
        <v>0.006141424</v>
      </c>
      <c r="M184" s="1" t="n">
        <v>0.006187916</v>
      </c>
      <c r="N184" s="1" t="n">
        <v>0.006034613</v>
      </c>
      <c r="O184" s="1" t="n">
        <v>0.00554657</v>
      </c>
      <c r="P184" s="1" t="n">
        <v>0.006119013</v>
      </c>
      <c r="R184" s="1" t="n">
        <f aca="false">PERCENTILE(G184:P184,0.9)</f>
        <v>0.0095162156</v>
      </c>
      <c r="S184" s="5" t="n">
        <f aca="false">spmv_1!R$10/R184</f>
        <v>3.68126635340208</v>
      </c>
      <c r="T184" s="6" t="n">
        <f aca="false">S184/64</f>
        <v>0.0575197867719076</v>
      </c>
    </row>
    <row r="185" customFormat="false" ht="15" hidden="false" customHeight="false" outlineLevel="0" collapsed="false">
      <c r="A185" s="1" t="s">
        <v>17</v>
      </c>
      <c r="B185" s="1" t="n">
        <v>49</v>
      </c>
      <c r="D185" s="1" t="n">
        <v>317339</v>
      </c>
      <c r="E185" s="1" t="n">
        <v>0.08688</v>
      </c>
      <c r="G185" s="1" t="n">
        <v>0.016847849</v>
      </c>
      <c r="H185" s="1" t="n">
        <v>0.008481503</v>
      </c>
      <c r="I185" s="1" t="n">
        <v>0.007708073</v>
      </c>
      <c r="J185" s="1" t="n">
        <v>0.00607729</v>
      </c>
      <c r="K185" s="1" t="n">
        <v>0.005784273</v>
      </c>
      <c r="L185" s="1" t="n">
        <v>0.005704165</v>
      </c>
      <c r="M185" s="1" t="n">
        <v>0.005791187</v>
      </c>
      <c r="N185" s="1" t="n">
        <v>0.00564909</v>
      </c>
      <c r="O185" s="1" t="n">
        <v>0.005196333</v>
      </c>
      <c r="P185" s="1" t="n">
        <v>0.005812883</v>
      </c>
      <c r="R185" s="1" t="n">
        <f aca="false">PERCENTILE(G185:P185,0.9)</f>
        <v>0.0093181376</v>
      </c>
      <c r="S185" s="5" t="n">
        <f aca="false">spmv_1!R$10/R185</f>
        <v>3.75951996029765</v>
      </c>
      <c r="T185" s="6" t="n">
        <f aca="false">S185/64</f>
        <v>0.0587424993796507</v>
      </c>
    </row>
    <row r="186" customFormat="false" ht="15" hidden="false" customHeight="false" outlineLevel="0" collapsed="false">
      <c r="A186" s="1" t="s">
        <v>17</v>
      </c>
      <c r="B186" s="1" t="n">
        <v>50</v>
      </c>
      <c r="D186" s="1" t="n">
        <v>316049</v>
      </c>
      <c r="E186" s="1" t="n">
        <v>0.086927</v>
      </c>
      <c r="G186" s="1" t="n">
        <v>0.016658306</v>
      </c>
      <c r="H186" s="1" t="n">
        <v>0.008413076</v>
      </c>
      <c r="I186" s="1" t="n">
        <v>0.007772207</v>
      </c>
      <c r="J186" s="1" t="n">
        <v>0.006053925</v>
      </c>
      <c r="K186" s="1" t="n">
        <v>0.005759001</v>
      </c>
      <c r="L186" s="1" t="n">
        <v>0.005669117</v>
      </c>
      <c r="M186" s="1" t="n">
        <v>0.005777121</v>
      </c>
      <c r="N186" s="1" t="n">
        <v>0.005604267</v>
      </c>
      <c r="O186" s="1" t="n">
        <v>0.005179882</v>
      </c>
      <c r="P186" s="1" t="n">
        <v>0.005829334</v>
      </c>
      <c r="R186" s="1" t="n">
        <f aca="false">PERCENTILE(G186:P186,0.9)</f>
        <v>0.009237599</v>
      </c>
      <c r="S186" s="5" t="n">
        <f aca="false">spmv_1!R$10/R186</f>
        <v>3.79229757645899</v>
      </c>
      <c r="T186" s="6" t="n">
        <f aca="false">S186/64</f>
        <v>0.0592546496321718</v>
      </c>
    </row>
    <row r="187" customFormat="false" ht="15" hidden="false" customHeight="false" outlineLevel="0" collapsed="false">
      <c r="A187" s="1" t="s">
        <v>17</v>
      </c>
      <c r="B187" s="1" t="n">
        <v>51</v>
      </c>
      <c r="D187" s="1" t="n">
        <v>316924</v>
      </c>
      <c r="E187" s="1" t="n">
        <v>0.087059</v>
      </c>
      <c r="G187" s="1" t="n">
        <v>0.016525507</v>
      </c>
      <c r="H187" s="1" t="n">
        <v>0.008409262</v>
      </c>
      <c r="I187" s="1" t="n">
        <v>0.007924557</v>
      </c>
      <c r="J187" s="1" t="n">
        <v>0.006140709</v>
      </c>
      <c r="K187" s="1" t="n">
        <v>0.005788803</v>
      </c>
      <c r="L187" s="1" t="n">
        <v>0.005690098</v>
      </c>
      <c r="M187" s="1" t="n">
        <v>0.005760193</v>
      </c>
      <c r="N187" s="1" t="n">
        <v>0.005598545</v>
      </c>
      <c r="O187" s="1" t="n">
        <v>0.005237818</v>
      </c>
      <c r="P187" s="1" t="n">
        <v>0.005731583</v>
      </c>
      <c r="R187" s="1" t="n">
        <f aca="false">PERCENTILE(G187:P187,0.9)</f>
        <v>0.0092208865</v>
      </c>
      <c r="S187" s="5" t="n">
        <f aca="false">spmv_1!R$10/R187</f>
        <v>3.79917096908199</v>
      </c>
      <c r="T187" s="6" t="n">
        <f aca="false">S187/64</f>
        <v>0.0593620463919061</v>
      </c>
    </row>
    <row r="188" customFormat="false" ht="15" hidden="false" customHeight="false" outlineLevel="0" collapsed="false">
      <c r="A188" s="1" t="s">
        <v>17</v>
      </c>
      <c r="B188" s="1" t="n">
        <v>52</v>
      </c>
      <c r="D188" s="1" t="n">
        <v>315246</v>
      </c>
      <c r="E188" s="1" t="n">
        <v>0.088749</v>
      </c>
      <c r="G188" s="1" t="n">
        <v>0.016303539</v>
      </c>
      <c r="H188" s="1" t="n">
        <v>0.008288622</v>
      </c>
      <c r="I188" s="1" t="n">
        <v>0.007776976</v>
      </c>
      <c r="J188" s="1" t="n">
        <v>0.0059762</v>
      </c>
      <c r="K188" s="1" t="n">
        <v>0.005589485</v>
      </c>
      <c r="L188" s="1" t="n">
        <v>0.005515099</v>
      </c>
      <c r="M188" s="1" t="n">
        <v>0.005620718</v>
      </c>
      <c r="N188" s="1" t="n">
        <v>0.005405903</v>
      </c>
      <c r="O188" s="1" t="n">
        <v>0.005059004</v>
      </c>
      <c r="P188" s="1" t="n">
        <v>0.005506992</v>
      </c>
      <c r="R188" s="1" t="n">
        <f aca="false">PERCENTILE(G188:P188,0.9)</f>
        <v>0.0090901137</v>
      </c>
      <c r="S188" s="5" t="n">
        <f aca="false">spmv_1!R$10/R188</f>
        <v>3.8538268558731</v>
      </c>
      <c r="T188" s="6" t="n">
        <f aca="false">S188/64</f>
        <v>0.0602160446230172</v>
      </c>
    </row>
    <row r="189" customFormat="false" ht="15" hidden="false" customHeight="false" outlineLevel="0" collapsed="false">
      <c r="A189" s="1" t="s">
        <v>17</v>
      </c>
      <c r="B189" s="1" t="n">
        <v>53</v>
      </c>
      <c r="D189" s="1" t="n">
        <v>315735</v>
      </c>
      <c r="E189" s="1" t="n">
        <v>0.083289</v>
      </c>
      <c r="G189" s="1" t="n">
        <v>0.016318083</v>
      </c>
      <c r="H189" s="1" t="n">
        <v>0.008657932</v>
      </c>
      <c r="I189" s="1" t="n">
        <v>0.008137226</v>
      </c>
      <c r="J189" s="1" t="n">
        <v>0.006524086</v>
      </c>
      <c r="K189" s="1" t="n">
        <v>0.006125689</v>
      </c>
      <c r="L189" s="1" t="n">
        <v>0.006121397</v>
      </c>
      <c r="M189" s="1" t="n">
        <v>0.006211281</v>
      </c>
      <c r="N189" s="1" t="n">
        <v>0.006012678</v>
      </c>
      <c r="O189" s="1" t="n">
        <v>0.005591393</v>
      </c>
      <c r="P189" s="1" t="n">
        <v>0.006117105</v>
      </c>
      <c r="R189" s="1" t="n">
        <f aca="false">PERCENTILE(G189:P189,0.9)</f>
        <v>0.0094239471</v>
      </c>
      <c r="S189" s="5" t="n">
        <f aca="false">spmv_1!R$10/R189</f>
        <v>3.71730909864721</v>
      </c>
      <c r="T189" s="6" t="n">
        <f aca="false">S189/64</f>
        <v>0.0580829546663627</v>
      </c>
    </row>
    <row r="190" customFormat="false" ht="15" hidden="false" customHeight="false" outlineLevel="0" collapsed="false">
      <c r="A190" s="1" t="s">
        <v>17</v>
      </c>
      <c r="B190" s="1" t="n">
        <v>54</v>
      </c>
      <c r="D190" s="1" t="n">
        <v>316051</v>
      </c>
      <c r="E190" s="1" t="n">
        <v>0.084976</v>
      </c>
      <c r="G190" s="1" t="n">
        <v>0.01615119</v>
      </c>
      <c r="H190" s="1" t="n">
        <v>0.008455038</v>
      </c>
      <c r="I190" s="1" t="n">
        <v>0.009557247</v>
      </c>
      <c r="J190" s="1" t="n">
        <v>0.006084919</v>
      </c>
      <c r="K190" s="1" t="n">
        <v>0.005782127</v>
      </c>
      <c r="L190" s="1" t="n">
        <v>0.00567627</v>
      </c>
      <c r="M190" s="1" t="n">
        <v>0.005892515</v>
      </c>
      <c r="N190" s="1" t="n">
        <v>0.005640507</v>
      </c>
      <c r="O190" s="1" t="n">
        <v>0.005328894</v>
      </c>
      <c r="P190" s="1" t="n">
        <v>0.005817652</v>
      </c>
      <c r="R190" s="1" t="n">
        <f aca="false">PERCENTILE(G190:P190,0.9)</f>
        <v>0.0102166413</v>
      </c>
      <c r="S190" s="5" t="n">
        <f aca="false">spmv_1!R$10/R190</f>
        <v>3.42888854285214</v>
      </c>
      <c r="T190" s="6" t="n">
        <f aca="false">S190/64</f>
        <v>0.0535763834820647</v>
      </c>
    </row>
    <row r="191" customFormat="false" ht="15" hidden="false" customHeight="false" outlineLevel="0" collapsed="false">
      <c r="A191" s="1" t="s">
        <v>17</v>
      </c>
      <c r="B191" s="1" t="n">
        <v>55</v>
      </c>
      <c r="D191" s="1" t="n">
        <v>316564</v>
      </c>
      <c r="E191" s="1" t="n">
        <v>0.083292</v>
      </c>
      <c r="G191" s="1" t="n">
        <v>0.01629281</v>
      </c>
      <c r="H191" s="1" t="n">
        <v>0.008701324</v>
      </c>
      <c r="I191" s="1" t="n">
        <v>0.008159161</v>
      </c>
      <c r="J191" s="1" t="n">
        <v>0.006545782</v>
      </c>
      <c r="K191" s="1" t="n">
        <v>0.006141663</v>
      </c>
      <c r="L191" s="1" t="n">
        <v>0.006134987</v>
      </c>
      <c r="M191" s="1" t="n">
        <v>0.006243944</v>
      </c>
      <c r="N191" s="1" t="n">
        <v>0.006053925</v>
      </c>
      <c r="O191" s="1" t="n">
        <v>0.005606413</v>
      </c>
      <c r="P191" s="1" t="n">
        <v>0.00613308</v>
      </c>
      <c r="R191" s="1" t="n">
        <f aca="false">PERCENTILE(G191:P191,0.9)</f>
        <v>0.0094604726</v>
      </c>
      <c r="S191" s="5" t="n">
        <f aca="false">spmv_1!R$10/R191</f>
        <v>3.70295711231171</v>
      </c>
      <c r="T191" s="6" t="n">
        <f aca="false">S191/64</f>
        <v>0.0578587048798704</v>
      </c>
    </row>
    <row r="192" customFormat="false" ht="15" hidden="false" customHeight="false" outlineLevel="0" collapsed="false">
      <c r="A192" s="1" t="s">
        <v>17</v>
      </c>
      <c r="B192" s="1" t="n">
        <v>56</v>
      </c>
      <c r="D192" s="1" t="n">
        <v>318102</v>
      </c>
      <c r="E192" s="1" t="n">
        <v>0.08727</v>
      </c>
      <c r="G192" s="1" t="n">
        <v>0.016057491</v>
      </c>
      <c r="H192" s="1" t="n">
        <v>0.008430719</v>
      </c>
      <c r="I192" s="1" t="n">
        <v>0.007931948</v>
      </c>
      <c r="J192" s="1" t="n">
        <v>0.006207466</v>
      </c>
      <c r="K192" s="1" t="n">
        <v>0.005845785</v>
      </c>
      <c r="L192" s="1" t="n">
        <v>0.005750656</v>
      </c>
      <c r="M192" s="1" t="n">
        <v>0.005881548</v>
      </c>
      <c r="N192" s="1" t="n">
        <v>0.005660534</v>
      </c>
      <c r="O192" s="1" t="n">
        <v>0.005357981</v>
      </c>
      <c r="P192" s="1" t="n">
        <v>0.005776644</v>
      </c>
      <c r="R192" s="1" t="n">
        <f aca="false">PERCENTILE(G192:P192,0.9)</f>
        <v>0.0091933962</v>
      </c>
      <c r="S192" s="5" t="n">
        <f aca="false">spmv_1!R$10/R192</f>
        <v>3.81053133552539</v>
      </c>
      <c r="T192" s="6" t="n">
        <f aca="false">S192/64</f>
        <v>0.0595395521175842</v>
      </c>
    </row>
    <row r="193" customFormat="false" ht="15" hidden="false" customHeight="false" outlineLevel="0" collapsed="false">
      <c r="A193" s="1" t="s">
        <v>17</v>
      </c>
      <c r="B193" s="1" t="n">
        <v>57</v>
      </c>
      <c r="D193" s="1" t="n">
        <v>318450</v>
      </c>
      <c r="E193" s="1" t="n">
        <v>0.087893</v>
      </c>
      <c r="G193" s="1" t="n">
        <v>0.015925407</v>
      </c>
      <c r="H193" s="1" t="n">
        <v>0.008318424</v>
      </c>
      <c r="I193" s="1" t="n">
        <v>0.007873535</v>
      </c>
      <c r="J193" s="1" t="n">
        <v>0.006120682</v>
      </c>
      <c r="K193" s="1" t="n">
        <v>0.005806684</v>
      </c>
      <c r="L193" s="1" t="n">
        <v>0.005727768</v>
      </c>
      <c r="M193" s="1" t="n">
        <v>0.005895376</v>
      </c>
      <c r="N193" s="1" t="n">
        <v>0.005662203</v>
      </c>
      <c r="O193" s="1" t="n">
        <v>0.005289555</v>
      </c>
      <c r="P193" s="1" t="n">
        <v>0.005843163</v>
      </c>
      <c r="R193" s="1" t="n">
        <f aca="false">PERCENTILE(G193:P193,0.9)</f>
        <v>0.0090791223</v>
      </c>
      <c r="S193" s="5" t="n">
        <f aca="false">spmv_1!R$10/R193</f>
        <v>3.85849238973243</v>
      </c>
      <c r="T193" s="6" t="n">
        <f aca="false">S193/64</f>
        <v>0.0602889435895693</v>
      </c>
    </row>
    <row r="194" customFormat="false" ht="15" hidden="false" customHeight="false" outlineLevel="0" collapsed="false">
      <c r="A194" s="1" t="s">
        <v>17</v>
      </c>
      <c r="B194" s="1" t="n">
        <v>58</v>
      </c>
      <c r="D194" s="1" t="n">
        <v>318196</v>
      </c>
      <c r="E194" s="1" t="n">
        <v>0.088004</v>
      </c>
      <c r="G194" s="1" t="n">
        <v>0.015808821</v>
      </c>
      <c r="H194" s="1" t="n">
        <v>0.008285999</v>
      </c>
      <c r="I194" s="1" t="n">
        <v>0.007904291</v>
      </c>
      <c r="J194" s="1" t="n">
        <v>0.006199121</v>
      </c>
      <c r="K194" s="1" t="n">
        <v>0.005827904</v>
      </c>
      <c r="L194" s="1" t="n">
        <v>0.00574851</v>
      </c>
      <c r="M194" s="1" t="n">
        <v>0.005821228</v>
      </c>
      <c r="N194" s="1" t="n">
        <v>0.005638123</v>
      </c>
      <c r="O194" s="1" t="n">
        <v>0.005281925</v>
      </c>
      <c r="P194" s="1" t="n">
        <v>0.00579834</v>
      </c>
      <c r="R194" s="1" t="n">
        <f aca="false">PERCENTILE(G194:P194,0.9)</f>
        <v>0.0090382812</v>
      </c>
      <c r="S194" s="5" t="n">
        <f aca="false">spmv_1!R$10/R194</f>
        <v>3.87592768191368</v>
      </c>
      <c r="T194" s="6" t="n">
        <f aca="false">S194/64</f>
        <v>0.0605613700299013</v>
      </c>
    </row>
    <row r="195" customFormat="false" ht="15" hidden="false" customHeight="false" outlineLevel="0" collapsed="false">
      <c r="A195" s="1" t="s">
        <v>17</v>
      </c>
      <c r="B195" s="1" t="n">
        <v>59</v>
      </c>
      <c r="D195" s="1" t="n">
        <v>318855</v>
      </c>
      <c r="E195" s="1" t="n">
        <v>0.089034</v>
      </c>
      <c r="G195" s="1" t="n">
        <v>0.015625477</v>
      </c>
      <c r="H195" s="1" t="n">
        <v>0.008211136</v>
      </c>
      <c r="I195" s="1" t="n">
        <v>0.007824183</v>
      </c>
      <c r="J195" s="1" t="n">
        <v>0.006070852</v>
      </c>
      <c r="K195" s="1" t="n">
        <v>0.005764008</v>
      </c>
      <c r="L195" s="1" t="n">
        <v>0.005681753</v>
      </c>
      <c r="M195" s="1" t="n">
        <v>0.005769014</v>
      </c>
      <c r="N195" s="1" t="n">
        <v>0.00562501</v>
      </c>
      <c r="O195" s="1" t="n">
        <v>0.005285501</v>
      </c>
      <c r="P195" s="1" t="n">
        <v>0.005768299</v>
      </c>
      <c r="R195" s="1" t="n">
        <f aca="false">PERCENTILE(G195:P195,0.9)</f>
        <v>0.0089525701</v>
      </c>
      <c r="S195" s="5" t="n">
        <f aca="false">spmv_1!R$10/R195</f>
        <v>3.91303546453102</v>
      </c>
      <c r="T195" s="6" t="n">
        <f aca="false">S195/64</f>
        <v>0.0611411791332972</v>
      </c>
    </row>
    <row r="196" customFormat="false" ht="15" hidden="false" customHeight="false" outlineLevel="0" collapsed="false">
      <c r="A196" s="1" t="s">
        <v>17</v>
      </c>
      <c r="B196" s="1" t="n">
        <v>60</v>
      </c>
      <c r="D196" s="1" t="n">
        <v>316130</v>
      </c>
      <c r="E196" s="1" t="n">
        <v>0.087152</v>
      </c>
      <c r="G196" s="1" t="n">
        <v>0.015436888</v>
      </c>
      <c r="H196" s="1" t="n">
        <v>0.008132219</v>
      </c>
      <c r="I196" s="1" t="n">
        <v>0.007770777</v>
      </c>
      <c r="J196" s="1" t="n">
        <v>0.007665634</v>
      </c>
      <c r="K196" s="1" t="n">
        <v>0.005713463</v>
      </c>
      <c r="L196" s="1" t="n">
        <v>0.005665541</v>
      </c>
      <c r="M196" s="1" t="n">
        <v>0.005679846</v>
      </c>
      <c r="N196" s="1" t="n">
        <v>0.005631447</v>
      </c>
      <c r="O196" s="1" t="n">
        <v>0.005173922</v>
      </c>
      <c r="P196" s="1" t="n">
        <v>0.005677223</v>
      </c>
      <c r="R196" s="1" t="n">
        <f aca="false">PERCENTILE(G196:P196,0.9)</f>
        <v>0.0088626859</v>
      </c>
      <c r="S196" s="5" t="n">
        <f aca="false">spmv_1!R$10/R196</f>
        <v>3.95272095787576</v>
      </c>
      <c r="T196" s="6" t="n">
        <f aca="false">S196/64</f>
        <v>0.0617612649668088</v>
      </c>
    </row>
    <row r="197" customFormat="false" ht="15" hidden="false" customHeight="false" outlineLevel="0" collapsed="false">
      <c r="A197" s="1" t="s">
        <v>17</v>
      </c>
      <c r="B197" s="1" t="n">
        <v>61</v>
      </c>
      <c r="D197" s="1" t="n">
        <v>316232</v>
      </c>
      <c r="E197" s="1" t="n">
        <v>0.085741</v>
      </c>
      <c r="G197" s="1" t="n">
        <v>0.015503645</v>
      </c>
      <c r="H197" s="1" t="n">
        <v>0.008331299</v>
      </c>
      <c r="I197" s="1" t="n">
        <v>0.008002281</v>
      </c>
      <c r="J197" s="1" t="n">
        <v>0.006424665</v>
      </c>
      <c r="K197" s="1" t="n">
        <v>0.006054401</v>
      </c>
      <c r="L197" s="1" t="n">
        <v>0.006068468</v>
      </c>
      <c r="M197" s="1" t="n">
        <v>0.006024361</v>
      </c>
      <c r="N197" s="1" t="n">
        <v>0.005970478</v>
      </c>
      <c r="O197" s="1" t="n">
        <v>0.005477428</v>
      </c>
      <c r="P197" s="1" t="n">
        <v>0.005907774</v>
      </c>
      <c r="R197" s="1" t="n">
        <f aca="false">PERCENTILE(G197:P197,0.9)</f>
        <v>0.0090485336</v>
      </c>
      <c r="S197" s="5" t="n">
        <f aca="false">spmv_1!R$10/R197</f>
        <v>3.87153607961405</v>
      </c>
      <c r="T197" s="6" t="n">
        <f aca="false">S197/64</f>
        <v>0.0604927512439695</v>
      </c>
    </row>
    <row r="198" customFormat="false" ht="15" hidden="false" customHeight="false" outlineLevel="0" collapsed="false">
      <c r="A198" s="1" t="s">
        <v>17</v>
      </c>
      <c r="B198" s="1" t="n">
        <v>62</v>
      </c>
      <c r="D198" s="1" t="n">
        <v>315847</v>
      </c>
      <c r="E198" s="1" t="n">
        <v>0.088686</v>
      </c>
      <c r="G198" s="1" t="n">
        <v>0.015066385</v>
      </c>
      <c r="H198" s="1" t="n">
        <v>0.007904291</v>
      </c>
      <c r="I198" s="1" t="n">
        <v>0.007313967</v>
      </c>
      <c r="J198" s="1" t="n">
        <v>0.007755518</v>
      </c>
      <c r="K198" s="1" t="n">
        <v>0.005697012</v>
      </c>
      <c r="L198" s="1" t="n">
        <v>0.005625725</v>
      </c>
      <c r="M198" s="1" t="n">
        <v>0.005606413</v>
      </c>
      <c r="N198" s="1" t="n">
        <v>0.005547047</v>
      </c>
      <c r="O198" s="1" t="n">
        <v>0.005130291</v>
      </c>
      <c r="P198" s="1" t="n">
        <v>0.005581379</v>
      </c>
      <c r="R198" s="1" t="n">
        <f aca="false">PERCENTILE(G198:P198,0.9)</f>
        <v>0.0086205004</v>
      </c>
      <c r="S198" s="5" t="n">
        <f aca="false">spmv_1!R$10/R198</f>
        <v>4.06376923316424</v>
      </c>
      <c r="T198" s="6" t="n">
        <f aca="false">S198/64</f>
        <v>0.0634963942681912</v>
      </c>
    </row>
    <row r="199" customFormat="false" ht="15" hidden="false" customHeight="false" outlineLevel="0" collapsed="false">
      <c r="A199" s="1" t="s">
        <v>17</v>
      </c>
      <c r="B199" s="1" t="n">
        <v>63</v>
      </c>
      <c r="D199" s="1" t="n">
        <v>315851</v>
      </c>
      <c r="E199" s="1" t="n">
        <v>0.088271</v>
      </c>
      <c r="G199" s="1" t="n">
        <v>0.015011549</v>
      </c>
      <c r="H199" s="1" t="n">
        <v>0.007920742</v>
      </c>
      <c r="I199" s="1" t="n">
        <v>0.007499695</v>
      </c>
      <c r="J199" s="1" t="n">
        <v>0.006308079</v>
      </c>
      <c r="K199" s="1" t="n">
        <v>0.0059793</v>
      </c>
      <c r="L199" s="1" t="n">
        <v>0.00593853</v>
      </c>
      <c r="M199" s="1" t="n">
        <v>0.005918503</v>
      </c>
      <c r="N199" s="1" t="n">
        <v>0.005824327</v>
      </c>
      <c r="O199" s="1" t="n">
        <v>0.005337238</v>
      </c>
      <c r="P199" s="1" t="n">
        <v>0.005826235</v>
      </c>
      <c r="R199" s="1" t="n">
        <f aca="false">PERCENTILE(G199:P199,0.9)</f>
        <v>0.0086298227</v>
      </c>
      <c r="S199" s="5" t="n">
        <f aca="false">spmv_1!R$10/R199</f>
        <v>4.05937937751607</v>
      </c>
      <c r="T199" s="6" t="n">
        <f aca="false">S199/64</f>
        <v>0.0634278027736885</v>
      </c>
    </row>
    <row r="202" customFormat="false" ht="15" hidden="false" customHeight="false" outlineLevel="0" collapsed="false">
      <c r="A202" s="2" t="s">
        <v>0</v>
      </c>
      <c r="B202" s="2" t="s">
        <v>1</v>
      </c>
      <c r="C202" s="3"/>
      <c r="D202" s="2" t="s">
        <v>2</v>
      </c>
      <c r="E202" s="2" t="s">
        <v>3</v>
      </c>
      <c r="F202" s="3"/>
      <c r="G202" s="2" t="s">
        <v>4</v>
      </c>
      <c r="H202" s="2" t="s">
        <v>5</v>
      </c>
      <c r="I202" s="2" t="s">
        <v>6</v>
      </c>
      <c r="J202" s="2" t="s">
        <v>7</v>
      </c>
      <c r="K202" s="2" t="s">
        <v>8</v>
      </c>
      <c r="L202" s="2" t="s">
        <v>9</v>
      </c>
      <c r="M202" s="2" t="s">
        <v>10</v>
      </c>
      <c r="N202" s="2" t="s">
        <v>11</v>
      </c>
      <c r="O202" s="2" t="s">
        <v>12</v>
      </c>
      <c r="P202" s="2" t="s">
        <v>13</v>
      </c>
      <c r="R202" s="4" t="s">
        <v>14</v>
      </c>
      <c r="S202" s="7" t="s">
        <v>20</v>
      </c>
      <c r="T202" s="8" t="s">
        <v>21</v>
      </c>
    </row>
    <row r="203" customFormat="false" ht="15" hidden="false" customHeight="false" outlineLevel="0" collapsed="false">
      <c r="A203" s="1" t="s">
        <v>18</v>
      </c>
      <c r="B203" s="1" t="n">
        <v>0</v>
      </c>
      <c r="D203" s="1" t="n">
        <v>12099164</v>
      </c>
      <c r="E203" s="1" t="n">
        <v>0.038031</v>
      </c>
      <c r="G203" s="1" t="n">
        <v>0.648885012</v>
      </c>
      <c r="H203" s="1" t="n">
        <v>0.633155346</v>
      </c>
      <c r="I203" s="1" t="n">
        <v>0.638182402</v>
      </c>
      <c r="J203" s="1" t="n">
        <v>0.632697344</v>
      </c>
      <c r="K203" s="1" t="n">
        <v>0.633018494</v>
      </c>
      <c r="L203" s="1" t="n">
        <v>0.637785435</v>
      </c>
      <c r="M203" s="1" t="n">
        <v>0.630719423</v>
      </c>
      <c r="N203" s="1" t="n">
        <v>0.638306856</v>
      </c>
      <c r="O203" s="1" t="n">
        <v>0.634852886</v>
      </c>
      <c r="P203" s="1" t="n">
        <v>0.635159731</v>
      </c>
      <c r="R203" s="1" t="n">
        <f aca="false">PERCENTILE(G203:P203,0.9)</f>
        <v>0.6393646716</v>
      </c>
      <c r="S203" s="5" t="n">
        <f aca="false">spmv_1!R$14/R203</f>
        <v>1.72756520928173</v>
      </c>
      <c r="T203" s="6" t="n">
        <f aca="false">S203/64</f>
        <v>0.0269932063950271</v>
      </c>
    </row>
    <row r="204" customFormat="false" ht="15" hidden="false" customHeight="false" outlineLevel="0" collapsed="false">
      <c r="A204" s="1" t="s">
        <v>18</v>
      </c>
      <c r="B204" s="1" t="n">
        <v>1</v>
      </c>
      <c r="D204" s="1" t="n">
        <v>12103470</v>
      </c>
      <c r="E204" s="1" t="n">
        <v>0.03804</v>
      </c>
      <c r="G204" s="1" t="n">
        <v>0.648981094</v>
      </c>
      <c r="H204" s="1" t="n">
        <v>0.633244991</v>
      </c>
      <c r="I204" s="1" t="n">
        <v>0.638739347</v>
      </c>
      <c r="J204" s="1" t="n">
        <v>0.632869244</v>
      </c>
      <c r="K204" s="1" t="n">
        <v>0.633538246</v>
      </c>
      <c r="L204" s="1" t="n">
        <v>0.638397217</v>
      </c>
      <c r="M204" s="1" t="n">
        <v>0.630982876</v>
      </c>
      <c r="N204" s="1" t="n">
        <v>0.637245893</v>
      </c>
      <c r="O204" s="1" t="n">
        <v>0.634522438</v>
      </c>
      <c r="P204" s="1" t="n">
        <v>0.6350317</v>
      </c>
      <c r="R204" s="1" t="n">
        <f aca="false">PERCENTILE(G204:P204,0.9)</f>
        <v>0.6397635217</v>
      </c>
      <c r="S204" s="5" t="n">
        <f aca="false">spmv_1!R$14/R204</f>
        <v>1.72648818701787</v>
      </c>
      <c r="T204" s="6" t="n">
        <f aca="false">S204/64</f>
        <v>0.0269763779221542</v>
      </c>
    </row>
    <row r="205" customFormat="false" ht="15" hidden="false" customHeight="false" outlineLevel="0" collapsed="false">
      <c r="A205" s="1" t="s">
        <v>18</v>
      </c>
      <c r="B205" s="1" t="n">
        <v>2</v>
      </c>
      <c r="D205" s="1" t="n">
        <v>12105624</v>
      </c>
      <c r="E205" s="1" t="n">
        <v>0.037762</v>
      </c>
      <c r="G205" s="1" t="n">
        <v>0.654460669</v>
      </c>
      <c r="H205" s="1" t="n">
        <v>0.637773514</v>
      </c>
      <c r="I205" s="1" t="n">
        <v>0.644103765</v>
      </c>
      <c r="J205" s="1" t="n">
        <v>0.637238503</v>
      </c>
      <c r="K205" s="1" t="n">
        <v>0.639627218</v>
      </c>
      <c r="L205" s="1" t="n">
        <v>0.6425488</v>
      </c>
      <c r="M205" s="1" t="n">
        <v>0.635271788</v>
      </c>
      <c r="N205" s="1" t="n">
        <v>0.641928434</v>
      </c>
      <c r="O205" s="1" t="n">
        <v>0.639059067</v>
      </c>
      <c r="P205" s="1" t="n">
        <v>0.639519215</v>
      </c>
      <c r="R205" s="1" t="n">
        <f aca="false">PERCENTILE(G205:P205,0.9)</f>
        <v>0.6451394554</v>
      </c>
      <c r="S205" s="5" t="n">
        <f aca="false">spmv_1!R$14/R205</f>
        <v>1.71210139676725</v>
      </c>
      <c r="T205" s="6" t="n">
        <f aca="false">S205/64</f>
        <v>0.0267515843244882</v>
      </c>
    </row>
    <row r="206" customFormat="false" ht="15" hidden="false" customHeight="false" outlineLevel="0" collapsed="false">
      <c r="A206" s="1" t="s">
        <v>18</v>
      </c>
      <c r="B206" s="1" t="n">
        <v>3</v>
      </c>
      <c r="D206" s="1" t="n">
        <v>12105624</v>
      </c>
      <c r="E206" s="1" t="n">
        <v>0.04284</v>
      </c>
      <c r="G206" s="1" t="n">
        <v>0.567242146</v>
      </c>
      <c r="H206" s="1" t="n">
        <v>0.559982061</v>
      </c>
      <c r="I206" s="1" t="n">
        <v>0.569322109</v>
      </c>
      <c r="J206" s="1" t="n">
        <v>0.561508894</v>
      </c>
      <c r="K206" s="1" t="n">
        <v>0.566704512</v>
      </c>
      <c r="L206" s="1" t="n">
        <v>0.567766905</v>
      </c>
      <c r="M206" s="1" t="n">
        <v>0.557439804</v>
      </c>
      <c r="N206" s="1" t="n">
        <v>0.574965239</v>
      </c>
      <c r="O206" s="1" t="n">
        <v>0.562197924</v>
      </c>
      <c r="P206" s="1" t="n">
        <v>0.564385414</v>
      </c>
      <c r="R206" s="1" t="n">
        <f aca="false">PERCENTILE(G206:P206,0.9)</f>
        <v>0.569886422</v>
      </c>
      <c r="S206" s="5" t="n">
        <f aca="false">spmv_1!R$14/R206</f>
        <v>1.93818297832686</v>
      </c>
      <c r="T206" s="6" t="n">
        <f aca="false">S206/64</f>
        <v>0.0302841090363572</v>
      </c>
    </row>
    <row r="207" customFormat="false" ht="15" hidden="false" customHeight="false" outlineLevel="0" collapsed="false">
      <c r="A207" s="1" t="s">
        <v>18</v>
      </c>
      <c r="B207" s="1" t="n">
        <v>4</v>
      </c>
      <c r="D207" s="1" t="n">
        <v>12103470</v>
      </c>
      <c r="E207" s="1" t="n">
        <v>0.042268</v>
      </c>
      <c r="G207" s="1" t="n">
        <v>0.575182676</v>
      </c>
      <c r="H207" s="1" t="n">
        <v>0.567295313</v>
      </c>
      <c r="I207" s="1" t="n">
        <v>0.577911139</v>
      </c>
      <c r="J207" s="1" t="n">
        <v>0.568253517</v>
      </c>
      <c r="K207" s="1" t="n">
        <v>0.573520184</v>
      </c>
      <c r="L207" s="1" t="n">
        <v>0.575075865</v>
      </c>
      <c r="M207" s="1" t="n">
        <v>0.57033205</v>
      </c>
      <c r="N207" s="1" t="n">
        <v>0.580389738</v>
      </c>
      <c r="O207" s="1" t="n">
        <v>0.570395231</v>
      </c>
      <c r="P207" s="1" t="n">
        <v>0.568689108</v>
      </c>
      <c r="R207" s="1" t="n">
        <f aca="false">PERCENTILE(G207:P207,0.9)</f>
        <v>0.5781589989</v>
      </c>
      <c r="S207" s="5" t="n">
        <f aca="false">spmv_1!R$14/R207</f>
        <v>1.91045052451228</v>
      </c>
      <c r="T207" s="6" t="n">
        <f aca="false">S207/64</f>
        <v>0.0298507894455044</v>
      </c>
    </row>
    <row r="208" customFormat="false" ht="15" hidden="false" customHeight="false" outlineLevel="0" collapsed="false">
      <c r="A208" s="1" t="s">
        <v>18</v>
      </c>
      <c r="B208" s="1" t="n">
        <v>5</v>
      </c>
      <c r="D208" s="1" t="n">
        <v>12101316</v>
      </c>
      <c r="E208" s="1" t="n">
        <v>0.041957</v>
      </c>
      <c r="G208" s="1" t="n">
        <v>0.582126856</v>
      </c>
      <c r="H208" s="1" t="n">
        <v>0.571902752</v>
      </c>
      <c r="I208" s="1" t="n">
        <v>0.580988884</v>
      </c>
      <c r="J208" s="1" t="n">
        <v>0.572659016</v>
      </c>
      <c r="K208" s="1" t="n">
        <v>0.575478315</v>
      </c>
      <c r="L208" s="1" t="n">
        <v>0.57841301</v>
      </c>
      <c r="M208" s="1" t="n">
        <v>0.576547623</v>
      </c>
      <c r="N208" s="1" t="n">
        <v>0.582115412</v>
      </c>
      <c r="O208" s="1" t="n">
        <v>0.574336052</v>
      </c>
      <c r="P208" s="1" t="n">
        <v>0.573815346</v>
      </c>
      <c r="R208" s="1" t="n">
        <f aca="false">PERCENTILE(G208:P208,0.9)</f>
        <v>0.5821165564</v>
      </c>
      <c r="S208" s="5" t="n">
        <f aca="false">spmv_1!R$14/R208</f>
        <v>1.89746220160935</v>
      </c>
      <c r="T208" s="6" t="n">
        <f aca="false">S208/64</f>
        <v>0.0296478469001462</v>
      </c>
    </row>
    <row r="209" customFormat="false" ht="15" hidden="false" customHeight="false" outlineLevel="0" collapsed="false">
      <c r="A209" s="1" t="s">
        <v>18</v>
      </c>
      <c r="B209" s="1" t="n">
        <v>6</v>
      </c>
      <c r="D209" s="1" t="n">
        <v>12099162</v>
      </c>
      <c r="E209" s="1" t="n">
        <v>0.037201</v>
      </c>
      <c r="G209" s="1" t="n">
        <v>0.663827419</v>
      </c>
      <c r="H209" s="1" t="n">
        <v>0.64695549</v>
      </c>
      <c r="I209" s="1" t="n">
        <v>0.652680635</v>
      </c>
      <c r="J209" s="1" t="n">
        <v>0.646668911</v>
      </c>
      <c r="K209" s="1" t="n">
        <v>0.649205446</v>
      </c>
      <c r="L209" s="1" t="n">
        <v>0.650988817</v>
      </c>
      <c r="M209" s="1" t="n">
        <v>0.6474545</v>
      </c>
      <c r="N209" s="1" t="n">
        <v>0.650758028</v>
      </c>
      <c r="O209" s="1" t="n">
        <v>0.648267269</v>
      </c>
      <c r="P209" s="1" t="n">
        <v>0.648005724</v>
      </c>
      <c r="R209" s="1" t="n">
        <f aca="false">PERCENTILE(G209:P209,0.9)</f>
        <v>0.6537953134</v>
      </c>
      <c r="S209" s="5" t="n">
        <f aca="false">spmv_1!R$14/R209</f>
        <v>1.68943420067654</v>
      </c>
      <c r="T209" s="6" t="n">
        <f aca="false">S209/64</f>
        <v>0.026397409385571</v>
      </c>
    </row>
    <row r="210" customFormat="false" ht="15" hidden="false" customHeight="false" outlineLevel="0" collapsed="false">
      <c r="A210" s="1" t="s">
        <v>18</v>
      </c>
      <c r="B210" s="1" t="n">
        <v>7</v>
      </c>
      <c r="D210" s="1" t="n">
        <v>12099162</v>
      </c>
      <c r="E210" s="1" t="n">
        <v>0.041618</v>
      </c>
      <c r="G210" s="1" t="n">
        <v>0.585119724</v>
      </c>
      <c r="H210" s="1" t="n">
        <v>0.576196432</v>
      </c>
      <c r="I210" s="1" t="n">
        <v>0.586393833</v>
      </c>
      <c r="J210" s="1" t="n">
        <v>0.57796979</v>
      </c>
      <c r="K210" s="1" t="n">
        <v>0.580785751</v>
      </c>
      <c r="L210" s="1" t="n">
        <v>0.583236456</v>
      </c>
      <c r="M210" s="1" t="n">
        <v>0.581247568</v>
      </c>
      <c r="N210" s="1" t="n">
        <v>0.585597038</v>
      </c>
      <c r="O210" s="1" t="n">
        <v>0.579991579</v>
      </c>
      <c r="P210" s="1" t="n">
        <v>0.577848196</v>
      </c>
      <c r="R210" s="1" t="n">
        <f aca="false">PERCENTILE(G210:P210,0.9)</f>
        <v>0.5856767175</v>
      </c>
      <c r="S210" s="5" t="n">
        <f aca="false">spmv_1!R$14/R210</f>
        <v>1.88592807208526</v>
      </c>
      <c r="T210" s="6" t="n">
        <f aca="false">S210/64</f>
        <v>0.0294676261263322</v>
      </c>
    </row>
    <row r="211" customFormat="false" ht="15" hidden="false" customHeight="false" outlineLevel="0" collapsed="false">
      <c r="A211" s="1" t="s">
        <v>18</v>
      </c>
      <c r="B211" s="1" t="n">
        <v>8</v>
      </c>
      <c r="D211" s="1" t="n">
        <v>12101316</v>
      </c>
      <c r="E211" s="1" t="n">
        <v>0.044134</v>
      </c>
      <c r="G211" s="1" t="n">
        <v>0.558526993</v>
      </c>
      <c r="H211" s="1" t="n">
        <v>0.540832996</v>
      </c>
      <c r="I211" s="1" t="n">
        <v>0.545170546</v>
      </c>
      <c r="J211" s="1" t="n">
        <v>0.544650555</v>
      </c>
      <c r="K211" s="1" t="n">
        <v>0.542703629</v>
      </c>
      <c r="L211" s="1" t="n">
        <v>0.538827896</v>
      </c>
      <c r="M211" s="1" t="n">
        <v>0.542472839</v>
      </c>
      <c r="N211" s="1" t="n">
        <v>0.568510294</v>
      </c>
      <c r="O211" s="1" t="n">
        <v>0.545437813</v>
      </c>
      <c r="P211" s="1" t="n">
        <v>0.556785822</v>
      </c>
      <c r="R211" s="1" t="n">
        <f aca="false">PERCENTILE(G211:P211,0.9)</f>
        <v>0.5595253231</v>
      </c>
      <c r="S211" s="5" t="n">
        <f aca="false">spmv_1!R$14/R211</f>
        <v>1.97407358898499</v>
      </c>
      <c r="T211" s="6" t="n">
        <f aca="false">S211/64</f>
        <v>0.0308448998278904</v>
      </c>
    </row>
    <row r="212" customFormat="false" ht="15" hidden="false" customHeight="false" outlineLevel="0" collapsed="false">
      <c r="A212" s="1" t="s">
        <v>18</v>
      </c>
      <c r="B212" s="1" t="n">
        <v>9</v>
      </c>
      <c r="D212" s="1" t="n">
        <v>12103470</v>
      </c>
      <c r="E212" s="1" t="n">
        <v>0.043898</v>
      </c>
      <c r="G212" s="1" t="n">
        <v>0.565900087</v>
      </c>
      <c r="H212" s="1" t="n">
        <v>0.54500103</v>
      </c>
      <c r="I212" s="1" t="n">
        <v>0.542490959</v>
      </c>
      <c r="J212" s="1" t="n">
        <v>0.549939632</v>
      </c>
      <c r="K212" s="1" t="n">
        <v>0.546697617</v>
      </c>
      <c r="L212" s="1" t="n">
        <v>0.537595749</v>
      </c>
      <c r="M212" s="1" t="n">
        <v>0.546077013</v>
      </c>
      <c r="N212" s="1" t="n">
        <v>0.569928646</v>
      </c>
      <c r="O212" s="1" t="n">
        <v>0.549211979</v>
      </c>
      <c r="P212" s="1" t="n">
        <v>0.561516047</v>
      </c>
      <c r="R212" s="1" t="n">
        <f aca="false">PERCENTILE(G212:P212,0.9)</f>
        <v>0.5663029429</v>
      </c>
      <c r="S212" s="5" t="n">
        <f aca="false">spmv_1!R$14/R212</f>
        <v>1.95044750614168</v>
      </c>
      <c r="T212" s="6" t="n">
        <f aca="false">S212/64</f>
        <v>0.0304757422834638</v>
      </c>
    </row>
    <row r="213" customFormat="false" ht="15" hidden="false" customHeight="false" outlineLevel="0" collapsed="false">
      <c r="A213" s="1" t="s">
        <v>18</v>
      </c>
      <c r="B213" s="1" t="n">
        <v>10</v>
      </c>
      <c r="D213" s="1" t="n">
        <v>12105624</v>
      </c>
      <c r="E213" s="1" t="n">
        <v>0.037038</v>
      </c>
      <c r="G213" s="1" t="n">
        <v>0.668778658</v>
      </c>
      <c r="H213" s="1" t="n">
        <v>0.650865793</v>
      </c>
      <c r="I213" s="1" t="n">
        <v>0.651106358</v>
      </c>
      <c r="J213" s="1" t="n">
        <v>0.65192461</v>
      </c>
      <c r="K213" s="1" t="n">
        <v>0.65302825</v>
      </c>
      <c r="L213" s="1" t="n">
        <v>0.650011778</v>
      </c>
      <c r="M213" s="1" t="n">
        <v>0.652572632</v>
      </c>
      <c r="N213" s="1" t="n">
        <v>0.653784752</v>
      </c>
      <c r="O213" s="1" t="n">
        <v>0.65234828</v>
      </c>
      <c r="P213" s="1" t="n">
        <v>0.652391672</v>
      </c>
      <c r="R213" s="1" t="n">
        <f aca="false">PERCENTILE(G213:P213,0.9)</f>
        <v>0.6552841426</v>
      </c>
      <c r="S213" s="5" t="n">
        <f aca="false">spmv_1!R$14/R213</f>
        <v>1.68559574525556</v>
      </c>
      <c r="T213" s="6" t="n">
        <f aca="false">S213/64</f>
        <v>0.0263374335196182</v>
      </c>
    </row>
    <row r="214" customFormat="false" ht="15" hidden="false" customHeight="false" outlineLevel="0" collapsed="false">
      <c r="A214" s="1" t="s">
        <v>18</v>
      </c>
      <c r="B214" s="1" t="n">
        <v>11</v>
      </c>
      <c r="D214" s="1" t="n">
        <v>12105624</v>
      </c>
      <c r="E214" s="1" t="n">
        <v>0.037005</v>
      </c>
      <c r="G214" s="1" t="n">
        <v>0.669018984</v>
      </c>
      <c r="H214" s="1" t="n">
        <v>0.651598215</v>
      </c>
      <c r="I214" s="1" t="n">
        <v>0.651612759</v>
      </c>
      <c r="J214" s="1" t="n">
        <v>0.652532101</v>
      </c>
      <c r="K214" s="1" t="n">
        <v>0.653672934</v>
      </c>
      <c r="L214" s="1" t="n">
        <v>0.650240898</v>
      </c>
      <c r="M214" s="1" t="n">
        <v>0.653181791</v>
      </c>
      <c r="N214" s="1" t="n">
        <v>0.654498577</v>
      </c>
      <c r="O214" s="1" t="n">
        <v>0.653114557</v>
      </c>
      <c r="P214" s="1" t="n">
        <v>0.653210878</v>
      </c>
      <c r="R214" s="1" t="n">
        <f aca="false">PERCENTILE(G214:P214,0.9)</f>
        <v>0.6559506177</v>
      </c>
      <c r="S214" s="5" t="n">
        <f aca="false">spmv_1!R$14/R214</f>
        <v>1.68388310475708</v>
      </c>
      <c r="T214" s="6" t="n">
        <f aca="false">S214/64</f>
        <v>0.0263106735118294</v>
      </c>
    </row>
    <row r="215" customFormat="false" ht="15" hidden="false" customHeight="false" outlineLevel="0" collapsed="false">
      <c r="A215" s="1" t="s">
        <v>18</v>
      </c>
      <c r="B215" s="1" t="n">
        <v>12</v>
      </c>
      <c r="D215" s="1" t="n">
        <v>12103470</v>
      </c>
      <c r="E215" s="1" t="n">
        <v>0.041159</v>
      </c>
      <c r="G215" s="1" t="n">
        <v>0.59360671</v>
      </c>
      <c r="H215" s="1" t="n">
        <v>0.585536003</v>
      </c>
      <c r="I215" s="1" t="n">
        <v>0.58734107</v>
      </c>
      <c r="J215" s="1" t="n">
        <v>0.585352421</v>
      </c>
      <c r="K215" s="1" t="n">
        <v>0.588940382</v>
      </c>
      <c r="L215" s="1" t="n">
        <v>0.585878849</v>
      </c>
      <c r="M215" s="1" t="n">
        <v>0.589184761</v>
      </c>
      <c r="N215" s="1" t="n">
        <v>0.591415167</v>
      </c>
      <c r="O215" s="1" t="n">
        <v>0.587324619</v>
      </c>
      <c r="P215" s="1" t="n">
        <v>0.586766958</v>
      </c>
      <c r="R215" s="1" t="n">
        <f aca="false">PERCENTILE(G215:P215,0.9)</f>
        <v>0.5916343213</v>
      </c>
      <c r="S215" s="5" t="n">
        <f aca="false">spmv_1!R$14/R215</f>
        <v>1.8669372667106</v>
      </c>
      <c r="T215" s="6" t="n">
        <f aca="false">S215/64</f>
        <v>0.0291708947923531</v>
      </c>
    </row>
    <row r="216" customFormat="false" ht="15" hidden="false" customHeight="false" outlineLevel="0" collapsed="false">
      <c r="A216" s="1" t="s">
        <v>18</v>
      </c>
      <c r="B216" s="1" t="n">
        <v>13</v>
      </c>
      <c r="D216" s="1" t="n">
        <v>12101316</v>
      </c>
      <c r="E216" s="1" t="n">
        <v>0.036945</v>
      </c>
      <c r="G216" s="1" t="n">
        <v>0.669786692</v>
      </c>
      <c r="H216" s="1" t="n">
        <v>0.652907848</v>
      </c>
      <c r="I216" s="1" t="n">
        <v>0.651284695</v>
      </c>
      <c r="J216" s="1" t="n">
        <v>0.6537292</v>
      </c>
      <c r="K216" s="1" t="n">
        <v>0.654669046</v>
      </c>
      <c r="L216" s="1" t="n">
        <v>0.650230885</v>
      </c>
      <c r="M216" s="1" t="n">
        <v>0.654387474</v>
      </c>
      <c r="N216" s="1" t="n">
        <v>0.655599117</v>
      </c>
      <c r="O216" s="1" t="n">
        <v>0.65405798</v>
      </c>
      <c r="P216" s="1" t="n">
        <v>0.654368639</v>
      </c>
      <c r="R216" s="1" t="n">
        <f aca="false">PERCENTILE(G216:P216,0.9)</f>
        <v>0.6570178745</v>
      </c>
      <c r="S216" s="5" t="n">
        <f aca="false">spmv_1!R$14/R216</f>
        <v>1.68114781282103</v>
      </c>
      <c r="T216" s="6" t="n">
        <f aca="false">S216/64</f>
        <v>0.0262679345753287</v>
      </c>
    </row>
    <row r="217" customFormat="false" ht="15" hidden="false" customHeight="false" outlineLevel="0" collapsed="false">
      <c r="A217" s="1" t="s">
        <v>18</v>
      </c>
      <c r="B217" s="1" t="n">
        <v>14</v>
      </c>
      <c r="D217" s="1" t="n">
        <v>12099880</v>
      </c>
      <c r="E217" s="1" t="n">
        <v>0.043472</v>
      </c>
      <c r="G217" s="1" t="n">
        <v>0.571563005</v>
      </c>
      <c r="H217" s="1" t="n">
        <v>0.551594496</v>
      </c>
      <c r="I217" s="1" t="n">
        <v>0.545271397</v>
      </c>
      <c r="J217" s="1" t="n">
        <v>0.555888891</v>
      </c>
      <c r="K217" s="1" t="n">
        <v>0.552816391</v>
      </c>
      <c r="L217" s="1" t="n">
        <v>0.540655851</v>
      </c>
      <c r="M217" s="1" t="n">
        <v>0.551967144</v>
      </c>
      <c r="N217" s="1" t="n">
        <v>0.574598074</v>
      </c>
      <c r="O217" s="1" t="n">
        <v>0.55522418</v>
      </c>
      <c r="P217" s="1" t="n">
        <v>0.56718111</v>
      </c>
      <c r="R217" s="1" t="n">
        <f aca="false">PERCENTILE(G217:P217,0.9)</f>
        <v>0.5718665119</v>
      </c>
      <c r="S217" s="5" t="n">
        <f aca="false">spmv_1!R$14/R217</f>
        <v>1.93147201263841</v>
      </c>
      <c r="T217" s="6" t="n">
        <f aca="false">S217/64</f>
        <v>0.0301792501974752</v>
      </c>
    </row>
    <row r="218" customFormat="false" ht="15" hidden="false" customHeight="false" outlineLevel="0" collapsed="false">
      <c r="A218" s="1" t="s">
        <v>18</v>
      </c>
      <c r="B218" s="1" t="n">
        <v>15</v>
      </c>
      <c r="D218" s="1" t="n">
        <v>12099878</v>
      </c>
      <c r="E218" s="1" t="n">
        <v>0.043783</v>
      </c>
      <c r="G218" s="1" t="n">
        <v>0.567786455</v>
      </c>
      <c r="H218" s="1" t="n">
        <v>0.547219515</v>
      </c>
      <c r="I218" s="1" t="n">
        <v>0.539987564</v>
      </c>
      <c r="J218" s="1" t="n">
        <v>0.552736759</v>
      </c>
      <c r="K218" s="1" t="n">
        <v>0.549002647</v>
      </c>
      <c r="L218" s="1" t="n">
        <v>0.535093307</v>
      </c>
      <c r="M218" s="1" t="n">
        <v>0.548903942</v>
      </c>
      <c r="N218" s="1" t="n">
        <v>0.570985556</v>
      </c>
      <c r="O218" s="1" t="n">
        <v>0.551684856</v>
      </c>
      <c r="P218" s="1" t="n">
        <v>0.563843966</v>
      </c>
      <c r="R218" s="1" t="n">
        <f aca="false">PERCENTILE(G218:P218,0.9)</f>
        <v>0.5681063651</v>
      </c>
      <c r="S218" s="5" t="n">
        <f aca="false">spmv_1!R$14/R218</f>
        <v>1.94425591852958</v>
      </c>
      <c r="T218" s="6" t="n">
        <f aca="false">S218/64</f>
        <v>0.0303789987270247</v>
      </c>
    </row>
    <row r="219" customFormat="false" ht="15" hidden="false" customHeight="false" outlineLevel="0" collapsed="false">
      <c r="A219" s="1" t="s">
        <v>18</v>
      </c>
      <c r="B219" s="1" t="n">
        <v>16</v>
      </c>
      <c r="D219" s="1" t="n">
        <v>12101306</v>
      </c>
      <c r="E219" s="1" t="n">
        <v>0.044174</v>
      </c>
      <c r="G219" s="1" t="n">
        <v>0.562772512</v>
      </c>
      <c r="H219" s="1" t="n">
        <v>0.541697025</v>
      </c>
      <c r="I219" s="1" t="n">
        <v>0.532271862</v>
      </c>
      <c r="J219" s="1" t="n">
        <v>0.545991659</v>
      </c>
      <c r="K219" s="1" t="n">
        <v>0.544945717</v>
      </c>
      <c r="L219" s="1" t="n">
        <v>0.533611059</v>
      </c>
      <c r="M219" s="1" t="n">
        <v>0.543390274</v>
      </c>
      <c r="N219" s="1" t="n">
        <v>0.568856239</v>
      </c>
      <c r="O219" s="1" t="n">
        <v>0.546897411</v>
      </c>
      <c r="P219" s="1" t="n">
        <v>0.558515549</v>
      </c>
      <c r="R219" s="1" t="n">
        <f aca="false">PERCENTILE(G219:P219,0.9)</f>
        <v>0.5633808847</v>
      </c>
      <c r="S219" s="5" t="n">
        <f aca="false">spmv_1!R$14/R219</f>
        <v>1.96056379031775</v>
      </c>
      <c r="T219" s="6" t="n">
        <f aca="false">S219/64</f>
        <v>0.0306338092237149</v>
      </c>
    </row>
    <row r="220" customFormat="false" ht="15" hidden="false" customHeight="false" outlineLevel="0" collapsed="false">
      <c r="A220" s="1" t="s">
        <v>18</v>
      </c>
      <c r="B220" s="1" t="n">
        <v>17</v>
      </c>
      <c r="D220" s="1" t="n">
        <v>12103458</v>
      </c>
      <c r="E220" s="1" t="n">
        <v>0.039853</v>
      </c>
      <c r="G220" s="1" t="n">
        <v>0.617352724</v>
      </c>
      <c r="H220" s="1" t="n">
        <v>0.602539062</v>
      </c>
      <c r="I220" s="1" t="n">
        <v>0.604443312</v>
      </c>
      <c r="J220" s="1" t="n">
        <v>0.604083776</v>
      </c>
      <c r="K220" s="1" t="n">
        <v>0.606156111</v>
      </c>
      <c r="L220" s="1" t="n">
        <v>0.606354475</v>
      </c>
      <c r="M220" s="1" t="n">
        <v>0.607046843</v>
      </c>
      <c r="N220" s="1" t="n">
        <v>0.612626076</v>
      </c>
      <c r="O220" s="1" t="n">
        <v>0.603308201</v>
      </c>
      <c r="P220" s="1" t="n">
        <v>0.610122919</v>
      </c>
      <c r="R220" s="1" t="n">
        <f aca="false">PERCENTILE(G220:P220,0.9)</f>
        <v>0.6130987408</v>
      </c>
      <c r="S220" s="5" t="n">
        <f aca="false">spmv_1!R$14/R220</f>
        <v>1.80157630279707</v>
      </c>
      <c r="T220" s="6" t="n">
        <f aca="false">S220/64</f>
        <v>0.0281496297312041</v>
      </c>
    </row>
    <row r="221" customFormat="false" ht="15" hidden="false" customHeight="false" outlineLevel="0" collapsed="false">
      <c r="A221" s="1" t="s">
        <v>18</v>
      </c>
      <c r="B221" s="1" t="n">
        <v>18</v>
      </c>
      <c r="D221" s="1" t="n">
        <v>12101304</v>
      </c>
      <c r="E221" s="1" t="n">
        <v>0.037076</v>
      </c>
      <c r="G221" s="1" t="n">
        <v>0.665995121</v>
      </c>
      <c r="H221" s="1" t="n">
        <v>0.650202513</v>
      </c>
      <c r="I221" s="1" t="n">
        <v>0.652952909</v>
      </c>
      <c r="J221" s="1" t="n">
        <v>0.650203466</v>
      </c>
      <c r="K221" s="1" t="n">
        <v>0.650839567</v>
      </c>
      <c r="L221" s="1" t="n">
        <v>0.652724266</v>
      </c>
      <c r="M221" s="1" t="n">
        <v>0.650807858</v>
      </c>
      <c r="N221" s="1" t="n">
        <v>0.653014183</v>
      </c>
      <c r="O221" s="1" t="n">
        <v>0.650378227</v>
      </c>
      <c r="P221" s="1" t="n">
        <v>0.650785208</v>
      </c>
      <c r="R221" s="1" t="n">
        <f aca="false">PERCENTILE(G221:P221,0.9)</f>
        <v>0.6543122768</v>
      </c>
      <c r="S221" s="5" t="n">
        <f aca="false">spmv_1!R$14/R221</f>
        <v>1.68809940125519</v>
      </c>
      <c r="T221" s="6" t="n">
        <f aca="false">S221/64</f>
        <v>0.0263765531446123</v>
      </c>
    </row>
    <row r="222" customFormat="false" ht="15" hidden="false" customHeight="false" outlineLevel="0" collapsed="false">
      <c r="A222" s="1" t="s">
        <v>18</v>
      </c>
      <c r="B222" s="1" t="n">
        <v>19</v>
      </c>
      <c r="D222" s="1" t="n">
        <v>12099150</v>
      </c>
      <c r="E222" s="1" t="n">
        <v>0.037098</v>
      </c>
      <c r="G222" s="1" t="n">
        <v>0.665808439</v>
      </c>
      <c r="H222" s="1" t="n">
        <v>0.650470972</v>
      </c>
      <c r="I222" s="1" t="n">
        <v>0.65306139</v>
      </c>
      <c r="J222" s="1" t="n">
        <v>0.650367737</v>
      </c>
      <c r="K222" s="1" t="n">
        <v>0.650234461</v>
      </c>
      <c r="L222" s="1" t="n">
        <v>0.65301919</v>
      </c>
      <c r="M222" s="1" t="n">
        <v>0.650193453</v>
      </c>
      <c r="N222" s="1" t="n">
        <v>0.649465561</v>
      </c>
      <c r="O222" s="1" t="n">
        <v>0.649708033</v>
      </c>
      <c r="P222" s="1" t="n">
        <v>0.650510073</v>
      </c>
      <c r="R222" s="1" t="n">
        <f aca="false">PERCENTILE(G222:P222,0.9)</f>
        <v>0.6543360949</v>
      </c>
      <c r="S222" s="5" t="n">
        <f aca="false">spmv_1!R$14/R222</f>
        <v>1.68803795375036</v>
      </c>
      <c r="T222" s="6" t="n">
        <f aca="false">S222/64</f>
        <v>0.0263755930273494</v>
      </c>
    </row>
    <row r="223" customFormat="false" ht="15" hidden="false" customHeight="false" outlineLevel="0" collapsed="false">
      <c r="A223" s="1" t="s">
        <v>18</v>
      </c>
      <c r="B223" s="1" t="n">
        <v>20</v>
      </c>
      <c r="D223" s="1" t="n">
        <v>12096996</v>
      </c>
      <c r="E223" s="1" t="n">
        <v>0.036978</v>
      </c>
      <c r="G223" s="1" t="n">
        <v>0.668510914</v>
      </c>
      <c r="H223" s="1" t="n">
        <v>0.652733564</v>
      </c>
      <c r="I223" s="1" t="n">
        <v>0.654821396</v>
      </c>
      <c r="J223" s="1" t="n">
        <v>0.652774572</v>
      </c>
      <c r="K223" s="1" t="n">
        <v>0.653187752</v>
      </c>
      <c r="L223" s="1" t="n">
        <v>0.654612303</v>
      </c>
      <c r="M223" s="1" t="n">
        <v>0.652901411</v>
      </c>
      <c r="N223" s="1" t="n">
        <v>0.647480011</v>
      </c>
      <c r="O223" s="1" t="n">
        <v>0.652583361</v>
      </c>
      <c r="P223" s="1" t="n">
        <v>0.653242826</v>
      </c>
      <c r="R223" s="1" t="n">
        <f aca="false">PERCENTILE(G223:P223,0.9)</f>
        <v>0.6561903478</v>
      </c>
      <c r="S223" s="5" t="n">
        <f aca="false">spmv_1!R$14/R223</f>
        <v>1.68326792127191</v>
      </c>
      <c r="T223" s="6" t="n">
        <f aca="false">S223/64</f>
        <v>0.0263010612698737</v>
      </c>
    </row>
    <row r="224" customFormat="false" ht="15" hidden="false" customHeight="false" outlineLevel="0" collapsed="false">
      <c r="A224" s="1" t="s">
        <v>18</v>
      </c>
      <c r="B224" s="1" t="n">
        <v>21</v>
      </c>
      <c r="D224" s="1" t="n">
        <v>12096996</v>
      </c>
      <c r="E224" s="1" t="n">
        <v>0.036946</v>
      </c>
      <c r="G224" s="1" t="n">
        <v>0.669290066</v>
      </c>
      <c r="H224" s="1" t="n">
        <v>0.653138161</v>
      </c>
      <c r="I224" s="1" t="n">
        <v>0.655174017</v>
      </c>
      <c r="J224" s="1" t="n">
        <v>0.653265476</v>
      </c>
      <c r="K224" s="1" t="n">
        <v>0.653676033</v>
      </c>
      <c r="L224" s="1" t="n">
        <v>0.654919147</v>
      </c>
      <c r="M224" s="1" t="n">
        <v>0.65318799</v>
      </c>
      <c r="N224" s="1" t="n">
        <v>0.648962259</v>
      </c>
      <c r="O224" s="1" t="n">
        <v>0.653128624</v>
      </c>
      <c r="P224" s="1" t="n">
        <v>0.653645515</v>
      </c>
      <c r="R224" s="1" t="n">
        <f aca="false">PERCENTILE(G224:P224,0.9)</f>
        <v>0.6565856219</v>
      </c>
      <c r="S224" s="5" t="n">
        <f aca="false">spmv_1!R$14/R224</f>
        <v>1.68225456948588</v>
      </c>
      <c r="T224" s="6" t="n">
        <f aca="false">S224/64</f>
        <v>0.0262852276482168</v>
      </c>
    </row>
    <row r="225" customFormat="false" ht="15" hidden="false" customHeight="false" outlineLevel="0" collapsed="false">
      <c r="A225" s="1" t="s">
        <v>18</v>
      </c>
      <c r="B225" s="1" t="n">
        <v>22</v>
      </c>
      <c r="D225" s="1" t="n">
        <v>12099150</v>
      </c>
      <c r="E225" s="1" t="n">
        <v>0.041149</v>
      </c>
      <c r="G225" s="1" t="n">
        <v>0.593976736</v>
      </c>
      <c r="H225" s="1" t="n">
        <v>0.586972952</v>
      </c>
      <c r="I225" s="1" t="n">
        <v>0.590637445</v>
      </c>
      <c r="J225" s="1" t="n">
        <v>0.584577799</v>
      </c>
      <c r="K225" s="1" t="n">
        <v>0.58838892</v>
      </c>
      <c r="L225" s="1" t="n">
        <v>0.591102362</v>
      </c>
      <c r="M225" s="1" t="n">
        <v>0.588457346</v>
      </c>
      <c r="N225" s="1" t="n">
        <v>0.5849998</v>
      </c>
      <c r="O225" s="1" t="n">
        <v>0.585980177</v>
      </c>
      <c r="P225" s="1" t="n">
        <v>0.585513592</v>
      </c>
      <c r="R225" s="1" t="n">
        <f aca="false">PERCENTILE(G225:P225,0.9)</f>
        <v>0.5913897994</v>
      </c>
      <c r="S225" s="5" t="n">
        <f aca="false">spmv_1!R$14/R225</f>
        <v>1.86770918913486</v>
      </c>
      <c r="T225" s="6" t="n">
        <f aca="false">S225/64</f>
        <v>0.0291829560802322</v>
      </c>
    </row>
    <row r="226" customFormat="false" ht="15" hidden="false" customHeight="false" outlineLevel="0" collapsed="false">
      <c r="A226" s="1" t="s">
        <v>18</v>
      </c>
      <c r="B226" s="1" t="n">
        <v>23</v>
      </c>
      <c r="D226" s="1" t="n">
        <v>12101304</v>
      </c>
      <c r="E226" s="1" t="n">
        <v>0.035358</v>
      </c>
      <c r="G226" s="1" t="n">
        <v>0.692005157</v>
      </c>
      <c r="H226" s="1" t="n">
        <v>0.683592796</v>
      </c>
      <c r="I226" s="1" t="n">
        <v>0.68591404</v>
      </c>
      <c r="J226" s="1" t="n">
        <v>0.684435368</v>
      </c>
      <c r="K226" s="1" t="n">
        <v>0.683413982</v>
      </c>
      <c r="L226" s="1" t="n">
        <v>0.685976744</v>
      </c>
      <c r="M226" s="1" t="n">
        <v>0.684294462</v>
      </c>
      <c r="N226" s="1" t="n">
        <v>0.677459478</v>
      </c>
      <c r="O226" s="1" t="n">
        <v>0.683181286</v>
      </c>
      <c r="P226" s="1" t="n">
        <v>0.684755564</v>
      </c>
      <c r="R226" s="1" t="n">
        <f aca="false">PERCENTILE(G226:P226,0.9)</f>
        <v>0.6865795853</v>
      </c>
      <c r="S226" s="5" t="n">
        <f aca="false">spmv_1!R$14/R226</f>
        <v>1.60876347964435</v>
      </c>
      <c r="T226" s="6" t="n">
        <f aca="false">S226/64</f>
        <v>0.0251369293694429</v>
      </c>
    </row>
    <row r="227" customFormat="false" ht="15" hidden="false" customHeight="false" outlineLevel="0" collapsed="false">
      <c r="A227" s="1" t="s">
        <v>18</v>
      </c>
      <c r="B227" s="1" t="n">
        <v>24</v>
      </c>
      <c r="D227" s="1" t="n">
        <v>12103458</v>
      </c>
      <c r="E227" s="1" t="n">
        <v>0.043584</v>
      </c>
      <c r="G227" s="1" t="n">
        <v>0.567731857</v>
      </c>
      <c r="H227" s="1" t="n">
        <v>0.551139593</v>
      </c>
      <c r="I227" s="1" t="n">
        <v>0.551743269</v>
      </c>
      <c r="J227" s="1" t="n">
        <v>0.554223537</v>
      </c>
      <c r="K227" s="1" t="n">
        <v>0.54927206</v>
      </c>
      <c r="L227" s="1" t="n">
        <v>0.548921824</v>
      </c>
      <c r="M227" s="1" t="n">
        <v>0.54916811</v>
      </c>
      <c r="N227" s="1" t="n">
        <v>0.565071583</v>
      </c>
      <c r="O227" s="1" t="n">
        <v>0.551952362</v>
      </c>
      <c r="P227" s="1" t="n">
        <v>0.564815283</v>
      </c>
      <c r="R227" s="1" t="n">
        <f aca="false">PERCENTILE(G227:P227,0.9)</f>
        <v>0.5653376104</v>
      </c>
      <c r="S227" s="5" t="n">
        <f aca="false">spmv_1!R$14/R227</f>
        <v>1.95377795918883</v>
      </c>
      <c r="T227" s="6" t="n">
        <f aca="false">S227/64</f>
        <v>0.0305277806123254</v>
      </c>
    </row>
    <row r="228" customFormat="false" ht="15" hidden="false" customHeight="false" outlineLevel="0" collapsed="false">
      <c r="A228" s="1" t="s">
        <v>18</v>
      </c>
      <c r="B228" s="1" t="n">
        <v>25</v>
      </c>
      <c r="D228" s="1" t="n">
        <v>12103458</v>
      </c>
      <c r="E228" s="1" t="n">
        <v>0.041309</v>
      </c>
      <c r="G228" s="1" t="n">
        <v>0.593238592</v>
      </c>
      <c r="H228" s="1" t="n">
        <v>0.584423542</v>
      </c>
      <c r="I228" s="1" t="n">
        <v>0.588412285</v>
      </c>
      <c r="J228" s="1" t="n">
        <v>0.583249569</v>
      </c>
      <c r="K228" s="1" t="n">
        <v>0.585758924</v>
      </c>
      <c r="L228" s="1" t="n">
        <v>0.588202953</v>
      </c>
      <c r="M228" s="1" t="n">
        <v>0.584621668</v>
      </c>
      <c r="N228" s="1" t="n">
        <v>0.583491564</v>
      </c>
      <c r="O228" s="1" t="n">
        <v>0.584593296</v>
      </c>
      <c r="P228" s="1" t="n">
        <v>0.583921909</v>
      </c>
      <c r="R228" s="1" t="n">
        <f aca="false">PERCENTILE(G228:P228,0.9)</f>
        <v>0.5888949157</v>
      </c>
      <c r="S228" s="5" t="n">
        <f aca="false">spmv_1!R$14/R228</f>
        <v>1.87562183549686</v>
      </c>
      <c r="T228" s="6" t="n">
        <f aca="false">S228/64</f>
        <v>0.0293065911796384</v>
      </c>
    </row>
    <row r="229" customFormat="false" ht="15" hidden="false" customHeight="false" outlineLevel="0" collapsed="false">
      <c r="A229" s="1" t="s">
        <v>18</v>
      </c>
      <c r="B229" s="1" t="n">
        <v>26</v>
      </c>
      <c r="D229" s="1" t="n">
        <v>12101304</v>
      </c>
      <c r="E229" s="1" t="n">
        <v>0.036979</v>
      </c>
      <c r="G229" s="1" t="n">
        <v>0.669537306</v>
      </c>
      <c r="H229" s="1" t="n">
        <v>0.653098822</v>
      </c>
      <c r="I229" s="1" t="n">
        <v>0.654712439</v>
      </c>
      <c r="J229" s="1" t="n">
        <v>0.652469635</v>
      </c>
      <c r="K229" s="1" t="n">
        <v>0.653496742</v>
      </c>
      <c r="L229" s="1" t="n">
        <v>0.653972864</v>
      </c>
      <c r="M229" s="1" t="n">
        <v>0.651387453</v>
      </c>
      <c r="N229" s="1" t="n">
        <v>0.650381327</v>
      </c>
      <c r="O229" s="1" t="n">
        <v>0.652790308</v>
      </c>
      <c r="P229" s="1" t="n">
        <v>0.653110266</v>
      </c>
      <c r="R229" s="1" t="n">
        <f aca="false">PERCENTILE(G229:P229,0.9)</f>
        <v>0.6561949257</v>
      </c>
      <c r="S229" s="5" t="n">
        <f aca="false">spmv_1!R$14/R229</f>
        <v>1.68325617806587</v>
      </c>
      <c r="T229" s="6" t="n">
        <f aca="false">S229/64</f>
        <v>0.0263008777822792</v>
      </c>
    </row>
    <row r="230" customFormat="false" ht="15" hidden="false" customHeight="false" outlineLevel="0" collapsed="false">
      <c r="A230" s="1" t="s">
        <v>18</v>
      </c>
      <c r="B230" s="1" t="n">
        <v>27</v>
      </c>
      <c r="D230" s="1" t="n">
        <v>12099150</v>
      </c>
      <c r="E230" s="1" t="n">
        <v>0.043874</v>
      </c>
      <c r="G230" s="1" t="n">
        <v>0.56649828</v>
      </c>
      <c r="H230" s="1" t="n">
        <v>0.547171354</v>
      </c>
      <c r="I230" s="1" t="n">
        <v>0.549608946</v>
      </c>
      <c r="J230" s="1" t="n">
        <v>0.548062086</v>
      </c>
      <c r="K230" s="1" t="n">
        <v>0.544635534</v>
      </c>
      <c r="L230" s="1" t="n">
        <v>0.543971539</v>
      </c>
      <c r="M230" s="1" t="n">
        <v>0.540026903</v>
      </c>
      <c r="N230" s="1" t="n">
        <v>0.565594912</v>
      </c>
      <c r="O230" s="1" t="n">
        <v>0.54758811</v>
      </c>
      <c r="P230" s="1" t="n">
        <v>0.56223464</v>
      </c>
      <c r="R230" s="1" t="n">
        <f aca="false">PERCENTILE(G230:P230,0.9)</f>
        <v>0.5656852488</v>
      </c>
      <c r="S230" s="5" t="n">
        <f aca="false">spmv_1!R$14/R230</f>
        <v>1.95257727692757</v>
      </c>
      <c r="T230" s="6" t="n">
        <f aca="false">S230/64</f>
        <v>0.0305090199519933</v>
      </c>
    </row>
    <row r="231" customFormat="false" ht="15" hidden="false" customHeight="false" outlineLevel="0" collapsed="false">
      <c r="A231" s="1" t="s">
        <v>18</v>
      </c>
      <c r="B231" s="1" t="n">
        <v>28</v>
      </c>
      <c r="D231" s="1" t="n">
        <v>12096996</v>
      </c>
      <c r="E231" s="1" t="n">
        <v>0.04147</v>
      </c>
      <c r="G231" s="1" t="n">
        <v>0.590994835</v>
      </c>
      <c r="H231" s="1" t="n">
        <v>0.582123995</v>
      </c>
      <c r="I231" s="1" t="n">
        <v>0.586689234</v>
      </c>
      <c r="J231" s="1" t="n">
        <v>0.578690529</v>
      </c>
      <c r="K231" s="1" t="n">
        <v>0.58147192</v>
      </c>
      <c r="L231" s="1" t="n">
        <v>0.584609032</v>
      </c>
      <c r="M231" s="1" t="n">
        <v>0.581592083</v>
      </c>
      <c r="N231" s="1" t="n">
        <v>0.58414793</v>
      </c>
      <c r="O231" s="1" t="n">
        <v>0.581646919</v>
      </c>
      <c r="P231" s="1" t="n">
        <v>0.582192421</v>
      </c>
      <c r="R231" s="1" t="n">
        <f aca="false">PERCENTILE(G231:P231,0.9)</f>
        <v>0.5871197941</v>
      </c>
      <c r="S231" s="5" t="n">
        <f aca="false">spmv_1!R$14/R231</f>
        <v>1.8812926659936</v>
      </c>
      <c r="T231" s="6" t="n">
        <f aca="false">S231/64</f>
        <v>0.0293951979061499</v>
      </c>
    </row>
    <row r="232" customFormat="false" ht="15" hidden="false" customHeight="false" outlineLevel="0" collapsed="false">
      <c r="A232" s="1" t="s">
        <v>18</v>
      </c>
      <c r="B232" s="1" t="n">
        <v>29</v>
      </c>
      <c r="D232" s="1" t="n">
        <v>12096996</v>
      </c>
      <c r="E232" s="1" t="n">
        <v>0.041601</v>
      </c>
      <c r="G232" s="1" t="n">
        <v>0.590272665</v>
      </c>
      <c r="H232" s="1" t="n">
        <v>0.578044653</v>
      </c>
      <c r="I232" s="1" t="n">
        <v>0.584031582</v>
      </c>
      <c r="J232" s="1" t="n">
        <v>0.577979088</v>
      </c>
      <c r="K232" s="1" t="n">
        <v>0.579736471</v>
      </c>
      <c r="L232" s="1" t="n">
        <v>0.584382534</v>
      </c>
      <c r="M232" s="1" t="n">
        <v>0.580234528</v>
      </c>
      <c r="N232" s="1" t="n">
        <v>0.581178427</v>
      </c>
      <c r="O232" s="1" t="n">
        <v>0.579833031</v>
      </c>
      <c r="P232" s="1" t="n">
        <v>0.580024719</v>
      </c>
      <c r="R232" s="1" t="n">
        <f aca="false">PERCENTILE(G232:P232,0.9)</f>
        <v>0.5849715471</v>
      </c>
      <c r="S232" s="5" t="n">
        <f aca="false">spmv_1!R$14/R232</f>
        <v>1.88820151710931</v>
      </c>
      <c r="T232" s="6" t="n">
        <f aca="false">S232/64</f>
        <v>0.029503148704833</v>
      </c>
    </row>
    <row r="233" customFormat="false" ht="15" hidden="false" customHeight="false" outlineLevel="0" collapsed="false">
      <c r="A233" s="1" t="s">
        <v>18</v>
      </c>
      <c r="B233" s="1" t="n">
        <v>30</v>
      </c>
      <c r="D233" s="1" t="n">
        <v>12098432</v>
      </c>
      <c r="E233" s="1" t="n">
        <v>0.04326</v>
      </c>
      <c r="G233" s="1" t="n">
        <v>0.572211981</v>
      </c>
      <c r="H233" s="1" t="n">
        <v>0.560818911</v>
      </c>
      <c r="I233" s="1" t="n">
        <v>0.561787128</v>
      </c>
      <c r="J233" s="1" t="n">
        <v>0.55563736</v>
      </c>
      <c r="K233" s="1" t="n">
        <v>0.553205252</v>
      </c>
      <c r="L233" s="1" t="n">
        <v>0.559211731</v>
      </c>
      <c r="M233" s="1" t="n">
        <v>0.558834314</v>
      </c>
      <c r="N233" s="1" t="n">
        <v>0.555567265</v>
      </c>
      <c r="O233" s="1" t="n">
        <v>0.556186676</v>
      </c>
      <c r="P233" s="1" t="n">
        <v>0.559914589</v>
      </c>
      <c r="R233" s="1" t="n">
        <f aca="false">PERCENTILE(G233:P233,0.9)</f>
        <v>0.5628296133</v>
      </c>
      <c r="S233" s="5" t="n">
        <f aca="false">spmv_1!R$14/R233</f>
        <v>1.96248409216388</v>
      </c>
      <c r="T233" s="6" t="n">
        <f aca="false">S233/64</f>
        <v>0.0306638139400607</v>
      </c>
    </row>
    <row r="234" customFormat="false" ht="15" hidden="false" customHeight="false" outlineLevel="0" collapsed="false">
      <c r="A234" s="1" t="s">
        <v>18</v>
      </c>
      <c r="B234" s="1" t="n">
        <v>31</v>
      </c>
      <c r="D234" s="1" t="n">
        <v>12099148</v>
      </c>
      <c r="E234" s="1" t="n">
        <v>0.036781</v>
      </c>
      <c r="G234" s="1" t="n">
        <v>0.667706728</v>
      </c>
      <c r="H234" s="1" t="n">
        <v>0.655450583</v>
      </c>
      <c r="I234" s="1" t="n">
        <v>0.660158157</v>
      </c>
      <c r="J234" s="1" t="n">
        <v>0.654725552</v>
      </c>
      <c r="K234" s="1" t="n">
        <v>0.658360243</v>
      </c>
      <c r="L234" s="1" t="n">
        <v>0.657906055</v>
      </c>
      <c r="M234" s="1" t="n">
        <v>0.655204296</v>
      </c>
      <c r="N234" s="1" t="n">
        <v>0.654393911</v>
      </c>
      <c r="O234" s="1" t="n">
        <v>0.65597415</v>
      </c>
      <c r="P234" s="1" t="n">
        <v>0.659058571</v>
      </c>
      <c r="R234" s="1" t="n">
        <f aca="false">PERCENTILE(G234:P234,0.9)</f>
        <v>0.6609130141</v>
      </c>
      <c r="S234" s="5" t="n">
        <f aca="false">spmv_1!R$14/R234</f>
        <v>1.67123984417846</v>
      </c>
      <c r="T234" s="6" t="n">
        <f aca="false">S234/64</f>
        <v>0.0261131225652884</v>
      </c>
    </row>
    <row r="235" customFormat="false" ht="15" hidden="false" customHeight="false" outlineLevel="0" collapsed="false">
      <c r="A235" s="1" t="s">
        <v>18</v>
      </c>
      <c r="B235" s="1" t="n">
        <v>32</v>
      </c>
      <c r="D235" s="1" t="n">
        <v>12099148</v>
      </c>
      <c r="E235" s="1" t="n">
        <v>0.051088</v>
      </c>
      <c r="G235" s="1" t="n">
        <v>0.488418579</v>
      </c>
      <c r="H235" s="1" t="n">
        <v>0.467992067</v>
      </c>
      <c r="I235" s="1" t="n">
        <v>0.478944063</v>
      </c>
      <c r="J235" s="1" t="n">
        <v>0.468470573</v>
      </c>
      <c r="K235" s="1" t="n">
        <v>0.479540825</v>
      </c>
      <c r="L235" s="1" t="n">
        <v>0.473500252</v>
      </c>
      <c r="M235" s="1" t="n">
        <v>0.470059395</v>
      </c>
      <c r="N235" s="1" t="n">
        <v>0.46461916</v>
      </c>
      <c r="O235" s="1" t="n">
        <v>0.469665051</v>
      </c>
      <c r="P235" s="1" t="n">
        <v>0.475350618</v>
      </c>
      <c r="R235" s="1" t="n">
        <f aca="false">PERCENTILE(G235:P235,0.9)</f>
        <v>0.4804286004</v>
      </c>
      <c r="S235" s="5" t="n">
        <f aca="false">spmv_1!R$14/R235</f>
        <v>2.29908078282677</v>
      </c>
      <c r="T235" s="6" t="n">
        <f aca="false">S235/64</f>
        <v>0.0359231372316682</v>
      </c>
    </row>
    <row r="236" customFormat="false" ht="15" hidden="false" customHeight="false" outlineLevel="0" collapsed="false">
      <c r="A236" s="1" t="s">
        <v>18</v>
      </c>
      <c r="B236" s="1" t="n">
        <v>33</v>
      </c>
      <c r="D236" s="1" t="n">
        <v>12098432</v>
      </c>
      <c r="E236" s="1" t="n">
        <v>0.043646</v>
      </c>
      <c r="G236" s="1" t="n">
        <v>0.568699837</v>
      </c>
      <c r="H236" s="1" t="n">
        <v>0.547513247</v>
      </c>
      <c r="I236" s="1" t="n">
        <v>0.558195829</v>
      </c>
      <c r="J236" s="1" t="n">
        <v>0.551683903</v>
      </c>
      <c r="K236" s="1" t="n">
        <v>0.553397179</v>
      </c>
      <c r="L236" s="1" t="n">
        <v>0.55685997</v>
      </c>
      <c r="M236" s="1" t="n">
        <v>0.55289197</v>
      </c>
      <c r="N236" s="1" t="n">
        <v>0.547841549</v>
      </c>
      <c r="O236" s="1" t="n">
        <v>0.551329374</v>
      </c>
      <c r="P236" s="1" t="n">
        <v>0.555421591</v>
      </c>
      <c r="R236" s="1" t="n">
        <f aca="false">PERCENTILE(G236:P236,0.9)</f>
        <v>0.5592462298</v>
      </c>
      <c r="S236" s="5" t="n">
        <f aca="false">spmv_1!R$14/R236</f>
        <v>1.97505875559503</v>
      </c>
      <c r="T236" s="6" t="n">
        <f aca="false">S236/64</f>
        <v>0.0308602930561723</v>
      </c>
    </row>
    <row r="237" customFormat="false" ht="15" hidden="false" customHeight="false" outlineLevel="0" collapsed="false">
      <c r="A237" s="1" t="s">
        <v>18</v>
      </c>
      <c r="B237" s="1" t="n">
        <v>34</v>
      </c>
      <c r="D237" s="1" t="n">
        <v>12096996</v>
      </c>
      <c r="E237" s="1" t="n">
        <v>0.052079</v>
      </c>
      <c r="G237" s="1" t="n">
        <v>0.480886221</v>
      </c>
      <c r="H237" s="1" t="n">
        <v>0.460160494</v>
      </c>
      <c r="I237" s="1" t="n">
        <v>0.470115423</v>
      </c>
      <c r="J237" s="1" t="n">
        <v>0.4615376</v>
      </c>
      <c r="K237" s="1" t="n">
        <v>0.462469339</v>
      </c>
      <c r="L237" s="1" t="n">
        <v>0.464569092</v>
      </c>
      <c r="M237" s="1" t="n">
        <v>0.461552858</v>
      </c>
      <c r="N237" s="1" t="n">
        <v>0.457092524</v>
      </c>
      <c r="O237" s="1" t="n">
        <v>0.461026192</v>
      </c>
      <c r="P237" s="1" t="n">
        <v>0.466204166</v>
      </c>
      <c r="R237" s="1" t="n">
        <f aca="false">PERCENTILE(G237:P237,0.9)</f>
        <v>0.4711925028</v>
      </c>
      <c r="S237" s="5" t="n">
        <f aca="false">spmv_1!R$14/R237</f>
        <v>2.34414630142965</v>
      </c>
      <c r="T237" s="6" t="n">
        <f aca="false">S237/64</f>
        <v>0.0366272859598383</v>
      </c>
    </row>
    <row r="238" customFormat="false" ht="15" hidden="false" customHeight="false" outlineLevel="0" collapsed="false">
      <c r="A238" s="1" t="s">
        <v>18</v>
      </c>
      <c r="B238" s="1" t="n">
        <v>35</v>
      </c>
      <c r="D238" s="1" t="n">
        <v>12096996</v>
      </c>
      <c r="E238" s="1" t="n">
        <v>0.044376</v>
      </c>
      <c r="G238" s="1" t="n">
        <v>0.554060936</v>
      </c>
      <c r="H238" s="1" t="n">
        <v>0.538634777</v>
      </c>
      <c r="I238" s="1" t="n">
        <v>0.549973011</v>
      </c>
      <c r="J238" s="1" t="n">
        <v>0.54186058</v>
      </c>
      <c r="K238" s="1" t="n">
        <v>0.544447899</v>
      </c>
      <c r="L238" s="1" t="n">
        <v>0.546368122</v>
      </c>
      <c r="M238" s="1" t="n">
        <v>0.545006037</v>
      </c>
      <c r="N238" s="1" t="n">
        <v>0.540550232</v>
      </c>
      <c r="O238" s="1" t="n">
        <v>0.543067455</v>
      </c>
      <c r="P238" s="1" t="n">
        <v>0.54812932</v>
      </c>
      <c r="R238" s="1" t="n">
        <f aca="false">PERCENTILE(G238:P238,0.9)</f>
        <v>0.5503818035</v>
      </c>
      <c r="S238" s="5" t="n">
        <f aca="false">spmv_1!R$14/R238</f>
        <v>2.00686896927907</v>
      </c>
      <c r="T238" s="6" t="n">
        <f aca="false">S238/64</f>
        <v>0.0313573276449855</v>
      </c>
    </row>
    <row r="239" customFormat="false" ht="15" hidden="false" customHeight="false" outlineLevel="0" collapsed="false">
      <c r="A239" s="1" t="s">
        <v>18</v>
      </c>
      <c r="B239" s="1" t="n">
        <v>36</v>
      </c>
      <c r="D239" s="1" t="n">
        <v>12099150</v>
      </c>
      <c r="E239" s="1" t="n">
        <v>0.05262</v>
      </c>
      <c r="G239" s="1" t="n">
        <v>0.462126017</v>
      </c>
      <c r="H239" s="1" t="n">
        <v>0.445789576</v>
      </c>
      <c r="I239" s="1" t="n">
        <v>0.454617262</v>
      </c>
      <c r="J239" s="1" t="n">
        <v>0.446913958</v>
      </c>
      <c r="K239" s="1" t="n">
        <v>0.448871851</v>
      </c>
      <c r="L239" s="1" t="n">
        <v>0.450515032</v>
      </c>
      <c r="M239" s="1" t="n">
        <v>0.450639725</v>
      </c>
      <c r="N239" s="1" t="n">
        <v>0.506426096</v>
      </c>
      <c r="O239" s="1" t="n">
        <v>0.448457003</v>
      </c>
      <c r="P239" s="1" t="n">
        <v>0.48429966</v>
      </c>
      <c r="R239" s="1" t="n">
        <f aca="false">PERCENTILE(G239:P239,0.9)</f>
        <v>0.4865123036</v>
      </c>
      <c r="S239" s="5" t="n">
        <f aca="false">spmv_1!R$14/R239</f>
        <v>2.27033140688695</v>
      </c>
      <c r="T239" s="6" t="n">
        <f aca="false">S239/64</f>
        <v>0.0354739282326086</v>
      </c>
    </row>
    <row r="240" customFormat="false" ht="15" hidden="false" customHeight="false" outlineLevel="0" collapsed="false">
      <c r="A240" s="1" t="s">
        <v>18</v>
      </c>
      <c r="B240" s="1" t="n">
        <v>37</v>
      </c>
      <c r="D240" s="1" t="n">
        <v>12101304</v>
      </c>
      <c r="E240" s="1" t="n">
        <v>0.054097</v>
      </c>
      <c r="G240" s="1" t="n">
        <v>0.457573414</v>
      </c>
      <c r="H240" s="1" t="n">
        <v>0.444733381</v>
      </c>
      <c r="I240" s="1" t="n">
        <v>0.453126669</v>
      </c>
      <c r="J240" s="1" t="n">
        <v>0.444153309</v>
      </c>
      <c r="K240" s="1" t="n">
        <v>0.444908142</v>
      </c>
      <c r="L240" s="1" t="n">
        <v>0.448937654</v>
      </c>
      <c r="M240" s="1" t="n">
        <v>0.448589563</v>
      </c>
      <c r="N240" s="1" t="n">
        <v>0.439780235</v>
      </c>
      <c r="O240" s="1" t="n">
        <v>0.444853067</v>
      </c>
      <c r="P240" s="1" t="n">
        <v>0.447288513</v>
      </c>
      <c r="R240" s="1" t="n">
        <f aca="false">PERCENTILE(G240:P240,0.9)</f>
        <v>0.4535713435</v>
      </c>
      <c r="S240" s="5" t="n">
        <f aca="false">spmv_1!R$14/R240</f>
        <v>2.4352159335657</v>
      </c>
      <c r="T240" s="6" t="n">
        <f aca="false">S240/64</f>
        <v>0.038050248961964</v>
      </c>
    </row>
    <row r="241" customFormat="false" ht="15" hidden="false" customHeight="false" outlineLevel="0" collapsed="false">
      <c r="A241" s="1" t="s">
        <v>18</v>
      </c>
      <c r="B241" s="1" t="n">
        <v>38</v>
      </c>
      <c r="D241" s="1" t="n">
        <v>12103458</v>
      </c>
      <c r="E241" s="1" t="n">
        <v>0.05429</v>
      </c>
      <c r="G241" s="1" t="n">
        <v>0.457844973</v>
      </c>
      <c r="H241" s="1" t="n">
        <v>0.441688776</v>
      </c>
      <c r="I241" s="1" t="n">
        <v>0.451200962</v>
      </c>
      <c r="J241" s="1" t="n">
        <v>0.442101002</v>
      </c>
      <c r="K241" s="1" t="n">
        <v>0.444216013</v>
      </c>
      <c r="L241" s="1" t="n">
        <v>0.446974516</v>
      </c>
      <c r="M241" s="1" t="n">
        <v>0.445901871</v>
      </c>
      <c r="N241" s="1" t="n">
        <v>0.438192844</v>
      </c>
      <c r="O241" s="1" t="n">
        <v>0.444809437</v>
      </c>
      <c r="P241" s="1" t="n">
        <v>0.445863724</v>
      </c>
      <c r="R241" s="1" t="n">
        <f aca="false">PERCENTILE(G241:P241,0.9)</f>
        <v>0.4518653631</v>
      </c>
      <c r="S241" s="5" t="n">
        <f aca="false">spmv_1!R$14/R241</f>
        <v>2.4444098904203</v>
      </c>
      <c r="T241" s="6" t="n">
        <f aca="false">S241/64</f>
        <v>0.0381939045378172</v>
      </c>
    </row>
    <row r="242" customFormat="false" ht="15" hidden="false" customHeight="false" outlineLevel="0" collapsed="false">
      <c r="A242" s="1" t="s">
        <v>18</v>
      </c>
      <c r="B242" s="1" t="n">
        <v>39</v>
      </c>
      <c r="D242" s="1" t="n">
        <v>12103458</v>
      </c>
      <c r="E242" s="1" t="n">
        <v>0.055105</v>
      </c>
      <c r="G242" s="1" t="n">
        <v>0.450407028</v>
      </c>
      <c r="H242" s="1" t="n">
        <v>0.436064243</v>
      </c>
      <c r="I242" s="1" t="n">
        <v>0.444947958</v>
      </c>
      <c r="J242" s="1" t="n">
        <v>0.433848619</v>
      </c>
      <c r="K242" s="1" t="n">
        <v>0.436290026</v>
      </c>
      <c r="L242" s="1" t="n">
        <v>0.440758467</v>
      </c>
      <c r="M242" s="1" t="n">
        <v>0.43845129</v>
      </c>
      <c r="N242" s="1" t="n">
        <v>0.43194294</v>
      </c>
      <c r="O242" s="1" t="n">
        <v>0.434702635</v>
      </c>
      <c r="P242" s="1" t="n">
        <v>0.445449352</v>
      </c>
      <c r="R242" s="1" t="n">
        <f aca="false">PERCENTILE(G242:P242,0.9)</f>
        <v>0.4459451196</v>
      </c>
      <c r="S242" s="5" t="n">
        <f aca="false">spmv_1!R$14/R242</f>
        <v>2.4768611969355</v>
      </c>
      <c r="T242" s="6" t="n">
        <f aca="false">S242/64</f>
        <v>0.0387009562021172</v>
      </c>
    </row>
    <row r="243" customFormat="false" ht="15" hidden="false" customHeight="false" outlineLevel="0" collapsed="false">
      <c r="A243" s="1" t="s">
        <v>18</v>
      </c>
      <c r="B243" s="1" t="n">
        <v>40</v>
      </c>
      <c r="D243" s="1" t="n">
        <v>12101304</v>
      </c>
      <c r="E243" s="1" t="n">
        <v>0.056111</v>
      </c>
      <c r="G243" s="1" t="n">
        <v>0.442180634</v>
      </c>
      <c r="H243" s="1" t="n">
        <v>0.430568457</v>
      </c>
      <c r="I243" s="1" t="n">
        <v>0.438060999</v>
      </c>
      <c r="J243" s="1" t="n">
        <v>0.426736355</v>
      </c>
      <c r="K243" s="1" t="n">
        <v>0.428652525</v>
      </c>
      <c r="L243" s="1" t="n">
        <v>0.43347311</v>
      </c>
      <c r="M243" s="1" t="n">
        <v>0.429260492</v>
      </c>
      <c r="N243" s="1" t="n">
        <v>0.425248384</v>
      </c>
      <c r="O243" s="1" t="n">
        <v>0.427645683</v>
      </c>
      <c r="P243" s="1" t="n">
        <v>0.431501627</v>
      </c>
      <c r="R243" s="1" t="n">
        <f aca="false">PERCENTILE(G243:P243,0.9)</f>
        <v>0.4384729625</v>
      </c>
      <c r="S243" s="5" t="n">
        <f aca="false">spmv_1!R$14/R243</f>
        <v>2.51907017573518</v>
      </c>
      <c r="T243" s="6" t="n">
        <f aca="false">S243/64</f>
        <v>0.0393604714958622</v>
      </c>
    </row>
    <row r="244" customFormat="false" ht="15" hidden="false" customHeight="false" outlineLevel="0" collapsed="false">
      <c r="A244" s="1" t="s">
        <v>18</v>
      </c>
      <c r="B244" s="1" t="n">
        <v>41</v>
      </c>
      <c r="D244" s="1" t="n">
        <v>12099150</v>
      </c>
      <c r="E244" s="1" t="n">
        <v>0.056891</v>
      </c>
      <c r="G244" s="1" t="n">
        <v>0.436266422</v>
      </c>
      <c r="H244" s="1" t="n">
        <v>0.422878742</v>
      </c>
      <c r="I244" s="1" t="n">
        <v>0.431050539</v>
      </c>
      <c r="J244" s="1" t="n">
        <v>0.421829224</v>
      </c>
      <c r="K244" s="1" t="n">
        <v>0.422426462</v>
      </c>
      <c r="L244" s="1" t="n">
        <v>0.427766562</v>
      </c>
      <c r="M244" s="1" t="n">
        <v>0.424054861</v>
      </c>
      <c r="N244" s="1" t="n">
        <v>0.418675423</v>
      </c>
      <c r="O244" s="1" t="n">
        <v>0.422693491</v>
      </c>
      <c r="P244" s="1" t="n">
        <v>0.425833702</v>
      </c>
      <c r="R244" s="1" t="n">
        <f aca="false">PERCENTILE(G244:P244,0.9)</f>
        <v>0.4315721273</v>
      </c>
      <c r="S244" s="5" t="n">
        <f aca="false">spmv_1!R$14/R244</f>
        <v>2.55935008965997</v>
      </c>
      <c r="T244" s="6" t="n">
        <f aca="false">S244/64</f>
        <v>0.0399898451509371</v>
      </c>
    </row>
    <row r="245" customFormat="false" ht="15" hidden="false" customHeight="false" outlineLevel="0" collapsed="false">
      <c r="A245" s="1" t="s">
        <v>18</v>
      </c>
      <c r="B245" s="1" t="n">
        <v>42</v>
      </c>
      <c r="D245" s="1" t="n">
        <v>12096996</v>
      </c>
      <c r="E245" s="1" t="n">
        <v>0.058061</v>
      </c>
      <c r="G245" s="1" t="n">
        <v>0.427012682</v>
      </c>
      <c r="H245" s="1" t="n">
        <v>0.413706541</v>
      </c>
      <c r="I245" s="1" t="n">
        <v>0.422425747</v>
      </c>
      <c r="J245" s="1" t="n">
        <v>0.414045334</v>
      </c>
      <c r="K245" s="1" t="n">
        <v>0.41418004</v>
      </c>
      <c r="L245" s="1" t="n">
        <v>0.420035362</v>
      </c>
      <c r="M245" s="1" t="n">
        <v>0.413713694</v>
      </c>
      <c r="N245" s="1" t="n">
        <v>0.410117149</v>
      </c>
      <c r="O245" s="1" t="n">
        <v>0.413789272</v>
      </c>
      <c r="P245" s="1" t="n">
        <v>0.417970419</v>
      </c>
      <c r="R245" s="1" t="n">
        <f aca="false">PERCENTILE(G245:P245,0.9)</f>
        <v>0.4228844405</v>
      </c>
      <c r="S245" s="5" t="n">
        <f aca="false">spmv_1!R$14/R245</f>
        <v>2.61192906836212</v>
      </c>
      <c r="T245" s="6" t="n">
        <f aca="false">S245/64</f>
        <v>0.0408113916931581</v>
      </c>
    </row>
    <row r="246" customFormat="false" ht="15" hidden="false" customHeight="false" outlineLevel="0" collapsed="false">
      <c r="A246" s="1" t="s">
        <v>18</v>
      </c>
      <c r="B246" s="1" t="n">
        <v>43</v>
      </c>
      <c r="D246" s="1" t="n">
        <v>12096996</v>
      </c>
      <c r="E246" s="1" t="n">
        <v>0.058643</v>
      </c>
      <c r="G246" s="1" t="n">
        <v>0.421321154</v>
      </c>
      <c r="H246" s="1" t="n">
        <v>0.406951189</v>
      </c>
      <c r="I246" s="1" t="n">
        <v>0.421658516</v>
      </c>
      <c r="J246" s="1" t="n">
        <v>0.409226418</v>
      </c>
      <c r="K246" s="1" t="n">
        <v>0.411410093</v>
      </c>
      <c r="L246" s="1" t="n">
        <v>0.416162252</v>
      </c>
      <c r="M246" s="1" t="n">
        <v>0.408448458</v>
      </c>
      <c r="N246" s="1" t="n">
        <v>0.406130552</v>
      </c>
      <c r="O246" s="1" t="n">
        <v>0.409689188</v>
      </c>
      <c r="P246" s="1" t="n">
        <v>0.414669275</v>
      </c>
      <c r="R246" s="1" t="n">
        <f aca="false">PERCENTILE(G246:P246,0.9)</f>
        <v>0.4213548902</v>
      </c>
      <c r="S246" s="5" t="n">
        <f aca="false">spmv_1!R$14/R246</f>
        <v>2.62141056954559</v>
      </c>
      <c r="T246" s="6" t="n">
        <f aca="false">S246/64</f>
        <v>0.0409595401491498</v>
      </c>
    </row>
    <row r="247" customFormat="false" ht="15" hidden="false" customHeight="false" outlineLevel="0" collapsed="false">
      <c r="A247" s="1" t="s">
        <v>18</v>
      </c>
      <c r="B247" s="1" t="n">
        <v>44</v>
      </c>
      <c r="D247" s="1" t="n">
        <v>12099150</v>
      </c>
      <c r="E247" s="1" t="n">
        <v>0.048236</v>
      </c>
      <c r="G247" s="1" t="n">
        <v>0.505633593</v>
      </c>
      <c r="H247" s="1" t="n">
        <v>0.494555473</v>
      </c>
      <c r="I247" s="1" t="n">
        <v>0.511964321</v>
      </c>
      <c r="J247" s="1" t="n">
        <v>0.499238968</v>
      </c>
      <c r="K247" s="1" t="n">
        <v>0.500909328</v>
      </c>
      <c r="L247" s="1" t="n">
        <v>0.506130219</v>
      </c>
      <c r="M247" s="1" t="n">
        <v>0.499626637</v>
      </c>
      <c r="N247" s="1" t="n">
        <v>0.496631861</v>
      </c>
      <c r="O247" s="1" t="n">
        <v>0.499526978</v>
      </c>
      <c r="P247" s="1" t="n">
        <v>0.502440453</v>
      </c>
      <c r="R247" s="1" t="n">
        <f aca="false">PERCENTILE(G247:P247,0.9)</f>
        <v>0.5067136292</v>
      </c>
      <c r="S247" s="5" t="n">
        <f aca="false">spmv_1!R$14/R247</f>
        <v>2.1798193280174</v>
      </c>
      <c r="T247" s="6" t="n">
        <f aca="false">S247/64</f>
        <v>0.0340596770002718</v>
      </c>
    </row>
    <row r="248" customFormat="false" ht="15" hidden="false" customHeight="false" outlineLevel="0" collapsed="false">
      <c r="A248" s="1" t="s">
        <v>18</v>
      </c>
      <c r="B248" s="1" t="n">
        <v>45</v>
      </c>
      <c r="D248" s="1" t="n">
        <v>12101304</v>
      </c>
      <c r="E248" s="1" t="n">
        <v>0.060208</v>
      </c>
      <c r="G248" s="1" t="n">
        <v>0.412326097</v>
      </c>
      <c r="H248" s="1" t="n">
        <v>0.396262169</v>
      </c>
      <c r="I248" s="1" t="n">
        <v>0.414392233</v>
      </c>
      <c r="J248" s="1" t="n">
        <v>0.398720264</v>
      </c>
      <c r="K248" s="1" t="n">
        <v>0.399495602</v>
      </c>
      <c r="L248" s="1" t="n">
        <v>0.403966427</v>
      </c>
      <c r="M248" s="1" t="n">
        <v>0.397277355</v>
      </c>
      <c r="N248" s="1" t="n">
        <v>0.395660877</v>
      </c>
      <c r="O248" s="1" t="n">
        <v>0.398055315</v>
      </c>
      <c r="P248" s="1" t="n">
        <v>0.403683662</v>
      </c>
      <c r="R248" s="1" t="n">
        <f aca="false">PERCENTILE(G248:P248,0.9)</f>
        <v>0.4125327106</v>
      </c>
      <c r="S248" s="5" t="n">
        <f aca="false">spmv_1!R$14/R248</f>
        <v>2.6774704994751</v>
      </c>
      <c r="T248" s="6" t="n">
        <f aca="false">S248/64</f>
        <v>0.0418354765542985</v>
      </c>
    </row>
    <row r="249" customFormat="false" ht="15" hidden="false" customHeight="false" outlineLevel="0" collapsed="false">
      <c r="A249" s="1" t="s">
        <v>18</v>
      </c>
      <c r="B249" s="1" t="n">
        <v>46</v>
      </c>
      <c r="D249" s="1" t="n">
        <v>12103458</v>
      </c>
      <c r="E249" s="1" t="n">
        <v>0.060807</v>
      </c>
      <c r="G249" s="1" t="n">
        <v>0.410447359</v>
      </c>
      <c r="H249" s="1" t="n">
        <v>0.391660452</v>
      </c>
      <c r="I249" s="1" t="n">
        <v>0.410682201</v>
      </c>
      <c r="J249" s="1" t="n">
        <v>0.39417696</v>
      </c>
      <c r="K249" s="1" t="n">
        <v>0.39586854</v>
      </c>
      <c r="L249" s="1" t="n">
        <v>0.399701357</v>
      </c>
      <c r="M249" s="1" t="n">
        <v>0.393286467</v>
      </c>
      <c r="N249" s="1" t="n">
        <v>0.392257214</v>
      </c>
      <c r="O249" s="1" t="n">
        <v>0.394409657</v>
      </c>
      <c r="P249" s="1" t="n">
        <v>0.39845705</v>
      </c>
      <c r="R249" s="1" t="n">
        <f aca="false">PERCENTILE(G249:P249,0.9)</f>
        <v>0.4104708432</v>
      </c>
      <c r="S249" s="5" t="n">
        <f aca="false">spmv_1!R$14/R249</f>
        <v>2.69091990575763</v>
      </c>
      <c r="T249" s="6" t="n">
        <f aca="false">S249/64</f>
        <v>0.042045623527463</v>
      </c>
    </row>
    <row r="250" customFormat="false" ht="15" hidden="false" customHeight="false" outlineLevel="0" collapsed="false">
      <c r="A250" s="1" t="s">
        <v>18</v>
      </c>
      <c r="B250" s="1" t="n">
        <v>47</v>
      </c>
      <c r="D250" s="1" t="n">
        <v>12101306</v>
      </c>
      <c r="E250" s="1" t="n">
        <v>0.061353</v>
      </c>
      <c r="G250" s="1" t="n">
        <v>0.405896187</v>
      </c>
      <c r="H250" s="1" t="n">
        <v>0.423476219</v>
      </c>
      <c r="I250" s="1" t="n">
        <v>0.394503117</v>
      </c>
      <c r="J250" s="1" t="n">
        <v>0.387156248</v>
      </c>
      <c r="K250" s="1" t="n">
        <v>0.389954567</v>
      </c>
      <c r="L250" s="1" t="n">
        <v>0.392572641</v>
      </c>
      <c r="M250" s="1" t="n">
        <v>0.385353804</v>
      </c>
      <c r="N250" s="1" t="n">
        <v>0.386859894</v>
      </c>
      <c r="O250" s="1" t="n">
        <v>0.386593103</v>
      </c>
      <c r="P250" s="1" t="n">
        <v>0.392416239</v>
      </c>
      <c r="R250" s="1" t="n">
        <f aca="false">PERCENTILE(G250:P250,0.9)</f>
        <v>0.4076541902</v>
      </c>
      <c r="S250" s="5" t="n">
        <f aca="false">spmv_1!R$14/R250</f>
        <v>2.70951259487385</v>
      </c>
      <c r="T250" s="6" t="n">
        <f aca="false">S250/64</f>
        <v>0.0423361342949039</v>
      </c>
    </row>
    <row r="251" customFormat="false" ht="15" hidden="false" customHeight="false" outlineLevel="0" collapsed="false">
      <c r="A251" s="1" t="s">
        <v>18</v>
      </c>
      <c r="B251" s="1" t="n">
        <v>48</v>
      </c>
      <c r="D251" s="1" t="n">
        <v>12099878</v>
      </c>
      <c r="E251" s="1" t="n">
        <v>0.062882</v>
      </c>
      <c r="G251" s="1" t="n">
        <v>0.402653694</v>
      </c>
      <c r="H251" s="1" t="n">
        <v>0.379564762</v>
      </c>
      <c r="I251" s="1" t="n">
        <v>0.384173393</v>
      </c>
      <c r="J251" s="1" t="n">
        <v>0.382444382</v>
      </c>
      <c r="K251" s="1" t="n">
        <v>0.384301186</v>
      </c>
      <c r="L251" s="1" t="n">
        <v>0.385888338</v>
      </c>
      <c r="M251" s="1" t="n">
        <v>0.380571842</v>
      </c>
      <c r="N251" s="1" t="n">
        <v>0.382805824</v>
      </c>
      <c r="O251" s="1" t="n">
        <v>0.38199544</v>
      </c>
      <c r="P251" s="1" t="n">
        <v>0.384020329</v>
      </c>
      <c r="R251" s="1" t="n">
        <f aca="false">PERCENTILE(G251:P251,0.9)</f>
        <v>0.3875648736</v>
      </c>
      <c r="S251" s="5" t="n">
        <f aca="false">spmv_1!R$14/R251</f>
        <v>2.8499594208323</v>
      </c>
      <c r="T251" s="6" t="n">
        <f aca="false">S251/64</f>
        <v>0.0445306159505047</v>
      </c>
    </row>
    <row r="252" customFormat="false" ht="15" hidden="false" customHeight="false" outlineLevel="0" collapsed="false">
      <c r="A252" s="1" t="s">
        <v>18</v>
      </c>
      <c r="B252" s="1" t="n">
        <v>49</v>
      </c>
      <c r="D252" s="1" t="n">
        <v>12099880</v>
      </c>
      <c r="E252" s="1" t="n">
        <v>0.063273</v>
      </c>
      <c r="G252" s="1" t="n">
        <v>0.388840199</v>
      </c>
      <c r="H252" s="1" t="n">
        <v>0.381915808</v>
      </c>
      <c r="I252" s="1" t="n">
        <v>0.38344717</v>
      </c>
      <c r="J252" s="1" t="n">
        <v>0.380816936</v>
      </c>
      <c r="K252" s="1" t="n">
        <v>0.379347801</v>
      </c>
      <c r="L252" s="1" t="n">
        <v>0.384373188</v>
      </c>
      <c r="M252" s="1" t="n">
        <v>0.380764723</v>
      </c>
      <c r="N252" s="1" t="n">
        <v>0.383503914</v>
      </c>
      <c r="O252" s="1" t="n">
        <v>0.379289865</v>
      </c>
      <c r="P252" s="1" t="n">
        <v>0.382334948</v>
      </c>
      <c r="R252" s="1" t="n">
        <f aca="false">PERCENTILE(G252:P252,0.9)</f>
        <v>0.3848198891</v>
      </c>
      <c r="S252" s="5" t="n">
        <f aca="false">spmv_1!R$14/R252</f>
        <v>2.87028865707347</v>
      </c>
      <c r="T252" s="6" t="n">
        <f aca="false">S252/64</f>
        <v>0.044848260266773</v>
      </c>
    </row>
    <row r="253" customFormat="false" ht="15" hidden="false" customHeight="false" outlineLevel="0" collapsed="false">
      <c r="A253" s="1" t="s">
        <v>18</v>
      </c>
      <c r="B253" s="1" t="n">
        <v>50</v>
      </c>
      <c r="D253" s="1" t="n">
        <v>12101316</v>
      </c>
      <c r="E253" s="1" t="n">
        <v>0.048612</v>
      </c>
      <c r="G253" s="1" t="n">
        <v>0.498809338</v>
      </c>
      <c r="H253" s="1" t="n">
        <v>0.500610352</v>
      </c>
      <c r="I253" s="1" t="n">
        <v>0.500377178</v>
      </c>
      <c r="J253" s="1" t="n">
        <v>0.498942852</v>
      </c>
      <c r="K253" s="1" t="n">
        <v>0.495970726</v>
      </c>
      <c r="L253" s="1" t="n">
        <v>0.499650955</v>
      </c>
      <c r="M253" s="1" t="n">
        <v>0.496455431</v>
      </c>
      <c r="N253" s="1" t="n">
        <v>0.497687101</v>
      </c>
      <c r="O253" s="1" t="n">
        <v>0.493831873</v>
      </c>
      <c r="P253" s="1" t="n">
        <v>0.49636364</v>
      </c>
      <c r="R253" s="1" t="n">
        <f aca="false">PERCENTILE(G253:P253,0.9)</f>
        <v>0.5004004954</v>
      </c>
      <c r="S253" s="5" t="n">
        <f aca="false">spmv_1!R$14/R253</f>
        <v>2.20732028216134</v>
      </c>
      <c r="T253" s="6" t="n">
        <f aca="false">S253/64</f>
        <v>0.0344893794087709</v>
      </c>
    </row>
    <row r="254" customFormat="false" ht="15" hidden="false" customHeight="false" outlineLevel="0" collapsed="false">
      <c r="A254" s="1" t="s">
        <v>18</v>
      </c>
      <c r="B254" s="1" t="n">
        <v>51</v>
      </c>
      <c r="D254" s="1" t="n">
        <v>12103470</v>
      </c>
      <c r="E254" s="1" t="n">
        <v>0.058858</v>
      </c>
      <c r="G254" s="1" t="n">
        <v>0.41191411</v>
      </c>
      <c r="H254" s="1" t="n">
        <v>0.41362381</v>
      </c>
      <c r="I254" s="1" t="n">
        <v>0.414584637</v>
      </c>
      <c r="J254" s="1" t="n">
        <v>0.410620689</v>
      </c>
      <c r="K254" s="1" t="n">
        <v>0.410503149</v>
      </c>
      <c r="L254" s="1" t="n">
        <v>0.411855459</v>
      </c>
      <c r="M254" s="1" t="n">
        <v>0.410780668</v>
      </c>
      <c r="N254" s="1" t="n">
        <v>0.411713839</v>
      </c>
      <c r="O254" s="1" t="n">
        <v>0.407792091</v>
      </c>
      <c r="P254" s="1" t="n">
        <v>0.409409285</v>
      </c>
      <c r="R254" s="1" t="n">
        <f aca="false">PERCENTILE(G254:P254,0.9)</f>
        <v>0.4137198927</v>
      </c>
      <c r="S254" s="5" t="n">
        <f aca="false">spmv_1!R$14/R254</f>
        <v>2.6697874145997</v>
      </c>
      <c r="T254" s="6" t="n">
        <f aca="false">S254/64</f>
        <v>0.0417154283531204</v>
      </c>
    </row>
    <row r="255" customFormat="false" ht="15" hidden="false" customHeight="false" outlineLevel="0" collapsed="false">
      <c r="A255" s="1" t="s">
        <v>18</v>
      </c>
      <c r="B255" s="1" t="n">
        <v>52</v>
      </c>
      <c r="D255" s="1" t="n">
        <v>12105624</v>
      </c>
      <c r="E255" s="1" t="n">
        <v>0.060378</v>
      </c>
      <c r="G255" s="1" t="n">
        <v>0.402745008</v>
      </c>
      <c r="H255" s="1" t="n">
        <v>0.399958849</v>
      </c>
      <c r="I255" s="1" t="n">
        <v>0.402924299</v>
      </c>
      <c r="J255" s="1" t="n">
        <v>0.400435209</v>
      </c>
      <c r="K255" s="1" t="n">
        <v>0.399600029</v>
      </c>
      <c r="L255" s="1" t="n">
        <v>0.403085709</v>
      </c>
      <c r="M255" s="1" t="n">
        <v>0.399203062</v>
      </c>
      <c r="N255" s="1" t="n">
        <v>0.402896404</v>
      </c>
      <c r="O255" s="1" t="n">
        <v>0.399105787</v>
      </c>
      <c r="P255" s="1" t="n">
        <v>0.40000391</v>
      </c>
      <c r="R255" s="1" t="n">
        <f aca="false">PERCENTILE(G255:P255,0.9)</f>
        <v>0.40294044</v>
      </c>
      <c r="S255" s="5" t="n">
        <f aca="false">spmv_1!R$14/R255</f>
        <v>2.74120950158291</v>
      </c>
      <c r="T255" s="6" t="n">
        <f aca="false">S255/64</f>
        <v>0.042831398462233</v>
      </c>
    </row>
    <row r="256" customFormat="false" ht="15" hidden="false" customHeight="false" outlineLevel="0" collapsed="false">
      <c r="A256" s="1" t="s">
        <v>18</v>
      </c>
      <c r="B256" s="1" t="n">
        <v>53</v>
      </c>
      <c r="D256" s="1" t="n">
        <v>12105624</v>
      </c>
      <c r="E256" s="1" t="n">
        <v>0.058888</v>
      </c>
      <c r="G256" s="1" t="n">
        <v>0.414354801</v>
      </c>
      <c r="H256" s="1" t="n">
        <v>0.411489725</v>
      </c>
      <c r="I256" s="1" t="n">
        <v>0.41296792</v>
      </c>
      <c r="J256" s="1" t="n">
        <v>0.411064863</v>
      </c>
      <c r="K256" s="1" t="n">
        <v>0.410115719</v>
      </c>
      <c r="L256" s="1" t="n">
        <v>0.412917614</v>
      </c>
      <c r="M256" s="1" t="n">
        <v>0.409243822</v>
      </c>
      <c r="N256" s="1" t="n">
        <v>0.411390066</v>
      </c>
      <c r="O256" s="1" t="n">
        <v>0.407846451</v>
      </c>
      <c r="P256" s="1" t="n">
        <v>0.409982443</v>
      </c>
      <c r="R256" s="1" t="n">
        <f aca="false">PERCENTILE(G256:P256,0.9)</f>
        <v>0.4131066081</v>
      </c>
      <c r="S256" s="5" t="n">
        <f aca="false">spmv_1!R$14/R256</f>
        <v>2.67375089394025</v>
      </c>
      <c r="T256" s="6" t="n">
        <f aca="false">S256/64</f>
        <v>0.0417773577178164</v>
      </c>
    </row>
    <row r="257" customFormat="false" ht="15" hidden="false" customHeight="false" outlineLevel="0" collapsed="false">
      <c r="A257" s="1" t="s">
        <v>18</v>
      </c>
      <c r="B257" s="1" t="n">
        <v>54</v>
      </c>
      <c r="D257" s="1" t="n">
        <v>12103470</v>
      </c>
      <c r="E257" s="1" t="n">
        <v>0.046483</v>
      </c>
      <c r="G257" s="1" t="n">
        <v>0.523250818</v>
      </c>
      <c r="H257" s="1" t="n">
        <v>0.519908667</v>
      </c>
      <c r="I257" s="1" t="n">
        <v>0.525171995</v>
      </c>
      <c r="J257" s="1" t="n">
        <v>0.521176338</v>
      </c>
      <c r="K257" s="1" t="n">
        <v>0.520005465</v>
      </c>
      <c r="L257" s="1" t="n">
        <v>0.52251339</v>
      </c>
      <c r="M257" s="1" t="n">
        <v>0.517820358</v>
      </c>
      <c r="N257" s="1" t="n">
        <v>0.521033764</v>
      </c>
      <c r="O257" s="1" t="n">
        <v>0.517544746</v>
      </c>
      <c r="P257" s="1" t="n">
        <v>0.519298077</v>
      </c>
      <c r="R257" s="1" t="n">
        <f aca="false">PERCENTILE(G257:P257,0.9)</f>
        <v>0.5234429357</v>
      </c>
      <c r="S257" s="5" t="n">
        <f aca="false">spmv_1!R$14/R257</f>
        <v>2.1101520096415</v>
      </c>
      <c r="T257" s="6" t="n">
        <f aca="false">S257/64</f>
        <v>0.0329711251506484</v>
      </c>
    </row>
    <row r="258" customFormat="false" ht="15" hidden="false" customHeight="false" outlineLevel="0" collapsed="false">
      <c r="A258" s="1" t="s">
        <v>18</v>
      </c>
      <c r="B258" s="1" t="n">
        <v>55</v>
      </c>
      <c r="D258" s="1" t="n">
        <v>12101316</v>
      </c>
      <c r="E258" s="1" t="n">
        <v>0.055862</v>
      </c>
      <c r="G258" s="1" t="n">
        <v>0.435912371</v>
      </c>
      <c r="H258" s="1" t="n">
        <v>0.432369709</v>
      </c>
      <c r="I258" s="1" t="n">
        <v>0.438729525</v>
      </c>
      <c r="J258" s="1" t="n">
        <v>0.431957483</v>
      </c>
      <c r="K258" s="1" t="n">
        <v>0.433489799</v>
      </c>
      <c r="L258" s="1" t="n">
        <v>0.433727741</v>
      </c>
      <c r="M258" s="1" t="n">
        <v>0.430387735</v>
      </c>
      <c r="N258" s="1" t="n">
        <v>0.434306622</v>
      </c>
      <c r="O258" s="1" t="n">
        <v>0.430126667</v>
      </c>
      <c r="P258" s="1" t="n">
        <v>0.431537628</v>
      </c>
      <c r="R258" s="1" t="n">
        <f aca="false">PERCENTILE(G258:P258,0.9)</f>
        <v>0.4361940864</v>
      </c>
      <c r="S258" s="5" t="n">
        <f aca="false">spmv_1!R$14/R258</f>
        <v>2.53223094291817</v>
      </c>
      <c r="T258" s="6" t="n">
        <f aca="false">S258/64</f>
        <v>0.0395661084830964</v>
      </c>
    </row>
    <row r="259" customFormat="false" ht="15" hidden="false" customHeight="false" outlineLevel="0" collapsed="false">
      <c r="A259" s="1" t="s">
        <v>18</v>
      </c>
      <c r="B259" s="1" t="n">
        <v>56</v>
      </c>
      <c r="D259" s="1" t="n">
        <v>12099162</v>
      </c>
      <c r="E259" s="1" t="n">
        <v>0.057415</v>
      </c>
      <c r="G259" s="1" t="n">
        <v>0.424717665</v>
      </c>
      <c r="H259" s="1" t="n">
        <v>0.416704893</v>
      </c>
      <c r="I259" s="1" t="n">
        <v>0.42555809</v>
      </c>
      <c r="J259" s="1" t="n">
        <v>0.420479536</v>
      </c>
      <c r="K259" s="1" t="n">
        <v>0.420920849</v>
      </c>
      <c r="L259" s="1" t="n">
        <v>0.423559666</v>
      </c>
      <c r="M259" s="1" t="n">
        <v>0.417902946</v>
      </c>
      <c r="N259" s="1" t="n">
        <v>0.424308538</v>
      </c>
      <c r="O259" s="1" t="n">
        <v>0.419857025</v>
      </c>
      <c r="P259" s="1" t="n">
        <v>0.4206357</v>
      </c>
      <c r="R259" s="1" t="n">
        <f aca="false">PERCENTILE(G259:P259,0.9)</f>
        <v>0.4248017075</v>
      </c>
      <c r="S259" s="5" t="n">
        <f aca="false">spmv_1!R$14/R259</f>
        <v>2.60014059077199</v>
      </c>
      <c r="T259" s="6" t="n">
        <f aca="false">S259/64</f>
        <v>0.0406271967308123</v>
      </c>
    </row>
    <row r="260" customFormat="false" ht="15" hidden="false" customHeight="false" outlineLevel="0" collapsed="false">
      <c r="A260" s="1" t="s">
        <v>18</v>
      </c>
      <c r="B260" s="1" t="n">
        <v>57</v>
      </c>
      <c r="D260" s="1" t="n">
        <v>12099162</v>
      </c>
      <c r="E260" s="1" t="n">
        <v>0.055632</v>
      </c>
      <c r="G260" s="1" t="n">
        <v>0.440597057</v>
      </c>
      <c r="H260" s="1" t="n">
        <v>0.430442095</v>
      </c>
      <c r="I260" s="1" t="n">
        <v>0.439220905</v>
      </c>
      <c r="J260" s="1" t="n">
        <v>0.434020519</v>
      </c>
      <c r="K260" s="1" t="n">
        <v>0.434379339</v>
      </c>
      <c r="L260" s="1" t="n">
        <v>0.436617613</v>
      </c>
      <c r="M260" s="1" t="n">
        <v>0.432357073</v>
      </c>
      <c r="N260" s="1" t="n">
        <v>0.436385155</v>
      </c>
      <c r="O260" s="1" t="n">
        <v>0.431698322</v>
      </c>
      <c r="P260" s="1" t="n">
        <v>0.434001923</v>
      </c>
      <c r="R260" s="1" t="n">
        <f aca="false">PERCENTILE(G260:P260,0.9)</f>
        <v>0.4393585202</v>
      </c>
      <c r="S260" s="5" t="n">
        <f aca="false">spmv_1!R$14/R260</f>
        <v>2.51399281433578</v>
      </c>
      <c r="T260" s="6" t="n">
        <f aca="false">S260/64</f>
        <v>0.0392811377239965</v>
      </c>
    </row>
    <row r="261" customFormat="false" ht="15" hidden="false" customHeight="false" outlineLevel="0" collapsed="false">
      <c r="A261" s="1" t="s">
        <v>18</v>
      </c>
      <c r="B261" s="1" t="n">
        <v>58</v>
      </c>
      <c r="D261" s="1" t="n">
        <v>12101316</v>
      </c>
      <c r="E261" s="1" t="n">
        <v>0.054775</v>
      </c>
      <c r="G261" s="1" t="n">
        <v>0.4467237</v>
      </c>
      <c r="H261" s="1" t="n">
        <v>0.437809944</v>
      </c>
      <c r="I261" s="1" t="n">
        <v>0.445817947</v>
      </c>
      <c r="J261" s="1" t="n">
        <v>0.440010548</v>
      </c>
      <c r="K261" s="1" t="n">
        <v>0.441295385</v>
      </c>
      <c r="L261" s="1" t="n">
        <v>0.444438219</v>
      </c>
      <c r="M261" s="1" t="n">
        <v>0.439469576</v>
      </c>
      <c r="N261" s="1" t="n">
        <v>0.443108082</v>
      </c>
      <c r="O261" s="1" t="n">
        <v>0.439135075</v>
      </c>
      <c r="P261" s="1" t="n">
        <v>0.440706491</v>
      </c>
      <c r="R261" s="1" t="n">
        <f aca="false">PERCENTILE(G261:P261,0.9)</f>
        <v>0.4459085223</v>
      </c>
      <c r="S261" s="5" t="n">
        <f aca="false">spmv_1!R$14/R261</f>
        <v>2.47706448175234</v>
      </c>
      <c r="T261" s="6" t="n">
        <f aca="false">S261/64</f>
        <v>0.0387041325273803</v>
      </c>
    </row>
    <row r="262" customFormat="false" ht="15" hidden="false" customHeight="false" outlineLevel="0" collapsed="false">
      <c r="A262" s="1" t="s">
        <v>18</v>
      </c>
      <c r="B262" s="1" t="n">
        <v>59</v>
      </c>
      <c r="D262" s="1" t="n">
        <v>12103470</v>
      </c>
      <c r="E262" s="1" t="n">
        <v>0.055287</v>
      </c>
      <c r="G262" s="1" t="n">
        <v>0.442562819</v>
      </c>
      <c r="H262" s="1" t="n">
        <v>0.434514046</v>
      </c>
      <c r="I262" s="1" t="n">
        <v>0.442793608</v>
      </c>
      <c r="J262" s="1" t="n">
        <v>0.435678244</v>
      </c>
      <c r="K262" s="1" t="n">
        <v>0.436164618</v>
      </c>
      <c r="L262" s="1" t="n">
        <v>0.440493107</v>
      </c>
      <c r="M262" s="1" t="n">
        <v>0.433205128</v>
      </c>
      <c r="N262" s="1" t="n">
        <v>0.440616846</v>
      </c>
      <c r="O262" s="1" t="n">
        <v>0.435176373</v>
      </c>
      <c r="P262" s="1" t="n">
        <v>0.437214613</v>
      </c>
      <c r="R262" s="1" t="n">
        <f aca="false">PERCENTILE(G262:P262,0.9)</f>
        <v>0.4425858979</v>
      </c>
      <c r="S262" s="5" t="n">
        <f aca="false">spmv_1!R$14/R262</f>
        <v>2.49566054395517</v>
      </c>
      <c r="T262" s="6" t="n">
        <f aca="false">S262/64</f>
        <v>0.0389946959992995</v>
      </c>
    </row>
    <row r="263" customFormat="false" ht="15" hidden="false" customHeight="false" outlineLevel="0" collapsed="false">
      <c r="A263" s="1" t="s">
        <v>18</v>
      </c>
      <c r="B263" s="1" t="n">
        <v>60</v>
      </c>
      <c r="D263" s="1" t="n">
        <v>12105624</v>
      </c>
      <c r="E263" s="1" t="n">
        <v>0.052893</v>
      </c>
      <c r="G263" s="1" t="n">
        <v>0.461038113</v>
      </c>
      <c r="H263" s="1" t="n">
        <v>0.458013773</v>
      </c>
      <c r="I263" s="1" t="n">
        <v>0.464092493</v>
      </c>
      <c r="J263" s="1" t="n">
        <v>0.457316399</v>
      </c>
      <c r="K263" s="1" t="n">
        <v>0.45636487</v>
      </c>
      <c r="L263" s="1" t="n">
        <v>0.457971334</v>
      </c>
      <c r="M263" s="1" t="n">
        <v>0.454121113</v>
      </c>
      <c r="N263" s="1" t="n">
        <v>0.45892477</v>
      </c>
      <c r="O263" s="1" t="n">
        <v>0.453772783</v>
      </c>
      <c r="P263" s="1" t="n">
        <v>0.455803156</v>
      </c>
      <c r="R263" s="1" t="n">
        <f aca="false">PERCENTILE(G263:P263,0.9)</f>
        <v>0.461343551</v>
      </c>
      <c r="S263" s="5" t="n">
        <f aca="false">spmv_1!R$14/R263</f>
        <v>2.39419010042692</v>
      </c>
      <c r="T263" s="6" t="n">
        <f aca="false">S263/64</f>
        <v>0.0374092203191706</v>
      </c>
    </row>
    <row r="264" customFormat="false" ht="15" hidden="false" customHeight="false" outlineLevel="0" collapsed="false">
      <c r="A264" s="1" t="s">
        <v>18</v>
      </c>
      <c r="B264" s="1" t="n">
        <v>61</v>
      </c>
      <c r="D264" s="1" t="n">
        <v>12105624</v>
      </c>
      <c r="E264" s="1" t="n">
        <v>0.053132</v>
      </c>
      <c r="G264" s="1" t="n">
        <v>0.461270094</v>
      </c>
      <c r="H264" s="1" t="n">
        <v>0.452426195</v>
      </c>
      <c r="I264" s="1" t="n">
        <v>0.460603237</v>
      </c>
      <c r="J264" s="1" t="n">
        <v>0.453327179</v>
      </c>
      <c r="K264" s="1" t="n">
        <v>0.454038382</v>
      </c>
      <c r="L264" s="1" t="n">
        <v>0.457679987</v>
      </c>
      <c r="M264" s="1" t="n">
        <v>0.451886415</v>
      </c>
      <c r="N264" s="1" t="n">
        <v>0.458947897</v>
      </c>
      <c r="O264" s="1" t="n">
        <v>0.452022552</v>
      </c>
      <c r="P264" s="1" t="n">
        <v>0.454591513</v>
      </c>
      <c r="R264" s="1" t="n">
        <f aca="false">PERCENTILE(G264:P264,0.9)</f>
        <v>0.4606699227</v>
      </c>
      <c r="S264" s="5" t="n">
        <f aca="false">spmv_1!R$14/R264</f>
        <v>2.39769107613155</v>
      </c>
      <c r="T264" s="6" t="n">
        <f aca="false">S264/64</f>
        <v>0.0374639230645554</v>
      </c>
    </row>
    <row r="265" customFormat="false" ht="15" hidden="false" customHeight="false" outlineLevel="0" collapsed="false">
      <c r="A265" s="1" t="s">
        <v>18</v>
      </c>
      <c r="B265" s="1" t="n">
        <v>62</v>
      </c>
      <c r="D265" s="1" t="n">
        <v>12103470</v>
      </c>
      <c r="E265" s="1" t="n">
        <v>0.051862</v>
      </c>
      <c r="G265" s="1" t="n">
        <v>0.470667362</v>
      </c>
      <c r="H265" s="1" t="n">
        <v>0.466909647</v>
      </c>
      <c r="I265" s="1" t="n">
        <v>0.472289801</v>
      </c>
      <c r="J265" s="1" t="n">
        <v>0.466563225</v>
      </c>
      <c r="K265" s="1" t="n">
        <v>0.464909792</v>
      </c>
      <c r="L265" s="1" t="n">
        <v>0.467103958</v>
      </c>
      <c r="M265" s="1" t="n">
        <v>0.462162495</v>
      </c>
      <c r="N265" s="1" t="n">
        <v>0.46969676</v>
      </c>
      <c r="O265" s="1" t="n">
        <v>0.463616371</v>
      </c>
      <c r="P265" s="1" t="n">
        <v>0.463671923</v>
      </c>
      <c r="R265" s="1" t="n">
        <f aca="false">PERCENTILE(G265:P265,0.9)</f>
        <v>0.4708296059</v>
      </c>
      <c r="S265" s="5" t="n">
        <f aca="false">spmv_1!R$14/R265</f>
        <v>2.34595307699192</v>
      </c>
      <c r="T265" s="6" t="n">
        <f aca="false">S265/64</f>
        <v>0.0366555168279988</v>
      </c>
    </row>
    <row r="266" customFormat="false" ht="15" hidden="false" customHeight="false" outlineLevel="0" collapsed="false">
      <c r="A266" s="1" t="s">
        <v>18</v>
      </c>
      <c r="B266" s="1" t="n">
        <v>63</v>
      </c>
      <c r="D266" s="1" t="n">
        <v>12099164</v>
      </c>
      <c r="E266" s="1" t="n">
        <v>0.051869</v>
      </c>
      <c r="G266" s="1" t="n">
        <v>0.471752644</v>
      </c>
      <c r="H266" s="1" t="n">
        <v>0.462316513</v>
      </c>
      <c r="I266" s="1" t="n">
        <v>0.469956398</v>
      </c>
      <c r="J266" s="1" t="n">
        <v>0.463076353</v>
      </c>
      <c r="K266" s="1" t="n">
        <v>0.464146852</v>
      </c>
      <c r="L266" s="1" t="n">
        <v>0.468244314</v>
      </c>
      <c r="M266" s="1" t="n">
        <v>0.459969521</v>
      </c>
      <c r="N266" s="1" t="n">
        <v>0.471790552</v>
      </c>
      <c r="O266" s="1" t="n">
        <v>0.468861103</v>
      </c>
      <c r="P266" s="1" t="n">
        <v>0.465193272</v>
      </c>
      <c r="R266" s="1" t="n">
        <f aca="false">PERCENTILE(G266:P266,0.9)</f>
        <v>0.4717564348</v>
      </c>
      <c r="S266" s="5" t="n">
        <f aca="false">spmv_1!R$14/R266</f>
        <v>2.34134413697668</v>
      </c>
      <c r="T266" s="6" t="n">
        <f aca="false">S266/64</f>
        <v>0.0365835021402606</v>
      </c>
    </row>
    <row r="269" customFormat="false" ht="15" hidden="false" customHeight="false" outlineLevel="0" collapsed="false">
      <c r="A269" s="2" t="s">
        <v>0</v>
      </c>
      <c r="B269" s="2" t="s">
        <v>1</v>
      </c>
      <c r="C269" s="3"/>
      <c r="D269" s="2" t="s">
        <v>2</v>
      </c>
      <c r="E269" s="2" t="s">
        <v>3</v>
      </c>
      <c r="F269" s="3"/>
      <c r="G269" s="2" t="s">
        <v>4</v>
      </c>
      <c r="H269" s="2" t="s">
        <v>5</v>
      </c>
      <c r="I269" s="2" t="s">
        <v>6</v>
      </c>
      <c r="J269" s="2" t="s">
        <v>7</v>
      </c>
      <c r="K269" s="2" t="s">
        <v>8</v>
      </c>
      <c r="L269" s="2" t="s">
        <v>9</v>
      </c>
      <c r="M269" s="2" t="s">
        <v>10</v>
      </c>
      <c r="N269" s="2" t="s">
        <v>11</v>
      </c>
      <c r="O269" s="2" t="s">
        <v>12</v>
      </c>
      <c r="P269" s="2" t="s">
        <v>13</v>
      </c>
      <c r="R269" s="4" t="s">
        <v>14</v>
      </c>
      <c r="S269" s="7" t="s">
        <v>20</v>
      </c>
      <c r="T269" s="8" t="s">
        <v>21</v>
      </c>
    </row>
    <row r="270" customFormat="false" ht="15" hidden="false" customHeight="false" outlineLevel="0" collapsed="false">
      <c r="A270" s="1" t="s">
        <v>19</v>
      </c>
      <c r="B270" s="1" t="n">
        <v>0</v>
      </c>
      <c r="D270" s="1" t="n">
        <v>582355</v>
      </c>
      <c r="E270" s="1" t="n">
        <v>0.075523</v>
      </c>
      <c r="G270" s="1" t="n">
        <v>0.016428947</v>
      </c>
      <c r="H270" s="1" t="n">
        <v>0.015826941</v>
      </c>
      <c r="I270" s="1" t="n">
        <v>0.014880657</v>
      </c>
      <c r="J270" s="1" t="n">
        <v>0.014874458</v>
      </c>
      <c r="K270" s="1" t="n">
        <v>0.015329123</v>
      </c>
      <c r="L270" s="1" t="n">
        <v>0.015007019</v>
      </c>
      <c r="M270" s="1" t="n">
        <v>0.015315771</v>
      </c>
      <c r="N270" s="1" t="n">
        <v>0.015407562</v>
      </c>
      <c r="O270" s="1" t="n">
        <v>0.01571846</v>
      </c>
      <c r="P270" s="1" t="n">
        <v>0.01543045</v>
      </c>
      <c r="R270" s="1" t="n">
        <f aca="false">PERCENTILE(G270:P270,0.9)</f>
        <v>0.0158871416</v>
      </c>
      <c r="S270" s="5" t="n">
        <f aca="false">spmv_1!R$18/R270</f>
        <v>4.88059656999595</v>
      </c>
      <c r="T270" s="6" t="n">
        <f aca="false">S270/64</f>
        <v>0.0762593214061867</v>
      </c>
    </row>
    <row r="271" customFormat="false" ht="15" hidden="false" customHeight="false" outlineLevel="0" collapsed="false">
      <c r="A271" s="1" t="s">
        <v>19</v>
      </c>
      <c r="B271" s="1" t="n">
        <v>1</v>
      </c>
      <c r="D271" s="1" t="n">
        <v>575611</v>
      </c>
      <c r="E271" s="1" t="n">
        <v>0.072426</v>
      </c>
      <c r="G271" s="1" t="n">
        <v>0.016723871</v>
      </c>
      <c r="H271" s="1" t="n">
        <v>0.016050816</v>
      </c>
      <c r="I271" s="1" t="n">
        <v>0.015735626</v>
      </c>
      <c r="J271" s="1" t="n">
        <v>0.015716314</v>
      </c>
      <c r="K271" s="1" t="n">
        <v>0.015712261</v>
      </c>
      <c r="L271" s="1" t="n">
        <v>0.015765429</v>
      </c>
      <c r="M271" s="1" t="n">
        <v>0.015697002</v>
      </c>
      <c r="N271" s="1" t="n">
        <v>0.015736103</v>
      </c>
      <c r="O271" s="1" t="n">
        <v>0.016030312</v>
      </c>
      <c r="P271" s="1" t="n">
        <v>0.015784025</v>
      </c>
      <c r="R271" s="1" t="n">
        <f aca="false">PERCENTILE(G271:P271,0.9)</f>
        <v>0.0161181215</v>
      </c>
      <c r="S271" s="5" t="n">
        <f aca="false">spmv_1!R$18/R271</f>
        <v>4.81065543525032</v>
      </c>
      <c r="T271" s="6" t="n">
        <f aca="false">S271/64</f>
        <v>0.0751664911757862</v>
      </c>
    </row>
    <row r="272" customFormat="false" ht="15" hidden="false" customHeight="false" outlineLevel="0" collapsed="false">
      <c r="A272" s="1" t="s">
        <v>19</v>
      </c>
      <c r="B272" s="1" t="n">
        <v>2</v>
      </c>
      <c r="D272" s="1" t="n">
        <v>571734</v>
      </c>
      <c r="E272" s="1" t="n">
        <v>0.070607</v>
      </c>
      <c r="G272" s="1" t="n">
        <v>0.016924381</v>
      </c>
      <c r="H272" s="1" t="n">
        <v>0.016216516</v>
      </c>
      <c r="I272" s="1" t="n">
        <v>0.016075611</v>
      </c>
      <c r="J272" s="1" t="n">
        <v>0.016139269</v>
      </c>
      <c r="K272" s="1" t="n">
        <v>0.016031742</v>
      </c>
      <c r="L272" s="1" t="n">
        <v>0.01604104</v>
      </c>
      <c r="M272" s="1" t="n">
        <v>0.015996218</v>
      </c>
      <c r="N272" s="1" t="n">
        <v>0.016038656</v>
      </c>
      <c r="O272" s="1" t="n">
        <v>0.01635313</v>
      </c>
      <c r="P272" s="1" t="n">
        <v>0.016130924</v>
      </c>
      <c r="R272" s="1" t="n">
        <f aca="false">PERCENTILE(G272:P272,0.9)</f>
        <v>0.0164102551</v>
      </c>
      <c r="S272" s="5" t="n">
        <f aca="false">spmv_1!R$18/R272</f>
        <v>4.72501666351305</v>
      </c>
      <c r="T272" s="6" t="n">
        <f aca="false">S272/64</f>
        <v>0.0738283853673914</v>
      </c>
    </row>
    <row r="273" customFormat="false" ht="15" hidden="false" customHeight="false" outlineLevel="0" collapsed="false">
      <c r="A273" s="1" t="s">
        <v>19</v>
      </c>
      <c r="B273" s="1" t="n">
        <v>3</v>
      </c>
      <c r="D273" s="1" t="n">
        <v>594990</v>
      </c>
      <c r="E273" s="1" t="n">
        <v>0.076402</v>
      </c>
      <c r="G273" s="1" t="n">
        <v>0.016449451</v>
      </c>
      <c r="H273" s="1" t="n">
        <v>0.01546216</v>
      </c>
      <c r="I273" s="1" t="n">
        <v>0.015430212</v>
      </c>
      <c r="J273" s="1" t="n">
        <v>0.015515566</v>
      </c>
      <c r="K273" s="1" t="n">
        <v>0.015687704</v>
      </c>
      <c r="L273" s="1" t="n">
        <v>0.015343904</v>
      </c>
      <c r="M273" s="1" t="n">
        <v>0.015321016</v>
      </c>
      <c r="N273" s="1" t="n">
        <v>0.015487671</v>
      </c>
      <c r="O273" s="1" t="n">
        <v>0.015545607</v>
      </c>
      <c r="P273" s="1" t="n">
        <v>0.01550889</v>
      </c>
      <c r="R273" s="1" t="n">
        <f aca="false">PERCENTILE(G273:P273,0.9)</f>
        <v>0.0157638787</v>
      </c>
      <c r="S273" s="5" t="n">
        <f aca="false">spmv_1!R$18/R273</f>
        <v>4.9187595436141</v>
      </c>
      <c r="T273" s="6" t="n">
        <f aca="false">S273/64</f>
        <v>0.0768556178689703</v>
      </c>
    </row>
    <row r="274" customFormat="false" ht="15" hidden="false" customHeight="false" outlineLevel="0" collapsed="false">
      <c r="A274" s="1" t="s">
        <v>19</v>
      </c>
      <c r="B274" s="1" t="n">
        <v>4</v>
      </c>
      <c r="D274" s="1" t="n">
        <v>582226</v>
      </c>
      <c r="E274" s="1" t="n">
        <v>0.070824</v>
      </c>
      <c r="G274" s="1" t="n">
        <v>0.017351866</v>
      </c>
      <c r="H274" s="1" t="n">
        <v>0.016342402</v>
      </c>
      <c r="I274" s="1" t="n">
        <v>0.016323328</v>
      </c>
      <c r="J274" s="1" t="n">
        <v>0.016384125</v>
      </c>
      <c r="K274" s="1" t="n">
        <v>0.016251564</v>
      </c>
      <c r="L274" s="1" t="n">
        <v>0.016267776</v>
      </c>
      <c r="M274" s="1" t="n">
        <v>0.016189575</v>
      </c>
      <c r="N274" s="1" t="n">
        <v>0.016340971</v>
      </c>
      <c r="O274" s="1" t="n">
        <v>0.016591311</v>
      </c>
      <c r="P274" s="1" t="n">
        <v>0.016371965</v>
      </c>
      <c r="R274" s="1" t="n">
        <f aca="false">PERCENTILE(G274:P274,0.9)</f>
        <v>0.0166673665</v>
      </c>
      <c r="S274" s="5" t="n">
        <f aca="false">spmv_1!R$18/R274</f>
        <v>4.65212838512911</v>
      </c>
      <c r="T274" s="6" t="n">
        <f aca="false">S274/64</f>
        <v>0.0726895060176423</v>
      </c>
    </row>
    <row r="275" customFormat="false" ht="15" hidden="false" customHeight="false" outlineLevel="0" collapsed="false">
      <c r="A275" s="1" t="s">
        <v>19</v>
      </c>
      <c r="B275" s="1" t="n">
        <v>5</v>
      </c>
      <c r="D275" s="1" t="n">
        <v>574954</v>
      </c>
      <c r="E275" s="1" t="n">
        <v>0.073616</v>
      </c>
      <c r="G275" s="1" t="n">
        <v>0.016642332</v>
      </c>
      <c r="H275" s="1" t="n">
        <v>0.015463829</v>
      </c>
      <c r="I275" s="1" t="n">
        <v>0.015504837</v>
      </c>
      <c r="J275" s="1" t="n">
        <v>0.0155375</v>
      </c>
      <c r="K275" s="1" t="n">
        <v>0.015706062</v>
      </c>
      <c r="L275" s="1" t="n">
        <v>0.015364647</v>
      </c>
      <c r="M275" s="1" t="n">
        <v>0.015335321</v>
      </c>
      <c r="N275" s="1" t="n">
        <v>0.015568733</v>
      </c>
      <c r="O275" s="1" t="n">
        <v>0.015546799</v>
      </c>
      <c r="P275" s="1" t="n">
        <v>0.015532732</v>
      </c>
      <c r="R275" s="1" t="n">
        <f aca="false">PERCENTILE(G275:P275,0.9)</f>
        <v>0.015799689</v>
      </c>
      <c r="S275" s="5" t="n">
        <f aca="false">spmv_1!R$18/R275</f>
        <v>4.90761108019278</v>
      </c>
      <c r="T275" s="6" t="n">
        <f aca="false">S275/64</f>
        <v>0.0766814231280122</v>
      </c>
    </row>
    <row r="276" customFormat="false" ht="15" hidden="false" customHeight="false" outlineLevel="0" collapsed="false">
      <c r="A276" s="1" t="s">
        <v>19</v>
      </c>
      <c r="B276" s="1" t="n">
        <v>6</v>
      </c>
      <c r="D276" s="1" t="n">
        <v>570053</v>
      </c>
      <c r="E276" s="1" t="n">
        <v>0.073017</v>
      </c>
      <c r="G276" s="1" t="n">
        <v>0.016516447</v>
      </c>
      <c r="H276" s="1" t="n">
        <v>0.015407324</v>
      </c>
      <c r="I276" s="1" t="n">
        <v>0.01553607</v>
      </c>
      <c r="J276" s="1" t="n">
        <v>0.015536308</v>
      </c>
      <c r="K276" s="1" t="n">
        <v>0.015734196</v>
      </c>
      <c r="L276" s="1" t="n">
        <v>0.015378714</v>
      </c>
      <c r="M276" s="1" t="n">
        <v>0.015347481</v>
      </c>
      <c r="N276" s="1" t="n">
        <v>0.015553474</v>
      </c>
      <c r="O276" s="1" t="n">
        <v>0.015573263</v>
      </c>
      <c r="P276" s="1" t="n">
        <v>0.01555872</v>
      </c>
      <c r="R276" s="1" t="n">
        <f aca="false">PERCENTILE(G276:P276,0.9)</f>
        <v>0.0158124211</v>
      </c>
      <c r="S276" s="5" t="n">
        <f aca="false">spmv_1!R$18/R276</f>
        <v>4.90365949082902</v>
      </c>
      <c r="T276" s="6" t="n">
        <f aca="false">S276/64</f>
        <v>0.0766196795442034</v>
      </c>
    </row>
    <row r="277" customFormat="false" ht="15" hidden="false" customHeight="false" outlineLevel="0" collapsed="false">
      <c r="A277" s="1" t="s">
        <v>19</v>
      </c>
      <c r="B277" s="1" t="n">
        <v>7</v>
      </c>
      <c r="D277" s="1" t="n">
        <v>594070</v>
      </c>
      <c r="E277" s="1" t="n">
        <v>0.071985</v>
      </c>
      <c r="G277" s="1" t="n">
        <v>0.017469406</v>
      </c>
      <c r="H277" s="1" t="n">
        <v>0.016323328</v>
      </c>
      <c r="I277" s="1" t="n">
        <v>0.016475201</v>
      </c>
      <c r="J277" s="1" t="n">
        <v>0.016400814</v>
      </c>
      <c r="K277" s="1" t="n">
        <v>0.016345263</v>
      </c>
      <c r="L277" s="1" t="n">
        <v>0.016314507</v>
      </c>
      <c r="M277" s="1" t="n">
        <v>0.016248226</v>
      </c>
      <c r="N277" s="1" t="n">
        <v>0.016425848</v>
      </c>
      <c r="O277" s="1" t="n">
        <v>0.016632318</v>
      </c>
      <c r="P277" s="1" t="n">
        <v>0.016418934</v>
      </c>
      <c r="R277" s="1" t="n">
        <f aca="false">PERCENTILE(G277:P277,0.9)</f>
        <v>0.0167160268</v>
      </c>
      <c r="S277" s="5" t="n">
        <f aca="false">spmv_1!R$18/R277</f>
        <v>4.63858605443251</v>
      </c>
      <c r="T277" s="6" t="n">
        <f aca="false">S277/64</f>
        <v>0.0724779071005079</v>
      </c>
    </row>
    <row r="278" customFormat="false" ht="15" hidden="false" customHeight="false" outlineLevel="0" collapsed="false">
      <c r="A278" s="1" t="s">
        <v>19</v>
      </c>
      <c r="B278" s="1" t="n">
        <v>8</v>
      </c>
      <c r="D278" s="1" t="n">
        <v>581177</v>
      </c>
      <c r="E278" s="1" t="n">
        <v>0.0704</v>
      </c>
      <c r="G278" s="1" t="n">
        <v>0.017506599</v>
      </c>
      <c r="H278" s="1" t="n">
        <v>0.016325951</v>
      </c>
      <c r="I278" s="1" t="n">
        <v>0.016494989</v>
      </c>
      <c r="J278" s="1" t="n">
        <v>0.016397238</v>
      </c>
      <c r="K278" s="1" t="n">
        <v>0.016358852</v>
      </c>
      <c r="L278" s="1" t="n">
        <v>0.016314268</v>
      </c>
      <c r="M278" s="1" t="n">
        <v>0.016234636</v>
      </c>
      <c r="N278" s="1" t="n">
        <v>0.016418457</v>
      </c>
      <c r="O278" s="1" t="n">
        <v>0.016631365</v>
      </c>
      <c r="P278" s="1" t="n">
        <v>0.01642561</v>
      </c>
      <c r="R278" s="1" t="n">
        <f aca="false">PERCENTILE(G278:P278,0.9)</f>
        <v>0.0167188884</v>
      </c>
      <c r="S278" s="5" t="n">
        <f aca="false">spmv_1!R$18/R278</f>
        <v>4.63779211541361</v>
      </c>
      <c r="T278" s="6" t="n">
        <f aca="false">S278/64</f>
        <v>0.0724655018033376</v>
      </c>
    </row>
    <row r="279" customFormat="false" ht="15" hidden="false" customHeight="false" outlineLevel="0" collapsed="false">
      <c r="A279" s="1" t="s">
        <v>19</v>
      </c>
      <c r="B279" s="1" t="n">
        <v>9</v>
      </c>
      <c r="D279" s="1" t="n">
        <v>574153</v>
      </c>
      <c r="E279" s="1" t="n">
        <v>0.069518</v>
      </c>
      <c r="G279" s="1" t="n">
        <v>0.017580748</v>
      </c>
      <c r="H279" s="1" t="n">
        <v>0.016365051</v>
      </c>
      <c r="I279" s="1" t="n">
        <v>0.016491413</v>
      </c>
      <c r="J279" s="1" t="n">
        <v>0.016408205</v>
      </c>
      <c r="K279" s="1" t="n">
        <v>0.016343594</v>
      </c>
      <c r="L279" s="1" t="n">
        <v>0.016308546</v>
      </c>
      <c r="M279" s="1" t="n">
        <v>0.016239405</v>
      </c>
      <c r="N279" s="1" t="n">
        <v>0.016421318</v>
      </c>
      <c r="O279" s="1" t="n">
        <v>0.016601562</v>
      </c>
      <c r="P279" s="1" t="n">
        <v>0.01642108</v>
      </c>
      <c r="R279" s="1" t="n">
        <f aca="false">PERCENTILE(G279:P279,0.9)</f>
        <v>0.0166994806</v>
      </c>
      <c r="S279" s="5" t="n">
        <f aca="false">spmv_1!R$18/R279</f>
        <v>4.64318206399785</v>
      </c>
      <c r="T279" s="6" t="n">
        <f aca="false">S279/64</f>
        <v>0.0725497197499664</v>
      </c>
    </row>
    <row r="280" customFormat="false" ht="15" hidden="false" customHeight="false" outlineLevel="0" collapsed="false">
      <c r="A280" s="1" t="s">
        <v>19</v>
      </c>
      <c r="B280" s="1" t="n">
        <v>10</v>
      </c>
      <c r="D280" s="1" t="n">
        <v>570535</v>
      </c>
      <c r="E280" s="1" t="n">
        <v>0.069284</v>
      </c>
      <c r="G280" s="1" t="n">
        <v>0.017452478</v>
      </c>
      <c r="H280" s="1" t="n">
        <v>0.016134977</v>
      </c>
      <c r="I280" s="1" t="n">
        <v>0.016470909</v>
      </c>
      <c r="J280" s="1" t="n">
        <v>0.016386747</v>
      </c>
      <c r="K280" s="1" t="n">
        <v>0.016325474</v>
      </c>
      <c r="L280" s="1" t="n">
        <v>0.016310692</v>
      </c>
      <c r="M280" s="1" t="n">
        <v>0.016216993</v>
      </c>
      <c r="N280" s="1" t="n">
        <v>0.016414642</v>
      </c>
      <c r="O280" s="1" t="n">
        <v>0.016593933</v>
      </c>
      <c r="P280" s="1" t="n">
        <v>0.016387701</v>
      </c>
      <c r="R280" s="1" t="n">
        <f aca="false">PERCENTILE(G280:P280,0.9)</f>
        <v>0.0166797875</v>
      </c>
      <c r="S280" s="5" t="n">
        <f aca="false">spmv_1!R$18/R280</f>
        <v>4.64866406721309</v>
      </c>
      <c r="T280" s="6" t="n">
        <f aca="false">S280/64</f>
        <v>0.0726353760502045</v>
      </c>
    </row>
    <row r="281" customFormat="false" ht="15" hidden="false" customHeight="false" outlineLevel="0" collapsed="false">
      <c r="A281" s="1" t="s">
        <v>19</v>
      </c>
      <c r="B281" s="1" t="n">
        <v>11</v>
      </c>
      <c r="D281" s="1" t="n">
        <v>594554</v>
      </c>
      <c r="E281" s="1" t="n">
        <v>0.07208</v>
      </c>
      <c r="G281" s="1" t="n">
        <v>0.017439604</v>
      </c>
      <c r="H281" s="1" t="n">
        <v>0.01627636</v>
      </c>
      <c r="I281" s="1" t="n">
        <v>0.016486883</v>
      </c>
      <c r="J281" s="1" t="n">
        <v>0.01640439</v>
      </c>
      <c r="K281" s="1" t="n">
        <v>0.016356468</v>
      </c>
      <c r="L281" s="1" t="n">
        <v>0.016299009</v>
      </c>
      <c r="M281" s="1" t="n">
        <v>0.016241789</v>
      </c>
      <c r="N281" s="1" t="n">
        <v>0.016419172</v>
      </c>
      <c r="O281" s="1" t="n">
        <v>0.016624689</v>
      </c>
      <c r="P281" s="1" t="n">
        <v>0.016422749</v>
      </c>
      <c r="R281" s="1" t="n">
        <f aca="false">PERCENTILE(G281:P281,0.9)</f>
        <v>0.0167061805</v>
      </c>
      <c r="S281" s="5" t="n">
        <f aca="false">spmv_1!R$18/R281</f>
        <v>4.64131994742904</v>
      </c>
      <c r="T281" s="6" t="n">
        <f aca="false">S281/64</f>
        <v>0.0725206241785787</v>
      </c>
    </row>
    <row r="282" customFormat="false" ht="15" hidden="false" customHeight="false" outlineLevel="0" collapsed="false">
      <c r="A282" s="1" t="s">
        <v>19</v>
      </c>
      <c r="B282" s="1" t="n">
        <v>12</v>
      </c>
      <c r="D282" s="1" t="n">
        <v>582607</v>
      </c>
      <c r="E282" s="1" t="n">
        <v>0.070849</v>
      </c>
      <c r="G282" s="1" t="n">
        <v>0.017296314</v>
      </c>
      <c r="H282" s="1" t="n">
        <v>0.016296625</v>
      </c>
      <c r="I282" s="1" t="n">
        <v>0.016476154</v>
      </c>
      <c r="J282" s="1" t="n">
        <v>0.016326427</v>
      </c>
      <c r="K282" s="1" t="n">
        <v>0.016282558</v>
      </c>
      <c r="L282" s="1" t="n">
        <v>0.016269684</v>
      </c>
      <c r="M282" s="1" t="n">
        <v>0.016212702</v>
      </c>
      <c r="N282" s="1" t="n">
        <v>0.016371012</v>
      </c>
      <c r="O282" s="1" t="n">
        <v>0.016572952</v>
      </c>
      <c r="P282" s="1" t="n">
        <v>0.016360521</v>
      </c>
      <c r="R282" s="1" t="n">
        <f aca="false">PERCENTILE(G282:P282,0.9)</f>
        <v>0.0166452882</v>
      </c>
      <c r="S282" s="5" t="n">
        <f aca="false">spmv_1!R$18/R282</f>
        <v>4.65829896534925</v>
      </c>
      <c r="T282" s="6" t="n">
        <f aca="false">S282/64</f>
        <v>0.072785921333582</v>
      </c>
    </row>
    <row r="283" customFormat="false" ht="15" hidden="false" customHeight="false" outlineLevel="0" collapsed="false">
      <c r="A283" s="1" t="s">
        <v>19</v>
      </c>
      <c r="B283" s="1" t="n">
        <v>13</v>
      </c>
      <c r="D283" s="1" t="n">
        <v>573534</v>
      </c>
      <c r="E283" s="1" t="n">
        <v>0.070135</v>
      </c>
      <c r="G283" s="1" t="n">
        <v>0.017246008</v>
      </c>
      <c r="H283" s="1" t="n">
        <v>0.016374826</v>
      </c>
      <c r="I283" s="1" t="n">
        <v>0.016232252</v>
      </c>
      <c r="J283" s="1" t="n">
        <v>0.016143084</v>
      </c>
      <c r="K283" s="1" t="n">
        <v>0.016236305</v>
      </c>
      <c r="L283" s="1" t="n">
        <v>0.016144753</v>
      </c>
      <c r="M283" s="1" t="n">
        <v>0.016093493</v>
      </c>
      <c r="N283" s="1" t="n">
        <v>0.016308546</v>
      </c>
      <c r="O283" s="1" t="n">
        <v>0.016516685</v>
      </c>
      <c r="P283" s="1" t="n">
        <v>0.016255617</v>
      </c>
      <c r="R283" s="1" t="n">
        <f aca="false">PERCENTILE(G283:P283,0.9)</f>
        <v>0.0165896173</v>
      </c>
      <c r="S283" s="5" t="n">
        <f aca="false">spmv_1!R$18/R283</f>
        <v>4.67393113402321</v>
      </c>
      <c r="T283" s="6" t="n">
        <f aca="false">S283/64</f>
        <v>0.0730301739691126</v>
      </c>
    </row>
    <row r="284" customFormat="false" ht="15" hidden="false" customHeight="false" outlineLevel="0" collapsed="false">
      <c r="A284" s="1" t="s">
        <v>19</v>
      </c>
      <c r="B284" s="1" t="n">
        <v>14</v>
      </c>
      <c r="D284" s="1" t="n">
        <v>570464</v>
      </c>
      <c r="E284" s="1" t="n">
        <v>0.07304</v>
      </c>
      <c r="G284" s="1" t="n">
        <v>0.016725302</v>
      </c>
      <c r="H284" s="1" t="n">
        <v>0.015552998</v>
      </c>
      <c r="I284" s="1" t="n">
        <v>0.015506506</v>
      </c>
      <c r="J284" s="1" t="n">
        <v>0.015455723</v>
      </c>
      <c r="K284" s="1" t="n">
        <v>0.015705824</v>
      </c>
      <c r="L284" s="1" t="n">
        <v>0.015347004</v>
      </c>
      <c r="M284" s="1" t="n">
        <v>0.01529479</v>
      </c>
      <c r="N284" s="1" t="n">
        <v>0.015555382</v>
      </c>
      <c r="O284" s="1" t="n">
        <v>0.015529156</v>
      </c>
      <c r="P284" s="1" t="n">
        <v>0.015533686</v>
      </c>
      <c r="R284" s="1" t="n">
        <f aca="false">PERCENTILE(G284:P284,0.9)</f>
        <v>0.0158077718</v>
      </c>
      <c r="S284" s="5" t="n">
        <f aca="false">spmv_1!R$18/R284</f>
        <v>4.90510172977067</v>
      </c>
      <c r="T284" s="6" t="n">
        <f aca="false">S284/64</f>
        <v>0.0766422145276667</v>
      </c>
    </row>
    <row r="285" customFormat="false" ht="15" hidden="false" customHeight="false" outlineLevel="0" collapsed="false">
      <c r="A285" s="1" t="s">
        <v>19</v>
      </c>
      <c r="B285" s="1" t="n">
        <v>15</v>
      </c>
      <c r="D285" s="1" t="n">
        <v>593844</v>
      </c>
      <c r="E285" s="1" t="n">
        <v>0.072252</v>
      </c>
      <c r="G285" s="1" t="n">
        <v>0.017500877</v>
      </c>
      <c r="H285" s="1" t="n">
        <v>0.016421795</v>
      </c>
      <c r="I285" s="1" t="n">
        <v>0.01643014</v>
      </c>
      <c r="J285" s="1" t="n">
        <v>0.016237974</v>
      </c>
      <c r="K285" s="1" t="n">
        <v>0.016297102</v>
      </c>
      <c r="L285" s="1" t="n">
        <v>0.016242266</v>
      </c>
      <c r="M285" s="1" t="n">
        <v>0.016027212</v>
      </c>
      <c r="N285" s="1" t="n">
        <v>0.016341686</v>
      </c>
      <c r="O285" s="1" t="n">
        <v>0.016540289</v>
      </c>
      <c r="P285" s="1" t="n">
        <v>0.016342163</v>
      </c>
      <c r="R285" s="1" t="n">
        <f aca="false">PERCENTILE(G285:P285,0.9)</f>
        <v>0.0166363478</v>
      </c>
      <c r="S285" s="5" t="n">
        <f aca="false">spmv_1!R$18/R285</f>
        <v>4.66080234268726</v>
      </c>
      <c r="T285" s="6" t="n">
        <f aca="false">S285/64</f>
        <v>0.0728250366044884</v>
      </c>
    </row>
    <row r="286" customFormat="false" ht="15" hidden="false" customHeight="false" outlineLevel="0" collapsed="false">
      <c r="A286" s="1" t="s">
        <v>19</v>
      </c>
      <c r="B286" s="1" t="n">
        <v>16</v>
      </c>
      <c r="D286" s="1" t="n">
        <v>581544</v>
      </c>
      <c r="E286" s="1" t="n">
        <v>0.074434</v>
      </c>
      <c r="G286" s="1" t="n">
        <v>0.016807318</v>
      </c>
      <c r="H286" s="1" t="n">
        <v>0.015598297</v>
      </c>
      <c r="I286" s="1" t="n">
        <v>0.015520096</v>
      </c>
      <c r="J286" s="1" t="n">
        <v>0.015490294</v>
      </c>
      <c r="K286" s="1" t="n">
        <v>0.015697718</v>
      </c>
      <c r="L286" s="1" t="n">
        <v>0.015341282</v>
      </c>
      <c r="M286" s="1" t="n">
        <v>0.015252113</v>
      </c>
      <c r="N286" s="1" t="n">
        <v>0.015562534</v>
      </c>
      <c r="O286" s="1" t="n">
        <v>0.015473604</v>
      </c>
      <c r="P286" s="1" t="n">
        <v>0.015514612</v>
      </c>
      <c r="R286" s="1" t="n">
        <f aca="false">PERCENTILE(G286:P286,0.9)</f>
        <v>0.015808678</v>
      </c>
      <c r="S286" s="5" t="n">
        <f aca="false">spmv_1!R$18/R286</f>
        <v>4.90482055488764</v>
      </c>
      <c r="T286" s="6" t="n">
        <f aca="false">S286/64</f>
        <v>0.0766378211701193</v>
      </c>
    </row>
    <row r="287" customFormat="false" ht="15" hidden="false" customHeight="false" outlineLevel="0" collapsed="false">
      <c r="A287" s="1" t="s">
        <v>19</v>
      </c>
      <c r="B287" s="1" t="n">
        <v>17</v>
      </c>
      <c r="D287" s="1" t="n">
        <v>573233</v>
      </c>
      <c r="E287" s="1" t="n">
        <v>0.073633</v>
      </c>
      <c r="G287" s="1" t="n">
        <v>0.016898155</v>
      </c>
      <c r="H287" s="1" t="n">
        <v>0.015541315</v>
      </c>
      <c r="I287" s="1" t="n">
        <v>0.015517712</v>
      </c>
      <c r="J287" s="1" t="n">
        <v>0.015474796</v>
      </c>
      <c r="K287" s="1" t="n">
        <v>0.015675306</v>
      </c>
      <c r="L287" s="1" t="n">
        <v>0.015256643</v>
      </c>
      <c r="M287" s="1" t="n">
        <v>0.015206575</v>
      </c>
      <c r="N287" s="1" t="n">
        <v>0.015358686</v>
      </c>
      <c r="O287" s="1" t="n">
        <v>0.015349865</v>
      </c>
      <c r="P287" s="1" t="n">
        <v>0.01541996</v>
      </c>
      <c r="R287" s="1" t="n">
        <f aca="false">PERCENTILE(G287:P287,0.9)</f>
        <v>0.0157975909</v>
      </c>
      <c r="S287" s="5" t="n">
        <f aca="false">spmv_1!R$18/R287</f>
        <v>4.90826286684003</v>
      </c>
      <c r="T287" s="6" t="n">
        <f aca="false">S287/64</f>
        <v>0.0766916072943755</v>
      </c>
    </row>
    <row r="288" customFormat="false" ht="15" hidden="false" customHeight="false" outlineLevel="0" collapsed="false">
      <c r="A288" s="1" t="s">
        <v>19</v>
      </c>
      <c r="B288" s="1" t="n">
        <v>18</v>
      </c>
      <c r="D288" s="1" t="n">
        <v>569433</v>
      </c>
      <c r="E288" s="1" t="n">
        <v>0.069674</v>
      </c>
      <c r="G288" s="1" t="n">
        <v>0.017543554</v>
      </c>
      <c r="H288" s="1" t="n">
        <v>0.016402483</v>
      </c>
      <c r="I288" s="1" t="n">
        <v>0.016400576</v>
      </c>
      <c r="J288" s="1" t="n">
        <v>0.016260147</v>
      </c>
      <c r="K288" s="1" t="n">
        <v>0.016237736</v>
      </c>
      <c r="L288" s="1" t="n">
        <v>0.016104937</v>
      </c>
      <c r="M288" s="1" t="n">
        <v>0.015907764</v>
      </c>
      <c r="N288" s="1" t="n">
        <v>0.01610136</v>
      </c>
      <c r="O288" s="1" t="n">
        <v>0.016269922</v>
      </c>
      <c r="P288" s="1" t="n">
        <v>0.016227961</v>
      </c>
      <c r="R288" s="1" t="n">
        <f aca="false">PERCENTILE(G288:P288,0.9)</f>
        <v>0.0165165901</v>
      </c>
      <c r="S288" s="5" t="n">
        <f aca="false">spmv_1!R$18/R288</f>
        <v>4.69459666496173</v>
      </c>
      <c r="T288" s="6" t="n">
        <f aca="false">S288/64</f>
        <v>0.0733530728900271</v>
      </c>
    </row>
    <row r="289" customFormat="false" ht="15" hidden="false" customHeight="false" outlineLevel="0" collapsed="false">
      <c r="A289" s="1" t="s">
        <v>19</v>
      </c>
      <c r="B289" s="1" t="n">
        <v>19</v>
      </c>
      <c r="D289" s="1" t="n">
        <v>593275</v>
      </c>
      <c r="E289" s="1" t="n">
        <v>0.075946</v>
      </c>
      <c r="G289" s="1" t="n">
        <v>0.016979694</v>
      </c>
      <c r="H289" s="1" t="n">
        <v>0.015563965</v>
      </c>
      <c r="I289" s="1" t="n">
        <v>0.015505552</v>
      </c>
      <c r="J289" s="1" t="n">
        <v>0.01550436</v>
      </c>
      <c r="K289" s="1" t="n">
        <v>0.015739441</v>
      </c>
      <c r="L289" s="1" t="n">
        <v>0.015347242</v>
      </c>
      <c r="M289" s="1" t="n">
        <v>0.015288115</v>
      </c>
      <c r="N289" s="1" t="n">
        <v>0.015287161</v>
      </c>
      <c r="O289" s="1" t="n">
        <v>0.015499353</v>
      </c>
      <c r="P289" s="1" t="n">
        <v>0.015521049</v>
      </c>
      <c r="R289" s="1" t="n">
        <f aca="false">PERCENTILE(G289:P289,0.9)</f>
        <v>0.0158634663</v>
      </c>
      <c r="S289" s="5" t="n">
        <f aca="false">spmv_1!R$18/R289</f>
        <v>4.88788057626472</v>
      </c>
      <c r="T289" s="6" t="n">
        <f aca="false">S289/64</f>
        <v>0.0763731340041363</v>
      </c>
    </row>
    <row r="290" customFormat="false" ht="15" hidden="false" customHeight="false" outlineLevel="0" collapsed="false">
      <c r="A290" s="1" t="s">
        <v>19</v>
      </c>
      <c r="B290" s="1" t="n">
        <v>20</v>
      </c>
      <c r="D290" s="1" t="n">
        <v>581441</v>
      </c>
      <c r="E290" s="1" t="n">
        <v>0.074834</v>
      </c>
      <c r="G290" s="1" t="n">
        <v>0.016932011</v>
      </c>
      <c r="H290" s="1" t="n">
        <v>0.015528679</v>
      </c>
      <c r="I290" s="1" t="n">
        <v>0.015523672</v>
      </c>
      <c r="J290" s="1" t="n">
        <v>0.015485525</v>
      </c>
      <c r="K290" s="1" t="n">
        <v>0.015721798</v>
      </c>
      <c r="L290" s="1" t="n">
        <v>0.01534152</v>
      </c>
      <c r="M290" s="1" t="n">
        <v>0.015172958</v>
      </c>
      <c r="N290" s="1" t="n">
        <v>0.014871597</v>
      </c>
      <c r="O290" s="1" t="n">
        <v>0.015376091</v>
      </c>
      <c r="P290" s="1" t="n">
        <v>0.015441418</v>
      </c>
      <c r="R290" s="1" t="n">
        <f aca="false">PERCENTILE(G290:P290,0.9)</f>
        <v>0.0158428193</v>
      </c>
      <c r="S290" s="5" t="n">
        <f aca="false">spmv_1!R$18/R290</f>
        <v>4.89425065903516</v>
      </c>
      <c r="T290" s="6" t="n">
        <f aca="false">S290/64</f>
        <v>0.0764726665474244</v>
      </c>
    </row>
    <row r="291" customFormat="false" ht="15" hidden="false" customHeight="false" outlineLevel="0" collapsed="false">
      <c r="A291" s="1" t="s">
        <v>19</v>
      </c>
      <c r="B291" s="1" t="n">
        <v>21</v>
      </c>
      <c r="D291" s="1" t="n">
        <v>573267</v>
      </c>
      <c r="E291" s="1" t="n">
        <v>0.070394</v>
      </c>
      <c r="G291" s="1" t="n">
        <v>0.017545223</v>
      </c>
      <c r="H291" s="1" t="n">
        <v>0.016372919</v>
      </c>
      <c r="I291" s="1" t="n">
        <v>0.01639986</v>
      </c>
      <c r="J291" s="1" t="n">
        <v>0.016234398</v>
      </c>
      <c r="K291" s="1" t="n">
        <v>0.016220331</v>
      </c>
      <c r="L291" s="1" t="n">
        <v>0.016093254</v>
      </c>
      <c r="M291" s="1" t="n">
        <v>0.015816212</v>
      </c>
      <c r="N291" s="1" t="n">
        <v>0.015882492</v>
      </c>
      <c r="O291" s="1" t="n">
        <v>0.016150236</v>
      </c>
      <c r="P291" s="1" t="n">
        <v>0.016160011</v>
      </c>
      <c r="R291" s="1" t="n">
        <f aca="false">PERCENTILE(G291:P291,0.9)</f>
        <v>0.0165143963</v>
      </c>
      <c r="S291" s="5" t="n">
        <f aca="false">spmv_1!R$18/R291</f>
        <v>4.69522030302737</v>
      </c>
      <c r="T291" s="6" t="n">
        <f aca="false">S291/64</f>
        <v>0.0733628172348026</v>
      </c>
    </row>
    <row r="292" customFormat="false" ht="15" hidden="false" customHeight="false" outlineLevel="0" collapsed="false">
      <c r="A292" s="1" t="s">
        <v>19</v>
      </c>
      <c r="B292" s="1" t="n">
        <v>22</v>
      </c>
      <c r="D292" s="1" t="n">
        <v>570342</v>
      </c>
      <c r="E292" s="1" t="n">
        <v>0.070732</v>
      </c>
      <c r="G292" s="1" t="n">
        <v>0.01747036</v>
      </c>
      <c r="H292" s="1" t="n">
        <v>0.016367197</v>
      </c>
      <c r="I292" s="1" t="n">
        <v>0.016101837</v>
      </c>
      <c r="J292" s="1" t="n">
        <v>0.015990973</v>
      </c>
      <c r="K292" s="1" t="n">
        <v>0.016047955</v>
      </c>
      <c r="L292" s="1" t="n">
        <v>0.015895128</v>
      </c>
      <c r="M292" s="1" t="n">
        <v>0.015612602</v>
      </c>
      <c r="N292" s="1" t="n">
        <v>0.015884399</v>
      </c>
      <c r="O292" s="1" t="n">
        <v>0.01595068</v>
      </c>
      <c r="P292" s="1" t="n">
        <v>0.015947819</v>
      </c>
      <c r="R292" s="1" t="n">
        <f aca="false">PERCENTILE(G292:P292,0.9)</f>
        <v>0.0164775133</v>
      </c>
      <c r="S292" s="5" t="n">
        <f aca="false">spmv_1!R$18/R292</f>
        <v>4.70573000842306</v>
      </c>
      <c r="T292" s="6" t="n">
        <f aca="false">S292/64</f>
        <v>0.0735270313816102</v>
      </c>
    </row>
    <row r="293" customFormat="false" ht="15" hidden="false" customHeight="false" outlineLevel="0" collapsed="false">
      <c r="A293" s="1" t="s">
        <v>19</v>
      </c>
      <c r="B293" s="1" t="n">
        <v>23</v>
      </c>
      <c r="D293" s="1" t="n">
        <v>593343</v>
      </c>
      <c r="E293" s="1" t="n">
        <v>0.074057</v>
      </c>
      <c r="G293" s="1" t="n">
        <v>0.017455101</v>
      </c>
      <c r="H293" s="1" t="n">
        <v>0.016279697</v>
      </c>
      <c r="I293" s="1" t="n">
        <v>0.015924454</v>
      </c>
      <c r="J293" s="1" t="n">
        <v>0.015790701</v>
      </c>
      <c r="K293" s="1" t="n">
        <v>0.015923738</v>
      </c>
      <c r="L293" s="1" t="n">
        <v>0.015612364</v>
      </c>
      <c r="M293" s="1" t="n">
        <v>0.01551342</v>
      </c>
      <c r="N293" s="1" t="n">
        <v>0.01604414</v>
      </c>
      <c r="O293" s="1" t="n">
        <v>0.015876293</v>
      </c>
      <c r="P293" s="1" t="n">
        <v>0.01581955</v>
      </c>
      <c r="R293" s="1" t="n">
        <f aca="false">PERCENTILE(G293:P293,0.9)</f>
        <v>0.0163972374</v>
      </c>
      <c r="S293" s="5" t="n">
        <f aca="false">spmv_1!R$18/R293</f>
        <v>4.72876783500128</v>
      </c>
      <c r="T293" s="6" t="n">
        <f aca="false">S293/64</f>
        <v>0.073886997421895</v>
      </c>
    </row>
    <row r="294" customFormat="false" ht="15" hidden="false" customHeight="false" outlineLevel="0" collapsed="false">
      <c r="A294" s="1" t="s">
        <v>19</v>
      </c>
      <c r="B294" s="1" t="n">
        <v>24</v>
      </c>
      <c r="D294" s="1" t="n">
        <v>582247</v>
      </c>
      <c r="E294" s="1" t="n">
        <v>0.076201</v>
      </c>
      <c r="G294" s="1" t="n">
        <v>0.016630411</v>
      </c>
      <c r="H294" s="1" t="n">
        <v>0.015375614</v>
      </c>
      <c r="I294" s="1" t="n">
        <v>0.015215158</v>
      </c>
      <c r="J294" s="1" t="n">
        <v>0.015275478</v>
      </c>
      <c r="K294" s="1" t="n">
        <v>0.015350819</v>
      </c>
      <c r="L294" s="1" t="n">
        <v>0.015013695</v>
      </c>
      <c r="M294" s="1" t="n">
        <v>0.014816999</v>
      </c>
      <c r="N294" s="1" t="n">
        <v>0.015239</v>
      </c>
      <c r="O294" s="1" t="n">
        <v>0.014814615</v>
      </c>
      <c r="P294" s="1" t="n">
        <v>0.015086412</v>
      </c>
      <c r="R294" s="1" t="n">
        <f aca="false">PERCENTILE(G294:P294,0.9)</f>
        <v>0.0155010937</v>
      </c>
      <c r="S294" s="5" t="n">
        <f aca="false">spmv_1!R$18/R294</f>
        <v>5.0021456744049</v>
      </c>
      <c r="T294" s="6" t="n">
        <f aca="false">S294/64</f>
        <v>0.0781585261625765</v>
      </c>
    </row>
    <row r="295" customFormat="false" ht="15" hidden="false" customHeight="false" outlineLevel="0" collapsed="false">
      <c r="A295" s="1" t="s">
        <v>19</v>
      </c>
      <c r="B295" s="1" t="n">
        <v>25</v>
      </c>
      <c r="D295" s="1" t="n">
        <v>573353</v>
      </c>
      <c r="E295" s="1" t="n">
        <v>0.075387</v>
      </c>
      <c r="G295" s="1" t="n">
        <v>0.016583443</v>
      </c>
      <c r="H295" s="1" t="n">
        <v>0.015167475</v>
      </c>
      <c r="I295" s="1" t="n">
        <v>0.015117645</v>
      </c>
      <c r="J295" s="1" t="n">
        <v>0.015138388</v>
      </c>
      <c r="K295" s="1" t="n">
        <v>0.015097141</v>
      </c>
      <c r="L295" s="1" t="n">
        <v>0.014817476</v>
      </c>
      <c r="M295" s="1" t="n">
        <v>0.014821291</v>
      </c>
      <c r="N295" s="1" t="n">
        <v>0.015442133</v>
      </c>
      <c r="O295" s="1" t="n">
        <v>0.014957905</v>
      </c>
      <c r="P295" s="1" t="n">
        <v>0.014965534</v>
      </c>
      <c r="R295" s="1" t="n">
        <f aca="false">PERCENTILE(G295:P295,0.9)</f>
        <v>0.015556264</v>
      </c>
      <c r="S295" s="5" t="n">
        <f aca="false">spmv_1!R$18/R295</f>
        <v>4.98440556164385</v>
      </c>
      <c r="T295" s="6" t="n">
        <f aca="false">S295/64</f>
        <v>0.0778813369006852</v>
      </c>
    </row>
    <row r="296" customFormat="false" ht="15" hidden="false" customHeight="false" outlineLevel="0" collapsed="false">
      <c r="A296" s="1" t="s">
        <v>19</v>
      </c>
      <c r="B296" s="1" t="n">
        <v>26</v>
      </c>
      <c r="D296" s="1" t="n">
        <v>570834</v>
      </c>
      <c r="E296" s="1" t="n">
        <v>0.074852</v>
      </c>
      <c r="G296" s="1" t="n">
        <v>0.016712904</v>
      </c>
      <c r="H296" s="1" t="n">
        <v>0.015088558</v>
      </c>
      <c r="I296" s="1" t="n">
        <v>0.015132666</v>
      </c>
      <c r="J296" s="1" t="n">
        <v>0.014912367</v>
      </c>
      <c r="K296" s="1" t="n">
        <v>0.015379429</v>
      </c>
      <c r="L296" s="1" t="n">
        <v>0.014698267</v>
      </c>
      <c r="M296" s="1" t="n">
        <v>0.014845371</v>
      </c>
      <c r="N296" s="1" t="n">
        <v>0.015592337</v>
      </c>
      <c r="O296" s="1" t="n">
        <v>0.015089512</v>
      </c>
      <c r="P296" s="1" t="n">
        <v>0.015071154</v>
      </c>
      <c r="R296" s="1" t="n">
        <f aca="false">PERCENTILE(G296:P296,0.9)</f>
        <v>0.0157043937</v>
      </c>
      <c r="S296" s="5" t="n">
        <f aca="false">spmv_1!R$18/R296</f>
        <v>4.93739078892298</v>
      </c>
      <c r="T296" s="6" t="n">
        <f aca="false">S296/64</f>
        <v>0.0771467310769215</v>
      </c>
    </row>
    <row r="297" customFormat="false" ht="15" hidden="false" customHeight="false" outlineLevel="0" collapsed="false">
      <c r="A297" s="1" t="s">
        <v>19</v>
      </c>
      <c r="B297" s="1" t="n">
        <v>27</v>
      </c>
      <c r="D297" s="1" t="n">
        <v>594280</v>
      </c>
      <c r="E297" s="1" t="n">
        <v>0.076969</v>
      </c>
      <c r="G297" s="1" t="n">
        <v>0.016904354</v>
      </c>
      <c r="H297" s="1" t="n">
        <v>0.014959097</v>
      </c>
      <c r="I297" s="1" t="n">
        <v>0.015079975</v>
      </c>
      <c r="J297" s="1" t="n">
        <v>0.01517868</v>
      </c>
      <c r="K297" s="1" t="n">
        <v>0.015657187</v>
      </c>
      <c r="L297" s="1" t="n">
        <v>0.015044928</v>
      </c>
      <c r="M297" s="1" t="n">
        <v>0.015155554</v>
      </c>
      <c r="N297" s="1" t="n">
        <v>0.015657187</v>
      </c>
      <c r="O297" s="1" t="n">
        <v>0.015441656</v>
      </c>
      <c r="P297" s="1" t="n">
        <v>0.01534152</v>
      </c>
      <c r="R297" s="1" t="n">
        <f aca="false">PERCENTILE(G297:P297,0.9)</f>
        <v>0.0157819037</v>
      </c>
      <c r="S297" s="5" t="n">
        <f aca="false">spmv_1!R$18/R297</f>
        <v>4.91314167631121</v>
      </c>
      <c r="T297" s="6" t="n">
        <f aca="false">S297/64</f>
        <v>0.0767678386923626</v>
      </c>
    </row>
    <row r="298" customFormat="false" ht="15" hidden="false" customHeight="false" outlineLevel="0" collapsed="false">
      <c r="A298" s="1" t="s">
        <v>19</v>
      </c>
      <c r="B298" s="1" t="n">
        <v>28</v>
      </c>
      <c r="D298" s="1" t="n">
        <v>581873</v>
      </c>
      <c r="E298" s="1" t="n">
        <v>0.075326</v>
      </c>
      <c r="G298" s="1" t="n">
        <v>0.01687336</v>
      </c>
      <c r="H298" s="1" t="n">
        <v>0.015119553</v>
      </c>
      <c r="I298" s="1" t="n">
        <v>0.014844179</v>
      </c>
      <c r="J298" s="1" t="n">
        <v>0.015227556</v>
      </c>
      <c r="K298" s="1" t="n">
        <v>0.015704393</v>
      </c>
      <c r="L298" s="1" t="n">
        <v>0.015045404</v>
      </c>
      <c r="M298" s="1" t="n">
        <v>0.015157223</v>
      </c>
      <c r="N298" s="1" t="n">
        <v>0.015645266</v>
      </c>
      <c r="O298" s="1" t="n">
        <v>0.015476942</v>
      </c>
      <c r="P298" s="1" t="n">
        <v>0.015400648</v>
      </c>
      <c r="R298" s="1" t="n">
        <f aca="false">PERCENTILE(G298:P298,0.9)</f>
        <v>0.0158212897</v>
      </c>
      <c r="S298" s="5" t="n">
        <f aca="false">spmv_1!R$18/R298</f>
        <v>4.90091075192182</v>
      </c>
      <c r="T298" s="6" t="n">
        <f aca="false">S298/64</f>
        <v>0.0765767304987785</v>
      </c>
    </row>
    <row r="299" customFormat="false" ht="15" hidden="false" customHeight="false" outlineLevel="0" collapsed="false">
      <c r="A299" s="1" t="s">
        <v>19</v>
      </c>
      <c r="B299" s="1" t="n">
        <v>29</v>
      </c>
      <c r="D299" s="1" t="n">
        <v>574423</v>
      </c>
      <c r="E299" s="1" t="n">
        <v>0.07148</v>
      </c>
      <c r="G299" s="1" t="n">
        <v>0.01747036</v>
      </c>
      <c r="H299" s="1" t="n">
        <v>0.015874863</v>
      </c>
      <c r="I299" s="1" t="n">
        <v>0.01471138</v>
      </c>
      <c r="J299" s="1" t="n">
        <v>0.015476227</v>
      </c>
      <c r="K299" s="1" t="n">
        <v>0.016261578</v>
      </c>
      <c r="L299" s="1" t="n">
        <v>0.015648127</v>
      </c>
      <c r="M299" s="1" t="n">
        <v>0.015829086</v>
      </c>
      <c r="N299" s="1" t="n">
        <v>0.016884089</v>
      </c>
      <c r="O299" s="1" t="n">
        <v>0.016405821</v>
      </c>
      <c r="P299" s="1" t="n">
        <v>0.016161919</v>
      </c>
      <c r="R299" s="1" t="n">
        <f aca="false">PERCENTILE(G299:P299,0.9)</f>
        <v>0.0169427161</v>
      </c>
      <c r="S299" s="5" t="n">
        <f aca="false">spmv_1!R$18/R299</f>
        <v>4.57652293424193</v>
      </c>
      <c r="T299" s="6" t="n">
        <f aca="false">S299/64</f>
        <v>0.0715081708475302</v>
      </c>
    </row>
    <row r="300" customFormat="false" ht="15" hidden="false" customHeight="false" outlineLevel="0" collapsed="false">
      <c r="A300" s="1" t="s">
        <v>19</v>
      </c>
      <c r="B300" s="1" t="n">
        <v>30</v>
      </c>
      <c r="D300" s="1" t="n">
        <v>571531</v>
      </c>
      <c r="E300" s="1" t="n">
        <v>0.073708</v>
      </c>
      <c r="G300" s="1" t="n">
        <v>0.016880274</v>
      </c>
      <c r="H300" s="1" t="n">
        <v>0.015242338</v>
      </c>
      <c r="I300" s="1" t="n">
        <v>0.01499939</v>
      </c>
      <c r="J300" s="1" t="n">
        <v>0.015285969</v>
      </c>
      <c r="K300" s="1" t="n">
        <v>0.015735865</v>
      </c>
      <c r="L300" s="1" t="n">
        <v>0.015100956</v>
      </c>
      <c r="M300" s="1" t="n">
        <v>0.015218258</v>
      </c>
      <c r="N300" s="1" t="n">
        <v>0.015678406</v>
      </c>
      <c r="O300" s="1" t="n">
        <v>0.015480042</v>
      </c>
      <c r="P300" s="1" t="n">
        <v>0.015457869</v>
      </c>
      <c r="R300" s="1" t="n">
        <f aca="false">PERCENTILE(G300:P300,0.9)</f>
        <v>0.0158503059</v>
      </c>
      <c r="S300" s="5" t="n">
        <f aca="false">spmv_1!R$18/R300</f>
        <v>4.89193894989749</v>
      </c>
      <c r="T300" s="6" t="n">
        <f aca="false">S300/64</f>
        <v>0.0764365460921483</v>
      </c>
    </row>
    <row r="301" customFormat="false" ht="15" hidden="false" customHeight="false" outlineLevel="0" collapsed="false">
      <c r="A301" s="1" t="s">
        <v>19</v>
      </c>
      <c r="B301" s="1" t="n">
        <v>31</v>
      </c>
      <c r="D301" s="1" t="n">
        <v>595511</v>
      </c>
      <c r="E301" s="1" t="n">
        <v>0.076826</v>
      </c>
      <c r="G301" s="1" t="n">
        <v>0.016845703</v>
      </c>
      <c r="H301" s="1" t="n">
        <v>0.015247345</v>
      </c>
      <c r="I301" s="1" t="n">
        <v>0.014927149</v>
      </c>
      <c r="J301" s="1" t="n">
        <v>0.015349627</v>
      </c>
      <c r="K301" s="1" t="n">
        <v>0.015722513</v>
      </c>
      <c r="L301" s="1" t="n">
        <v>0.01514101</v>
      </c>
      <c r="M301" s="1" t="n">
        <v>0.015218019</v>
      </c>
      <c r="N301" s="1" t="n">
        <v>0.015663624</v>
      </c>
      <c r="O301" s="1" t="n">
        <v>0.015481234</v>
      </c>
      <c r="P301" s="1" t="n">
        <v>0.015432835</v>
      </c>
      <c r="R301" s="1" t="n">
        <f aca="false">PERCENTILE(G301:P301,0.9)</f>
        <v>0.015834832</v>
      </c>
      <c r="S301" s="5" t="n">
        <f aca="false">spmv_1!R$18/R301</f>
        <v>4.89671938420313</v>
      </c>
      <c r="T301" s="6" t="n">
        <f aca="false">S301/64</f>
        <v>0.0765112403781739</v>
      </c>
    </row>
    <row r="302" customFormat="false" ht="15" hidden="false" customHeight="false" outlineLevel="0" collapsed="false">
      <c r="A302" s="1" t="s">
        <v>19</v>
      </c>
      <c r="B302" s="1" t="n">
        <v>32</v>
      </c>
      <c r="D302" s="1" t="n">
        <v>581397</v>
      </c>
      <c r="E302" s="1" t="n">
        <v>0.108965</v>
      </c>
      <c r="G302" s="1" t="n">
        <v>0.012382746</v>
      </c>
      <c r="H302" s="1" t="n">
        <v>0.010209084</v>
      </c>
      <c r="I302" s="1" t="n">
        <v>0.009929419</v>
      </c>
      <c r="J302" s="1" t="n">
        <v>0.01021409</v>
      </c>
      <c r="K302" s="1" t="n">
        <v>0.010824203</v>
      </c>
      <c r="L302" s="1" t="n">
        <v>0.010244608</v>
      </c>
      <c r="M302" s="1" t="n">
        <v>0.01035738</v>
      </c>
      <c r="N302" s="1" t="n">
        <v>0.011333942</v>
      </c>
      <c r="O302" s="1" t="n">
        <v>0.010734797</v>
      </c>
      <c r="P302" s="1" t="n">
        <v>0.010482311</v>
      </c>
      <c r="R302" s="1" t="n">
        <f aca="false">PERCENTILE(G302:P302,0.9)</f>
        <v>0.0114388224</v>
      </c>
      <c r="S302" s="5" t="n">
        <f aca="false">spmv_1!R$18/R302</f>
        <v>6.77855867401176</v>
      </c>
      <c r="T302" s="6" t="n">
        <f aca="false">S302/64</f>
        <v>0.105914979281434</v>
      </c>
    </row>
    <row r="303" customFormat="false" ht="15" hidden="false" customHeight="false" outlineLevel="0" collapsed="false">
      <c r="A303" s="1" t="s">
        <v>19</v>
      </c>
      <c r="B303" s="1" t="n">
        <v>33</v>
      </c>
      <c r="D303" s="1" t="n">
        <v>574705</v>
      </c>
      <c r="E303" s="1" t="n">
        <v>0.104544</v>
      </c>
      <c r="G303" s="1" t="n">
        <v>0.012350559</v>
      </c>
      <c r="H303" s="1" t="n">
        <v>0.010578156</v>
      </c>
      <c r="I303" s="1" t="n">
        <v>0.010359049</v>
      </c>
      <c r="J303" s="1" t="n">
        <v>0.010576725</v>
      </c>
      <c r="K303" s="1" t="n">
        <v>0.011147022</v>
      </c>
      <c r="L303" s="1" t="n">
        <v>0.01060605</v>
      </c>
      <c r="M303" s="1" t="n">
        <v>0.010773659</v>
      </c>
      <c r="N303" s="1" t="n">
        <v>0.011715174</v>
      </c>
      <c r="O303" s="1" t="n">
        <v>0.011049271</v>
      </c>
      <c r="P303" s="1" t="n">
        <v>0.010789633</v>
      </c>
      <c r="R303" s="1" t="n">
        <f aca="false">PERCENTILE(G303:P303,0.9)</f>
        <v>0.0117787125</v>
      </c>
      <c r="S303" s="5" t="n">
        <f aca="false">spmv_1!R$18/R303</f>
        <v>6.58295452919833</v>
      </c>
      <c r="T303" s="6" t="n">
        <f aca="false">S303/64</f>
        <v>0.102858664518724</v>
      </c>
    </row>
    <row r="304" customFormat="false" ht="15" hidden="false" customHeight="false" outlineLevel="0" collapsed="false">
      <c r="A304" s="1" t="s">
        <v>19</v>
      </c>
      <c r="B304" s="1" t="n">
        <v>34</v>
      </c>
      <c r="D304" s="1" t="n">
        <v>571140</v>
      </c>
      <c r="E304" s="1" t="n">
        <v>0.109469</v>
      </c>
      <c r="G304" s="1" t="n">
        <v>0.011988401</v>
      </c>
      <c r="H304" s="1" t="n">
        <v>0.009971142</v>
      </c>
      <c r="I304" s="1" t="n">
        <v>0.009795427</v>
      </c>
      <c r="J304" s="1" t="n">
        <v>0.010063648</v>
      </c>
      <c r="K304" s="1" t="n">
        <v>0.010569811</v>
      </c>
      <c r="L304" s="1" t="n">
        <v>0.009995461</v>
      </c>
      <c r="M304" s="1" t="n">
        <v>0.010206938</v>
      </c>
      <c r="N304" s="1" t="n">
        <v>0.01102519</v>
      </c>
      <c r="O304" s="1" t="n">
        <v>0.010418177</v>
      </c>
      <c r="P304" s="1" t="n">
        <v>0.010313272</v>
      </c>
      <c r="R304" s="1" t="n">
        <f aca="false">PERCENTILE(G304:P304,0.9)</f>
        <v>0.0111215111</v>
      </c>
      <c r="S304" s="5" t="n">
        <f aca="false">spmv_1!R$18/R304</f>
        <v>6.97195984455745</v>
      </c>
      <c r="T304" s="6" t="n">
        <f aca="false">S304/64</f>
        <v>0.10893687257121</v>
      </c>
    </row>
    <row r="305" customFormat="false" ht="15" hidden="false" customHeight="false" outlineLevel="0" collapsed="false">
      <c r="A305" s="1" t="s">
        <v>19</v>
      </c>
      <c r="B305" s="1" t="n">
        <v>35</v>
      </c>
      <c r="D305" s="1" t="n">
        <v>596533</v>
      </c>
      <c r="E305" s="1" t="n">
        <v>0.114445</v>
      </c>
      <c r="G305" s="1" t="n">
        <v>0.013525486</v>
      </c>
      <c r="H305" s="1" t="n">
        <v>0.009857416</v>
      </c>
      <c r="I305" s="1" t="n">
        <v>0.009594202</v>
      </c>
      <c r="J305" s="1" t="n">
        <v>0.00991416</v>
      </c>
      <c r="K305" s="1" t="n">
        <v>0.010408163</v>
      </c>
      <c r="L305" s="1" t="n">
        <v>0.009848118</v>
      </c>
      <c r="M305" s="1" t="n">
        <v>0.009979725</v>
      </c>
      <c r="N305" s="1" t="n">
        <v>0.01074028</v>
      </c>
      <c r="O305" s="1" t="n">
        <v>0.010290861</v>
      </c>
      <c r="P305" s="1" t="n">
        <v>0.010089874</v>
      </c>
      <c r="R305" s="1" t="n">
        <f aca="false">PERCENTILE(G305:P305,0.9)</f>
        <v>0.0110188006</v>
      </c>
      <c r="S305" s="5" t="n">
        <f aca="false">spmv_1!R$18/R305</f>
        <v>7.03694817746316</v>
      </c>
      <c r="T305" s="6" t="n">
        <f aca="false">S305/64</f>
        <v>0.109952315272862</v>
      </c>
    </row>
    <row r="306" customFormat="false" ht="15" hidden="false" customHeight="false" outlineLevel="0" collapsed="false">
      <c r="A306" s="1" t="s">
        <v>19</v>
      </c>
      <c r="B306" s="1" t="n">
        <v>36</v>
      </c>
      <c r="D306" s="1" t="n">
        <v>580713</v>
      </c>
      <c r="E306" s="1" t="n">
        <v>0.114895</v>
      </c>
      <c r="G306" s="1" t="n">
        <v>0.011762142</v>
      </c>
      <c r="H306" s="1" t="n">
        <v>0.009715319</v>
      </c>
      <c r="I306" s="1" t="n">
        <v>0.009437799</v>
      </c>
      <c r="J306" s="1" t="n">
        <v>0.00971365</v>
      </c>
      <c r="K306" s="1" t="n">
        <v>0.010285616</v>
      </c>
      <c r="L306" s="1" t="n">
        <v>0.009684801</v>
      </c>
      <c r="M306" s="1" t="n">
        <v>0.00988555</v>
      </c>
      <c r="N306" s="1" t="n">
        <v>0.010540485</v>
      </c>
      <c r="O306" s="1" t="n">
        <v>0.010150909</v>
      </c>
      <c r="P306" s="1" t="n">
        <v>0.009909153</v>
      </c>
      <c r="R306" s="1" t="n">
        <f aca="false">PERCENTILE(G306:P306,0.9)</f>
        <v>0.0106626507</v>
      </c>
      <c r="S306" s="5" t="n">
        <f aca="false">spmv_1!R$18/R306</f>
        <v>7.27199370790605</v>
      </c>
      <c r="T306" s="6" t="n">
        <f aca="false">S306/64</f>
        <v>0.113624901686032</v>
      </c>
    </row>
    <row r="307" customFormat="false" ht="15" hidden="false" customHeight="false" outlineLevel="0" collapsed="false">
      <c r="A307" s="1" t="s">
        <v>19</v>
      </c>
      <c r="B307" s="1" t="n">
        <v>37</v>
      </c>
      <c r="D307" s="1" t="n">
        <v>574572</v>
      </c>
      <c r="E307" s="1" t="n">
        <v>0.114622</v>
      </c>
      <c r="G307" s="1" t="n">
        <v>0.01164937</v>
      </c>
      <c r="H307" s="1" t="n">
        <v>0.009570599</v>
      </c>
      <c r="I307" s="1" t="n">
        <v>0.009346247</v>
      </c>
      <c r="J307" s="1" t="n">
        <v>0.009687662</v>
      </c>
      <c r="K307" s="1" t="n">
        <v>0.010224342</v>
      </c>
      <c r="L307" s="1" t="n">
        <v>0.00957799</v>
      </c>
      <c r="M307" s="1" t="n">
        <v>0.00980401</v>
      </c>
      <c r="N307" s="1" t="n">
        <v>0.010471106</v>
      </c>
      <c r="O307" s="1" t="n">
        <v>0.010065794</v>
      </c>
      <c r="P307" s="1" t="n">
        <v>0.009858131</v>
      </c>
      <c r="R307" s="1" t="n">
        <f aca="false">PERCENTILE(G307:P307,0.9)</f>
        <v>0.0105889324</v>
      </c>
      <c r="S307" s="5" t="n">
        <f aca="false">spmv_1!R$18/R307</f>
        <v>7.32262005941222</v>
      </c>
      <c r="T307" s="6" t="n">
        <f aca="false">S307/64</f>
        <v>0.114415938428316</v>
      </c>
    </row>
    <row r="308" customFormat="false" ht="15" hidden="false" customHeight="false" outlineLevel="0" collapsed="false">
      <c r="A308" s="1" t="s">
        <v>19</v>
      </c>
      <c r="B308" s="1" t="n">
        <v>38</v>
      </c>
      <c r="D308" s="1" t="n">
        <v>571745</v>
      </c>
      <c r="E308" s="1" t="n">
        <v>0.115989</v>
      </c>
      <c r="G308" s="1" t="n">
        <v>0.011477947</v>
      </c>
      <c r="H308" s="1" t="n">
        <v>0.00942874</v>
      </c>
      <c r="I308" s="1" t="n">
        <v>0.009158134</v>
      </c>
      <c r="J308" s="1" t="n">
        <v>0.009505033</v>
      </c>
      <c r="K308" s="1" t="n">
        <v>0.010074139</v>
      </c>
      <c r="L308" s="1" t="n">
        <v>0.009382725</v>
      </c>
      <c r="M308" s="1" t="n">
        <v>0.009609222</v>
      </c>
      <c r="N308" s="1" t="n">
        <v>0.010322571</v>
      </c>
      <c r="O308" s="1" t="n">
        <v>0.009946585</v>
      </c>
      <c r="P308" s="1" t="n">
        <v>0.009680748</v>
      </c>
      <c r="R308" s="1" t="n">
        <f aca="false">PERCENTILE(G308:P308,0.9)</f>
        <v>0.0104381086</v>
      </c>
      <c r="S308" s="5" t="n">
        <f aca="false">spmv_1!R$18/R308</f>
        <v>7.42842710028903</v>
      </c>
      <c r="T308" s="6" t="n">
        <f aca="false">S308/64</f>
        <v>0.116069173442016</v>
      </c>
    </row>
    <row r="309" customFormat="false" ht="15" hidden="false" customHeight="false" outlineLevel="0" collapsed="false">
      <c r="A309" s="1" t="s">
        <v>19</v>
      </c>
      <c r="B309" s="1" t="n">
        <v>39</v>
      </c>
      <c r="D309" s="1" t="n">
        <v>594909</v>
      </c>
      <c r="E309" s="1" t="n">
        <v>0.122046</v>
      </c>
      <c r="G309" s="1" t="n">
        <v>0.01140213</v>
      </c>
      <c r="H309" s="1" t="n">
        <v>0.009300232</v>
      </c>
      <c r="I309" s="1" t="n">
        <v>0.009031773</v>
      </c>
      <c r="J309" s="1" t="n">
        <v>0.009400606</v>
      </c>
      <c r="K309" s="1" t="n">
        <v>0.00996089</v>
      </c>
      <c r="L309" s="1" t="n">
        <v>0.009283781</v>
      </c>
      <c r="M309" s="1" t="n">
        <v>0.009481907</v>
      </c>
      <c r="N309" s="1" t="n">
        <v>0.010222673</v>
      </c>
      <c r="O309" s="1" t="n">
        <v>0.009809256</v>
      </c>
      <c r="P309" s="1" t="n">
        <v>0.009596109</v>
      </c>
      <c r="R309" s="1" t="n">
        <f aca="false">PERCENTILE(G309:P309,0.9)</f>
        <v>0.0103406187</v>
      </c>
      <c r="S309" s="5" t="n">
        <f aca="false">spmv_1!R$18/R309</f>
        <v>7.49846126711935</v>
      </c>
      <c r="T309" s="6" t="n">
        <f aca="false">S309/64</f>
        <v>0.11716345729874</v>
      </c>
    </row>
    <row r="310" customFormat="false" ht="15" hidden="false" customHeight="false" outlineLevel="0" collapsed="false">
      <c r="A310" s="1" t="s">
        <v>19</v>
      </c>
      <c r="B310" s="1" t="n">
        <v>40</v>
      </c>
      <c r="D310" s="1" t="n">
        <v>581617</v>
      </c>
      <c r="E310" s="1" t="n">
        <v>0.120247</v>
      </c>
      <c r="G310" s="1" t="n">
        <v>0.011337996</v>
      </c>
      <c r="H310" s="1" t="n">
        <v>0.009301662</v>
      </c>
      <c r="I310" s="1" t="n">
        <v>0.008943796</v>
      </c>
      <c r="J310" s="1" t="n">
        <v>0.009391069</v>
      </c>
      <c r="K310" s="1" t="n">
        <v>0.00985384</v>
      </c>
      <c r="L310" s="1" t="n">
        <v>0.009240389</v>
      </c>
      <c r="M310" s="1" t="n">
        <v>0.00937295</v>
      </c>
      <c r="N310" s="1" t="n">
        <v>0.010117531</v>
      </c>
      <c r="O310" s="1" t="n">
        <v>0.009656906</v>
      </c>
      <c r="P310" s="1" t="n">
        <v>0.009520769</v>
      </c>
      <c r="R310" s="1" t="n">
        <f aca="false">PERCENTILE(G310:P310,0.9)</f>
        <v>0.0102395775</v>
      </c>
      <c r="S310" s="5" t="n">
        <f aca="false">spmv_1!R$18/R310</f>
        <v>7.57245392204903</v>
      </c>
      <c r="T310" s="6" t="n">
        <f aca="false">S310/64</f>
        <v>0.118319592532016</v>
      </c>
    </row>
    <row r="311" customFormat="false" ht="15" hidden="false" customHeight="false" outlineLevel="0" collapsed="false">
      <c r="A311" s="1" t="s">
        <v>19</v>
      </c>
      <c r="B311" s="1" t="n">
        <v>41</v>
      </c>
      <c r="D311" s="1" t="n">
        <v>573161</v>
      </c>
      <c r="E311" s="1" t="n">
        <v>0.122764</v>
      </c>
      <c r="G311" s="1" t="n">
        <v>0.01095295</v>
      </c>
      <c r="H311" s="1" t="n">
        <v>0.008964539</v>
      </c>
      <c r="I311" s="1" t="n">
        <v>0.008648634</v>
      </c>
      <c r="J311" s="1" t="n">
        <v>0.008967638</v>
      </c>
      <c r="K311" s="1" t="n">
        <v>0.009495974</v>
      </c>
      <c r="L311" s="1" t="n">
        <v>0.008887053</v>
      </c>
      <c r="M311" s="1" t="n">
        <v>0.009040594</v>
      </c>
      <c r="N311" s="1" t="n">
        <v>0.009861469</v>
      </c>
      <c r="O311" s="1" t="n">
        <v>0.009367466</v>
      </c>
      <c r="P311" s="1" t="n">
        <v>0.009190083</v>
      </c>
      <c r="R311" s="1" t="n">
        <f aca="false">PERCENTILE(G311:P311,0.9)</f>
        <v>0.0099706171</v>
      </c>
      <c r="S311" s="5" t="n">
        <f aca="false">spmv_1!R$18/R311</f>
        <v>7.77672314785812</v>
      </c>
      <c r="T311" s="6" t="n">
        <f aca="false">S311/64</f>
        <v>0.121511299185283</v>
      </c>
    </row>
    <row r="312" customFormat="false" ht="15" hidden="false" customHeight="false" outlineLevel="0" collapsed="false">
      <c r="A312" s="1" t="s">
        <v>19</v>
      </c>
      <c r="B312" s="1" t="n">
        <v>42</v>
      </c>
      <c r="D312" s="1" t="n">
        <v>572631</v>
      </c>
      <c r="E312" s="1" t="n">
        <v>0.120783</v>
      </c>
      <c r="G312" s="1" t="n">
        <v>0.011116743</v>
      </c>
      <c r="H312" s="1" t="n">
        <v>0.009133816</v>
      </c>
      <c r="I312" s="1" t="n">
        <v>0.008700132</v>
      </c>
      <c r="J312" s="1" t="n">
        <v>0.009223938</v>
      </c>
      <c r="K312" s="1" t="n">
        <v>0.009654999</v>
      </c>
      <c r="L312" s="1" t="n">
        <v>0.009054184</v>
      </c>
      <c r="M312" s="1" t="n">
        <v>0.009184599</v>
      </c>
      <c r="N312" s="1" t="n">
        <v>0.009948492</v>
      </c>
      <c r="O312" s="1" t="n">
        <v>0.009431601</v>
      </c>
      <c r="P312" s="1" t="n">
        <v>0.009371519</v>
      </c>
      <c r="R312" s="1" t="n">
        <f aca="false">PERCENTILE(G312:P312,0.9)</f>
        <v>0.0100653171</v>
      </c>
      <c r="S312" s="5" t="n">
        <f aca="false">spmv_1!R$18/R312</f>
        <v>7.7035554895732</v>
      </c>
      <c r="T312" s="6" t="n">
        <f aca="false">S312/64</f>
        <v>0.120368054524581</v>
      </c>
    </row>
    <row r="313" customFormat="false" ht="15" hidden="false" customHeight="false" outlineLevel="0" collapsed="false">
      <c r="A313" s="1" t="s">
        <v>19</v>
      </c>
      <c r="B313" s="1" t="n">
        <v>43</v>
      </c>
      <c r="D313" s="1" t="n">
        <v>595122</v>
      </c>
      <c r="E313" s="1" t="n">
        <v>0.127282</v>
      </c>
      <c r="G313" s="1" t="n">
        <v>0.01098609</v>
      </c>
      <c r="H313" s="1" t="n">
        <v>0.009054661</v>
      </c>
      <c r="I313" s="1" t="n">
        <v>0.008571386</v>
      </c>
      <c r="J313" s="1" t="n">
        <v>0.009105921</v>
      </c>
      <c r="K313" s="1" t="n">
        <v>0.009534359</v>
      </c>
      <c r="L313" s="1" t="n">
        <v>0.00892067</v>
      </c>
      <c r="M313" s="1" t="n">
        <v>0.009047747</v>
      </c>
      <c r="N313" s="1" t="n">
        <v>0.009783268</v>
      </c>
      <c r="O313" s="1" t="n">
        <v>0.009285688</v>
      </c>
      <c r="P313" s="1" t="n">
        <v>0.009222269</v>
      </c>
      <c r="R313" s="1" t="n">
        <f aca="false">PERCENTILE(G313:P313,0.9)</f>
        <v>0.0099035502</v>
      </c>
      <c r="S313" s="5" t="n">
        <f aca="false">spmv_1!R$18/R313</f>
        <v>7.82938716259549</v>
      </c>
      <c r="T313" s="6" t="n">
        <f aca="false">S313/64</f>
        <v>0.122334174415555</v>
      </c>
    </row>
    <row r="314" customFormat="false" ht="15" hidden="false" customHeight="false" outlineLevel="0" collapsed="false">
      <c r="A314" s="1" t="s">
        <v>19</v>
      </c>
      <c r="B314" s="1" t="n">
        <v>44</v>
      </c>
      <c r="D314" s="1" t="n">
        <v>581588</v>
      </c>
      <c r="E314" s="1" t="n">
        <v>0.130652</v>
      </c>
      <c r="G314" s="1" t="n">
        <v>0.010580778</v>
      </c>
      <c r="H314" s="1" t="n">
        <v>0.008581877</v>
      </c>
      <c r="I314" s="1" t="n">
        <v>0.008147955</v>
      </c>
      <c r="J314" s="1" t="n">
        <v>0.008593321</v>
      </c>
      <c r="K314" s="1" t="n">
        <v>0.009057999</v>
      </c>
      <c r="L314" s="1" t="n">
        <v>0.008469105</v>
      </c>
      <c r="M314" s="1" t="n">
        <v>0.008613586</v>
      </c>
      <c r="N314" s="1" t="n">
        <v>0.009351254</v>
      </c>
      <c r="O314" s="1" t="n">
        <v>0.008876801</v>
      </c>
      <c r="P314" s="1" t="n">
        <v>0.008755922</v>
      </c>
      <c r="R314" s="1" t="n">
        <f aca="false">PERCENTILE(G314:P314,0.9)</f>
        <v>0.0094742064</v>
      </c>
      <c r="S314" s="5" t="n">
        <f aca="false">spmv_1!R$18/R314</f>
        <v>8.1841924828659</v>
      </c>
      <c r="T314" s="6" t="n">
        <f aca="false">S314/64</f>
        <v>0.12787800754478</v>
      </c>
    </row>
    <row r="315" customFormat="false" ht="15" hidden="false" customHeight="false" outlineLevel="0" collapsed="false">
      <c r="A315" s="1" t="s">
        <v>19</v>
      </c>
      <c r="B315" s="1" t="n">
        <v>45</v>
      </c>
      <c r="D315" s="1" t="n">
        <v>573665</v>
      </c>
      <c r="E315" s="1" t="n">
        <v>0.126563</v>
      </c>
      <c r="G315" s="1" t="n">
        <v>0.010733366</v>
      </c>
      <c r="H315" s="1" t="n">
        <v>0.008728504</v>
      </c>
      <c r="I315" s="1" t="n">
        <v>0.008296967</v>
      </c>
      <c r="J315" s="1" t="n">
        <v>0.00884366</v>
      </c>
      <c r="K315" s="1" t="n">
        <v>0.009220839</v>
      </c>
      <c r="L315" s="1" t="n">
        <v>0.008667946</v>
      </c>
      <c r="M315" s="1" t="n">
        <v>0.008788109</v>
      </c>
      <c r="N315" s="1" t="n">
        <v>0.009546757</v>
      </c>
      <c r="O315" s="1" t="n">
        <v>0.008919477</v>
      </c>
      <c r="P315" s="1" t="n">
        <v>0.00890708</v>
      </c>
      <c r="R315" s="1" t="n">
        <f aca="false">PERCENTILE(G315:P315,0.9)</f>
        <v>0.0096654179</v>
      </c>
      <c r="S315" s="5" t="n">
        <f aca="false">spmv_1!R$18/R315</f>
        <v>8.02228414769319</v>
      </c>
      <c r="T315" s="6" t="n">
        <f aca="false">S315/64</f>
        <v>0.125348189807706</v>
      </c>
    </row>
    <row r="316" customFormat="false" ht="15" hidden="false" customHeight="false" outlineLevel="0" collapsed="false">
      <c r="A316" s="1" t="s">
        <v>19</v>
      </c>
      <c r="B316" s="1" t="n">
        <v>46</v>
      </c>
      <c r="D316" s="1" t="n">
        <v>572556</v>
      </c>
      <c r="E316" s="1" t="n">
        <v>0.12895</v>
      </c>
      <c r="G316" s="1" t="n">
        <v>0.010551691</v>
      </c>
      <c r="H316" s="1" t="n">
        <v>0.00842905</v>
      </c>
      <c r="I316" s="1" t="n">
        <v>0.008145332</v>
      </c>
      <c r="J316" s="1" t="n">
        <v>0.008646727</v>
      </c>
      <c r="K316" s="1" t="n">
        <v>0.009052038</v>
      </c>
      <c r="L316" s="1" t="n">
        <v>0.008484602</v>
      </c>
      <c r="M316" s="1" t="n">
        <v>0.008630514</v>
      </c>
      <c r="N316" s="1" t="n">
        <v>0.009381533</v>
      </c>
      <c r="O316" s="1" t="n">
        <v>0.008784056</v>
      </c>
      <c r="P316" s="1" t="n">
        <v>0.00869751</v>
      </c>
      <c r="R316" s="1" t="n">
        <f aca="false">PERCENTILE(G316:P316,0.9)</f>
        <v>0.0094985488</v>
      </c>
      <c r="S316" s="5" t="n">
        <f aca="false">spmv_1!R$18/R316</f>
        <v>8.16321844869608</v>
      </c>
      <c r="T316" s="6" t="n">
        <f aca="false">S316/64</f>
        <v>0.127550288260876</v>
      </c>
    </row>
    <row r="317" customFormat="false" ht="15" hidden="false" customHeight="false" outlineLevel="0" collapsed="false">
      <c r="A317" s="1" t="s">
        <v>19</v>
      </c>
      <c r="B317" s="1" t="n">
        <v>47</v>
      </c>
      <c r="D317" s="1" t="n">
        <v>594944</v>
      </c>
      <c r="E317" s="1" t="n">
        <v>0.136266</v>
      </c>
      <c r="G317" s="1" t="n">
        <v>0.010379553</v>
      </c>
      <c r="H317" s="1" t="n">
        <v>0.008304596</v>
      </c>
      <c r="I317" s="1" t="n">
        <v>0.007963419</v>
      </c>
      <c r="J317" s="1" t="n">
        <v>0.008508682</v>
      </c>
      <c r="K317" s="1" t="n">
        <v>0.008902073</v>
      </c>
      <c r="L317" s="1" t="n">
        <v>0.008380413</v>
      </c>
      <c r="M317" s="1" t="n">
        <v>0.008466244</v>
      </c>
      <c r="N317" s="1" t="n">
        <v>0.009197712</v>
      </c>
      <c r="O317" s="1" t="n">
        <v>0.008622169</v>
      </c>
      <c r="P317" s="1" t="n">
        <v>0.008595943</v>
      </c>
      <c r="R317" s="1" t="n">
        <f aca="false">PERCENTILE(G317:P317,0.9)</f>
        <v>0.0093158961</v>
      </c>
      <c r="S317" s="5" t="n">
        <f aca="false">spmv_1!R$18/R317</f>
        <v>8.32327110217556</v>
      </c>
      <c r="T317" s="6" t="n">
        <f aca="false">S317/64</f>
        <v>0.130051110971493</v>
      </c>
    </row>
    <row r="318" customFormat="false" ht="15" hidden="false" customHeight="false" outlineLevel="0" collapsed="false">
      <c r="A318" s="1" t="s">
        <v>19</v>
      </c>
      <c r="B318" s="1" t="n">
        <v>48</v>
      </c>
      <c r="D318" s="1" t="n">
        <v>580521</v>
      </c>
      <c r="E318" s="1" t="n">
        <v>0.133429</v>
      </c>
      <c r="G318" s="1" t="n">
        <v>0.01025939</v>
      </c>
      <c r="H318" s="1" t="n">
        <v>0.008342028</v>
      </c>
      <c r="I318" s="1" t="n">
        <v>0.00794816</v>
      </c>
      <c r="J318" s="1" t="n">
        <v>0.008419275</v>
      </c>
      <c r="K318" s="1" t="n">
        <v>0.008845091</v>
      </c>
      <c r="L318" s="1" t="n">
        <v>0.008297443</v>
      </c>
      <c r="M318" s="1" t="n">
        <v>0.008442402</v>
      </c>
      <c r="N318" s="1" t="n">
        <v>0.009192228</v>
      </c>
      <c r="O318" s="1" t="n">
        <v>0.008632421</v>
      </c>
      <c r="P318" s="1" t="n">
        <v>0.00863719</v>
      </c>
      <c r="R318" s="1" t="n">
        <f aca="false">PERCENTILE(G318:P318,0.9)</f>
        <v>0.0092989442</v>
      </c>
      <c r="S318" s="5" t="n">
        <f aca="false">spmv_1!R$18/R318</f>
        <v>8.33844435801647</v>
      </c>
      <c r="T318" s="6" t="n">
        <f aca="false">S318/64</f>
        <v>0.130288193094007</v>
      </c>
    </row>
    <row r="319" customFormat="false" ht="15" hidden="false" customHeight="false" outlineLevel="0" collapsed="false">
      <c r="A319" s="1" t="s">
        <v>19</v>
      </c>
      <c r="B319" s="1" t="n">
        <v>49</v>
      </c>
      <c r="D319" s="1" t="n">
        <v>573029</v>
      </c>
      <c r="E319" s="1" t="n">
        <v>0.132699</v>
      </c>
      <c r="G319" s="1" t="n">
        <v>0.010225058</v>
      </c>
      <c r="H319" s="1" t="n">
        <v>0.008243084</v>
      </c>
      <c r="I319" s="1" t="n">
        <v>0.007880688</v>
      </c>
      <c r="J319" s="1" t="n">
        <v>0.008409739</v>
      </c>
      <c r="K319" s="1" t="n">
        <v>0.008781672</v>
      </c>
      <c r="L319" s="1" t="n">
        <v>0.008217812</v>
      </c>
      <c r="M319" s="1" t="n">
        <v>0.008370876</v>
      </c>
      <c r="N319" s="1" t="n">
        <v>0.009118319</v>
      </c>
      <c r="O319" s="1" t="n">
        <v>0.008576393</v>
      </c>
      <c r="P319" s="1" t="n">
        <v>0.008541346</v>
      </c>
      <c r="R319" s="1" t="n">
        <f aca="false">PERCENTILE(G319:P319,0.9)</f>
        <v>0.0092289929</v>
      </c>
      <c r="S319" s="5" t="n">
        <f aca="false">spmv_1!R$18/R319</f>
        <v>8.40164573103096</v>
      </c>
      <c r="T319" s="6" t="n">
        <f aca="false">S319/64</f>
        <v>0.131275714547359</v>
      </c>
    </row>
    <row r="320" customFormat="false" ht="15" hidden="false" customHeight="false" outlineLevel="0" collapsed="false">
      <c r="A320" s="1" t="s">
        <v>19</v>
      </c>
      <c r="B320" s="1" t="n">
        <v>50</v>
      </c>
      <c r="D320" s="1" t="n">
        <v>571875</v>
      </c>
      <c r="E320" s="1" t="n">
        <v>0.134476</v>
      </c>
      <c r="G320" s="1" t="n">
        <v>0.010131359</v>
      </c>
      <c r="H320" s="1" t="n">
        <v>0.008120775</v>
      </c>
      <c r="I320" s="1" t="n">
        <v>0.00772953</v>
      </c>
      <c r="J320" s="1" t="n">
        <v>0.008226633</v>
      </c>
      <c r="K320" s="1" t="n">
        <v>0.008629799</v>
      </c>
      <c r="L320" s="1" t="n">
        <v>0.008093357</v>
      </c>
      <c r="M320" s="1" t="n">
        <v>0.008255482</v>
      </c>
      <c r="N320" s="1" t="n">
        <v>0.009008646</v>
      </c>
      <c r="O320" s="1" t="n">
        <v>0.00845027</v>
      </c>
      <c r="P320" s="1" t="n">
        <v>0.008406401</v>
      </c>
      <c r="R320" s="1" t="n">
        <f aca="false">PERCENTILE(G320:P320,0.9)</f>
        <v>0.0091209173</v>
      </c>
      <c r="S320" s="5" t="n">
        <f aca="false">spmv_1!R$18/R320</f>
        <v>8.5011985362481</v>
      </c>
      <c r="T320" s="6" t="n">
        <f aca="false">S320/64</f>
        <v>0.132831227128877</v>
      </c>
    </row>
    <row r="321" customFormat="false" ht="15" hidden="false" customHeight="false" outlineLevel="0" collapsed="false">
      <c r="A321" s="1" t="s">
        <v>19</v>
      </c>
      <c r="B321" s="1" t="n">
        <v>51</v>
      </c>
      <c r="D321" s="1" t="n">
        <v>594703</v>
      </c>
      <c r="E321" s="1" t="n">
        <v>0.148117</v>
      </c>
      <c r="G321" s="1" t="n">
        <v>0.00965333</v>
      </c>
      <c r="H321" s="1" t="n">
        <v>0.007723808</v>
      </c>
      <c r="I321" s="1" t="n">
        <v>0.007239342</v>
      </c>
      <c r="J321" s="1" t="n">
        <v>0.007758856</v>
      </c>
      <c r="K321" s="1" t="n">
        <v>0.008169413</v>
      </c>
      <c r="L321" s="1" t="n">
        <v>0.007598639</v>
      </c>
      <c r="M321" s="1" t="n">
        <v>0.007785797</v>
      </c>
      <c r="N321" s="1" t="n">
        <v>0.00850153</v>
      </c>
      <c r="O321" s="1" t="n">
        <v>0.007962227</v>
      </c>
      <c r="P321" s="1" t="n">
        <v>0.007908821</v>
      </c>
      <c r="R321" s="1" t="n">
        <f aca="false">PERCENTILE(G321:P321,0.9)</f>
        <v>0.00861671</v>
      </c>
      <c r="S321" s="5" t="n">
        <f aca="false">spmv_1!R$18/R321</f>
        <v>8.99864667605153</v>
      </c>
      <c r="T321" s="6" t="n">
        <f aca="false">S321/64</f>
        <v>0.140603854313305</v>
      </c>
    </row>
    <row r="322" customFormat="false" ht="15" hidden="false" customHeight="false" outlineLevel="0" collapsed="false">
      <c r="A322" s="1" t="s">
        <v>19</v>
      </c>
      <c r="B322" s="1" t="n">
        <v>52</v>
      </c>
      <c r="D322" s="1" t="n">
        <v>580341</v>
      </c>
      <c r="E322" s="1" t="n">
        <v>0.146718</v>
      </c>
      <c r="G322" s="1" t="n">
        <v>0.009529114</v>
      </c>
      <c r="H322" s="1" t="n">
        <v>0.00757122</v>
      </c>
      <c r="I322" s="1" t="n">
        <v>0.007155895</v>
      </c>
      <c r="J322" s="1" t="n">
        <v>0.007622004</v>
      </c>
      <c r="K322" s="1" t="n">
        <v>0.007972002</v>
      </c>
      <c r="L322" s="1" t="n">
        <v>0.007492304</v>
      </c>
      <c r="M322" s="1" t="n">
        <v>0.007680893</v>
      </c>
      <c r="N322" s="1" t="n">
        <v>0.00841403</v>
      </c>
      <c r="O322" s="1" t="n">
        <v>0.007844687</v>
      </c>
      <c r="P322" s="1" t="n">
        <v>0.00782752</v>
      </c>
      <c r="R322" s="1" t="n">
        <f aca="false">PERCENTILE(G322:P322,0.9)</f>
        <v>0.0085255384</v>
      </c>
      <c r="S322" s="5" t="n">
        <f aca="false">spmv_1!R$18/R322</f>
        <v>9.09487766778459</v>
      </c>
      <c r="T322" s="6" t="n">
        <f aca="false">S322/64</f>
        <v>0.142107463559134</v>
      </c>
    </row>
    <row r="323" customFormat="false" ht="15" hidden="false" customHeight="false" outlineLevel="0" collapsed="false">
      <c r="A323" s="1" t="s">
        <v>19</v>
      </c>
      <c r="B323" s="1" t="n">
        <v>53</v>
      </c>
      <c r="D323" s="1" t="n">
        <v>574139</v>
      </c>
      <c r="E323" s="1" t="n">
        <v>0.142258</v>
      </c>
      <c r="G323" s="1" t="n">
        <v>0.009652853</v>
      </c>
      <c r="H323" s="1" t="n">
        <v>0.007744074</v>
      </c>
      <c r="I323" s="1" t="n">
        <v>0.007282972</v>
      </c>
      <c r="J323" s="1" t="n">
        <v>0.007817745</v>
      </c>
      <c r="K323" s="1" t="n">
        <v>0.008127213</v>
      </c>
      <c r="L323" s="1" t="n">
        <v>0.00763011</v>
      </c>
      <c r="M323" s="1" t="n">
        <v>0.007807732</v>
      </c>
      <c r="N323" s="1" t="n">
        <v>0.008619547</v>
      </c>
      <c r="O323" s="1" t="n">
        <v>0.007978439</v>
      </c>
      <c r="P323" s="1" t="n">
        <v>0.008057356</v>
      </c>
      <c r="R323" s="1" t="n">
        <f aca="false">PERCENTILE(G323:P323,0.9)</f>
        <v>0.0087228776</v>
      </c>
      <c r="S323" s="5" t="n">
        <f aca="false">spmv_1!R$18/R323</f>
        <v>8.88912264457316</v>
      </c>
      <c r="T323" s="6" t="n">
        <f aca="false">S323/64</f>
        <v>0.138892541321456</v>
      </c>
    </row>
    <row r="324" customFormat="false" ht="15" hidden="false" customHeight="false" outlineLevel="0" collapsed="false">
      <c r="A324" s="1" t="s">
        <v>19</v>
      </c>
      <c r="B324" s="1" t="n">
        <v>54</v>
      </c>
      <c r="D324" s="1" t="n">
        <v>571035</v>
      </c>
      <c r="E324" s="1" t="n">
        <v>0.147962</v>
      </c>
      <c r="G324" s="1" t="n">
        <v>0.009322405</v>
      </c>
      <c r="H324" s="1" t="n">
        <v>0.007397175</v>
      </c>
      <c r="I324" s="1" t="n">
        <v>0.006989717</v>
      </c>
      <c r="J324" s="1" t="n">
        <v>0.007497311</v>
      </c>
      <c r="K324" s="1" t="n">
        <v>0.007758856</v>
      </c>
      <c r="L324" s="1" t="n">
        <v>0.007336855</v>
      </c>
      <c r="M324" s="1" t="n">
        <v>0.007375717</v>
      </c>
      <c r="N324" s="1" t="n">
        <v>0.008232832</v>
      </c>
      <c r="O324" s="1" t="n">
        <v>0.007663965</v>
      </c>
      <c r="P324" s="1" t="n">
        <v>0.00761199</v>
      </c>
      <c r="R324" s="1" t="n">
        <f aca="false">PERCENTILE(G324:P324,0.9)</f>
        <v>0.0083417893</v>
      </c>
      <c r="S324" s="5" t="n">
        <f aca="false">spmv_1!R$18/R324</f>
        <v>9.29521545215725</v>
      </c>
      <c r="T324" s="6" t="n">
        <f aca="false">S324/64</f>
        <v>0.145237741439957</v>
      </c>
    </row>
    <row r="325" customFormat="false" ht="15" hidden="false" customHeight="false" outlineLevel="0" collapsed="false">
      <c r="A325" s="1" t="s">
        <v>19</v>
      </c>
      <c r="B325" s="1" t="n">
        <v>55</v>
      </c>
      <c r="D325" s="1" t="n">
        <v>593891</v>
      </c>
      <c r="E325" s="1" t="n">
        <v>0.152768</v>
      </c>
      <c r="G325" s="1" t="n">
        <v>0.009377241</v>
      </c>
      <c r="H325" s="1" t="n">
        <v>0.007501125</v>
      </c>
      <c r="I325" s="1" t="n">
        <v>0.007007599</v>
      </c>
      <c r="J325" s="1" t="n">
        <v>0.007558584</v>
      </c>
      <c r="K325" s="1" t="n">
        <v>0.007800102</v>
      </c>
      <c r="L325" s="1" t="n">
        <v>0.007418633</v>
      </c>
      <c r="M325" s="1" t="n">
        <v>0.007351875</v>
      </c>
      <c r="N325" s="1" t="n">
        <v>0.008271694</v>
      </c>
      <c r="O325" s="1" t="n">
        <v>0.007714987</v>
      </c>
      <c r="P325" s="1" t="n">
        <v>0.007748842</v>
      </c>
      <c r="R325" s="1" t="n">
        <f aca="false">PERCENTILE(G325:P325,0.9)</f>
        <v>0.0083822487</v>
      </c>
      <c r="S325" s="5" t="n">
        <f aca="false">spmv_1!R$18/R325</f>
        <v>9.25034934837951</v>
      </c>
      <c r="T325" s="6" t="n">
        <f aca="false">S325/64</f>
        <v>0.14453670856843</v>
      </c>
    </row>
    <row r="326" customFormat="false" ht="15" hidden="false" customHeight="false" outlineLevel="0" collapsed="false">
      <c r="A326" s="1" t="s">
        <v>19</v>
      </c>
      <c r="B326" s="1" t="n">
        <v>56</v>
      </c>
      <c r="D326" s="1" t="n">
        <v>579963</v>
      </c>
      <c r="E326" s="1" t="n">
        <v>0.159927</v>
      </c>
      <c r="G326" s="1" t="n">
        <v>0.008883238</v>
      </c>
      <c r="H326" s="1" t="n">
        <v>0.007009745</v>
      </c>
      <c r="I326" s="1" t="n">
        <v>0.006527662</v>
      </c>
      <c r="J326" s="1" t="n">
        <v>0.00705862</v>
      </c>
      <c r="K326" s="1" t="n">
        <v>0.00731802</v>
      </c>
      <c r="L326" s="1" t="n">
        <v>0.006859779</v>
      </c>
      <c r="M326" s="1" t="n">
        <v>0.006948471</v>
      </c>
      <c r="N326" s="1" t="n">
        <v>0.007726908</v>
      </c>
      <c r="O326" s="1" t="n">
        <v>0.007155418</v>
      </c>
      <c r="P326" s="1" t="n">
        <v>0.007040739</v>
      </c>
      <c r="R326" s="1" t="n">
        <f aca="false">PERCENTILE(G326:P326,0.9)</f>
        <v>0.007842541</v>
      </c>
      <c r="S326" s="5" t="n">
        <f aca="false">spmv_1!R$18/R326</f>
        <v>9.88693955186208</v>
      </c>
      <c r="T326" s="6" t="n">
        <f aca="false">S326/64</f>
        <v>0.154483430497845</v>
      </c>
    </row>
    <row r="327" customFormat="false" ht="15" hidden="false" customHeight="false" outlineLevel="0" collapsed="false">
      <c r="A327" s="1" t="s">
        <v>19</v>
      </c>
      <c r="B327" s="1" t="n">
        <v>57</v>
      </c>
      <c r="D327" s="1" t="n">
        <v>574256</v>
      </c>
      <c r="E327" s="1" t="n">
        <v>0.156633</v>
      </c>
      <c r="G327" s="1" t="n">
        <v>0.008901596</v>
      </c>
      <c r="H327" s="1" t="n">
        <v>0.00705409</v>
      </c>
      <c r="I327" s="1" t="n">
        <v>0.006628275</v>
      </c>
      <c r="J327" s="1" t="n">
        <v>0.007160425</v>
      </c>
      <c r="K327" s="1" t="n">
        <v>0.00731945</v>
      </c>
      <c r="L327" s="1" t="n">
        <v>0.00696063</v>
      </c>
      <c r="M327" s="1" t="n">
        <v>0.007026672</v>
      </c>
      <c r="N327" s="1" t="n">
        <v>0.007788181</v>
      </c>
      <c r="O327" s="1" t="n">
        <v>0.007287502</v>
      </c>
      <c r="P327" s="1" t="n">
        <v>0.007198334</v>
      </c>
      <c r="R327" s="1" t="n">
        <f aca="false">PERCENTILE(G327:P327,0.9)</f>
        <v>0.0078995225</v>
      </c>
      <c r="S327" s="5" t="n">
        <f aca="false">spmv_1!R$18/R327</f>
        <v>9.8156222480536</v>
      </c>
      <c r="T327" s="6" t="n">
        <f aca="false">S327/64</f>
        <v>0.153369097625838</v>
      </c>
    </row>
    <row r="328" customFormat="false" ht="15" hidden="false" customHeight="false" outlineLevel="0" collapsed="false">
      <c r="A328" s="1" t="s">
        <v>19</v>
      </c>
      <c r="B328" s="1" t="n">
        <v>58</v>
      </c>
      <c r="D328" s="1" t="n">
        <v>570194</v>
      </c>
      <c r="E328" s="1" t="n">
        <v>0.157906</v>
      </c>
      <c r="G328" s="1" t="n">
        <v>0.008733749</v>
      </c>
      <c r="H328" s="1" t="n">
        <v>0.006968498</v>
      </c>
      <c r="I328" s="1" t="n">
        <v>0.006515741</v>
      </c>
      <c r="J328" s="1" t="n">
        <v>0.007045984</v>
      </c>
      <c r="K328" s="1" t="n">
        <v>0.007252693</v>
      </c>
      <c r="L328" s="1" t="n">
        <v>0.006855965</v>
      </c>
      <c r="M328" s="1" t="n">
        <v>0.006932259</v>
      </c>
      <c r="N328" s="1" t="n">
        <v>0.007649899</v>
      </c>
      <c r="O328" s="1" t="n">
        <v>0.007188797</v>
      </c>
      <c r="P328" s="1" t="n">
        <v>0.007076025</v>
      </c>
      <c r="R328" s="1" t="n">
        <f aca="false">PERCENTILE(G328:P328,0.9)</f>
        <v>0.007758284</v>
      </c>
      <c r="S328" s="5" t="n">
        <f aca="false">spmv_1!R$18/R328</f>
        <v>9.99431430971076</v>
      </c>
      <c r="T328" s="6" t="n">
        <f aca="false">S328/64</f>
        <v>0.156161161089231</v>
      </c>
    </row>
    <row r="329" customFormat="false" ht="15" hidden="false" customHeight="false" outlineLevel="0" collapsed="false">
      <c r="A329" s="1" t="s">
        <v>19</v>
      </c>
      <c r="B329" s="1" t="n">
        <v>59</v>
      </c>
      <c r="D329" s="1" t="n">
        <v>594154</v>
      </c>
      <c r="E329" s="1" t="n">
        <v>0.168417</v>
      </c>
      <c r="G329" s="1" t="n">
        <v>0.008584023</v>
      </c>
      <c r="H329" s="1" t="n">
        <v>0.006861925</v>
      </c>
      <c r="I329" s="1" t="n">
        <v>0.006358862</v>
      </c>
      <c r="J329" s="1" t="n">
        <v>0.006891727</v>
      </c>
      <c r="K329" s="1" t="n">
        <v>0.007016897</v>
      </c>
      <c r="L329" s="1" t="n">
        <v>0.006708622</v>
      </c>
      <c r="M329" s="1" t="n">
        <v>0.006738663</v>
      </c>
      <c r="N329" s="1" t="n">
        <v>0.007438421</v>
      </c>
      <c r="O329" s="1" t="n">
        <v>0.007026434</v>
      </c>
      <c r="P329" s="1" t="n">
        <v>0.00693202</v>
      </c>
      <c r="R329" s="1" t="n">
        <f aca="false">PERCENTILE(G329:P329,0.9)</f>
        <v>0.0075529812</v>
      </c>
      <c r="S329" s="5" t="n">
        <f aca="false">spmv_1!R$18/R329</f>
        <v>10.2659766715691</v>
      </c>
      <c r="T329" s="6" t="n">
        <f aca="false">S329/64</f>
        <v>0.160405885493267</v>
      </c>
    </row>
    <row r="330" customFormat="false" ht="15" hidden="false" customHeight="false" outlineLevel="0" collapsed="false">
      <c r="A330" s="1" t="s">
        <v>19</v>
      </c>
      <c r="B330" s="1" t="n">
        <v>60</v>
      </c>
      <c r="D330" s="1" t="n">
        <v>580493</v>
      </c>
      <c r="E330" s="1" t="n">
        <v>0.16794</v>
      </c>
      <c r="G330" s="1" t="n">
        <v>0.008429766</v>
      </c>
      <c r="H330" s="1" t="n">
        <v>0.006706953</v>
      </c>
      <c r="I330" s="1" t="n">
        <v>0.006294489</v>
      </c>
      <c r="J330" s="1" t="n">
        <v>0.006747246</v>
      </c>
      <c r="K330" s="1" t="n">
        <v>0.00690341</v>
      </c>
      <c r="L330" s="1" t="n">
        <v>0.006554604</v>
      </c>
      <c r="M330" s="1" t="n">
        <v>0.006597996</v>
      </c>
      <c r="N330" s="1" t="n">
        <v>0.007287979</v>
      </c>
      <c r="O330" s="1" t="n">
        <v>0.00686264</v>
      </c>
      <c r="P330" s="1" t="n">
        <v>0.006746054</v>
      </c>
      <c r="R330" s="1" t="n">
        <f aca="false">PERCENTILE(G330:P330,0.9)</f>
        <v>0.0074021577</v>
      </c>
      <c r="S330" s="5" t="n">
        <f aca="false">spmv_1!R$18/R330</f>
        <v>10.4751522383804</v>
      </c>
      <c r="T330" s="6" t="n">
        <f aca="false">S330/64</f>
        <v>0.163674253724694</v>
      </c>
    </row>
    <row r="331" customFormat="false" ht="15" hidden="false" customHeight="false" outlineLevel="0" collapsed="false">
      <c r="A331" s="1" t="s">
        <v>19</v>
      </c>
      <c r="B331" s="1" t="n">
        <v>61</v>
      </c>
      <c r="D331" s="1" t="n">
        <v>574727</v>
      </c>
      <c r="E331" s="1" t="n">
        <v>0.170778</v>
      </c>
      <c r="G331" s="1" t="n">
        <v>0.008200169</v>
      </c>
      <c r="H331" s="1" t="n">
        <v>0.006554604</v>
      </c>
      <c r="I331" s="1" t="n">
        <v>0.006115437</v>
      </c>
      <c r="J331" s="1" t="n">
        <v>0.006598234</v>
      </c>
      <c r="K331" s="1" t="n">
        <v>0.006672382</v>
      </c>
      <c r="L331" s="1" t="n">
        <v>0.006296396</v>
      </c>
      <c r="M331" s="1" t="n">
        <v>0.006466866</v>
      </c>
      <c r="N331" s="1" t="n">
        <v>0.007145882</v>
      </c>
      <c r="O331" s="1" t="n">
        <v>0.006659985</v>
      </c>
      <c r="P331" s="1" t="n">
        <v>0.006596804</v>
      </c>
      <c r="R331" s="1" t="n">
        <f aca="false">PERCENTILE(G331:P331,0.9)</f>
        <v>0.0072513107</v>
      </c>
      <c r="S331" s="5" t="n">
        <f aca="false">spmv_1!R$18/R331</f>
        <v>10.6930639173963</v>
      </c>
      <c r="T331" s="6" t="n">
        <f aca="false">S331/64</f>
        <v>0.167079123709318</v>
      </c>
    </row>
    <row r="332" customFormat="false" ht="15" hidden="false" customHeight="false" outlineLevel="0" collapsed="false">
      <c r="A332" s="1" t="s">
        <v>19</v>
      </c>
      <c r="B332" s="1" t="n">
        <v>62</v>
      </c>
      <c r="D332" s="1" t="n">
        <v>572002</v>
      </c>
      <c r="E332" s="1" t="n">
        <v>0.180166</v>
      </c>
      <c r="G332" s="1" t="n">
        <v>0.007926464</v>
      </c>
      <c r="H332" s="1" t="n">
        <v>0.006202459</v>
      </c>
      <c r="I332" s="1" t="n">
        <v>0.005747557</v>
      </c>
      <c r="J332" s="1" t="n">
        <v>0.006236553</v>
      </c>
      <c r="K332" s="1" t="n">
        <v>0.006379843</v>
      </c>
      <c r="L332" s="1" t="n">
        <v>0.005917549</v>
      </c>
      <c r="M332" s="1" t="n">
        <v>0.006114244</v>
      </c>
      <c r="N332" s="1" t="n">
        <v>0.006387472</v>
      </c>
      <c r="O332" s="1" t="n">
        <v>0.006356955</v>
      </c>
      <c r="P332" s="1" t="n">
        <v>0.00622797</v>
      </c>
      <c r="R332" s="1" t="n">
        <f aca="false">PERCENTILE(G332:P332,0.9)</f>
        <v>0.0065413712</v>
      </c>
      <c r="S332" s="5" t="n">
        <f aca="false">spmv_1!R$18/R332</f>
        <v>11.8535894737177</v>
      </c>
      <c r="T332" s="6" t="n">
        <f aca="false">S332/64</f>
        <v>0.185212335526839</v>
      </c>
    </row>
    <row r="333" customFormat="false" ht="15" hidden="false" customHeight="false" outlineLevel="0" collapsed="false">
      <c r="A333" s="1" t="s">
        <v>19</v>
      </c>
      <c r="B333" s="1" t="n">
        <v>63</v>
      </c>
      <c r="D333" s="1" t="n">
        <v>595349</v>
      </c>
      <c r="E333" s="1" t="n">
        <v>0.188767</v>
      </c>
      <c r="G333" s="1" t="n">
        <v>0.007790327</v>
      </c>
      <c r="H333" s="1" t="n">
        <v>0.00621295</v>
      </c>
      <c r="I333" s="1" t="n">
        <v>0.005772114</v>
      </c>
      <c r="J333" s="1" t="n">
        <v>0.00612855</v>
      </c>
      <c r="K333" s="1" t="n">
        <v>0.006317616</v>
      </c>
      <c r="L333" s="1" t="n">
        <v>0.005950928</v>
      </c>
      <c r="M333" s="1" t="n">
        <v>0.00613904</v>
      </c>
      <c r="N333" s="1" t="n">
        <v>0.006279707</v>
      </c>
      <c r="O333" s="1" t="n">
        <v>0.006210566</v>
      </c>
      <c r="P333" s="1" t="n">
        <v>0.006275892</v>
      </c>
      <c r="R333" s="1" t="n">
        <f aca="false">PERCENTILE(G333:P333,0.9)</f>
        <v>0.0064648871</v>
      </c>
      <c r="S333" s="5" t="n">
        <f aca="false">spmv_1!R$18/R333</f>
        <v>11.9938256617041</v>
      </c>
      <c r="T333" s="6" t="n">
        <f aca="false">S333/64</f>
        <v>0.187403525964127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33"/>
  <sheetViews>
    <sheetView showFormulas="false" showGridLines="true" showRowColHeaders="true" showZeros="true" rightToLeft="false" tabSelected="false" showOutlineSymbols="true" defaultGridColor="true" view="normal" topLeftCell="A65" colorId="64" zoomScale="100" zoomScaleNormal="100" zoomScalePageLayoutView="100" workbookViewId="0">
      <selection pane="topLeft" activeCell="T270" activeCellId="0" sqref="T270"/>
    </sheetView>
  </sheetViews>
  <sheetFormatPr defaultColWidth="8.6171875" defaultRowHeight="15" customHeight="true" zeroHeight="false" outlineLevelRow="0" outlineLevelCol="0"/>
  <cols>
    <col collapsed="false" customWidth="true" hidden="false" outlineLevel="0" max="1" min="1" style="1" width="13.34"/>
    <col collapsed="false" customWidth="true" hidden="false" outlineLevel="0" max="3" min="3" style="1" width="6.25"/>
    <col collapsed="false" customWidth="true" hidden="false" outlineLevel="0" max="5" min="4" style="1" width="13.34"/>
    <col collapsed="false" customWidth="true" hidden="false" outlineLevel="0" max="6" min="6" style="1" width="6.25"/>
    <col collapsed="false" customWidth="true" hidden="false" outlineLevel="0" max="16" min="7" style="1" width="13.34"/>
    <col collapsed="false" customWidth="true" hidden="false" outlineLevel="0" max="17" min="17" style="1" width="6.25"/>
    <col collapsed="false" customWidth="true" hidden="false" outlineLevel="0" max="18" min="18" style="1" width="13.34"/>
    <col collapsed="false" customWidth="true" hidden="false" outlineLevel="0" max="19" min="19" style="5" width="13.34"/>
    <col collapsed="false" customWidth="true" hidden="false" outlineLevel="0" max="20" min="20" style="6" width="13.34"/>
    <col collapsed="false" customWidth="true" hidden="false" outlineLevel="0" max="16384" min="16384" style="1" width="10.49"/>
  </cols>
  <sheetData>
    <row r="1" customFormat="false" ht="15" hidden="false" customHeight="false" outlineLevel="0" collapsed="false">
      <c r="A1" s="2" t="s">
        <v>0</v>
      </c>
      <c r="B1" s="2" t="s">
        <v>1</v>
      </c>
      <c r="C1" s="3"/>
      <c r="D1" s="2" t="s">
        <v>2</v>
      </c>
      <c r="E1" s="2" t="s">
        <v>3</v>
      </c>
      <c r="F1" s="3"/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R1" s="4" t="s">
        <v>14</v>
      </c>
      <c r="S1" s="7" t="s">
        <v>20</v>
      </c>
      <c r="T1" s="8" t="s">
        <v>21</v>
      </c>
    </row>
    <row r="2" customFormat="false" ht="15" hidden="false" customHeight="false" outlineLevel="0" collapsed="false">
      <c r="A2" s="1" t="s">
        <v>15</v>
      </c>
      <c r="B2" s="1" t="n">
        <v>0</v>
      </c>
      <c r="D2" s="1" t="n">
        <v>168709</v>
      </c>
      <c r="E2" s="1" t="n">
        <v>0.118393</v>
      </c>
      <c r="G2" s="1" t="n">
        <v>0.00480938</v>
      </c>
      <c r="H2" s="1" t="n">
        <v>0.004929543</v>
      </c>
      <c r="I2" s="1" t="n">
        <v>0.004833937</v>
      </c>
      <c r="J2" s="1" t="n">
        <v>0.002339125</v>
      </c>
      <c r="K2" s="1" t="n">
        <v>0.001988411</v>
      </c>
      <c r="L2" s="1" t="n">
        <v>0.002251148</v>
      </c>
      <c r="M2" s="1" t="n">
        <v>0.001795769</v>
      </c>
      <c r="N2" s="1" t="n">
        <v>0.001867771</v>
      </c>
      <c r="O2" s="1" t="n">
        <v>0.001897812</v>
      </c>
      <c r="P2" s="1" t="n">
        <v>0.001786947</v>
      </c>
      <c r="R2" s="1" t="n">
        <f aca="false">PERCENTILE(G2:P2,0.9)</f>
        <v>0.0048434976</v>
      </c>
      <c r="S2" s="5" t="n">
        <f aca="false">spmv_1!R$2/R2</f>
        <v>3.59724518083791</v>
      </c>
      <c r="T2" s="6" t="n">
        <f aca="false">S2/64</f>
        <v>0.0562069559505924</v>
      </c>
    </row>
    <row r="3" customFormat="false" ht="15" hidden="false" customHeight="false" outlineLevel="0" collapsed="false">
      <c r="A3" s="1" t="s">
        <v>15</v>
      </c>
      <c r="B3" s="1" t="n">
        <v>1</v>
      </c>
      <c r="D3" s="1" t="n">
        <v>168720</v>
      </c>
      <c r="E3" s="1" t="n">
        <v>0.122237</v>
      </c>
      <c r="G3" s="1" t="n">
        <v>0.004819393</v>
      </c>
      <c r="H3" s="1" t="n">
        <v>0.004808187</v>
      </c>
      <c r="I3" s="1" t="n">
        <v>0.004734039</v>
      </c>
      <c r="J3" s="1" t="n">
        <v>0.002230644</v>
      </c>
      <c r="K3" s="1" t="n">
        <v>0.001874924</v>
      </c>
      <c r="L3" s="1" t="n">
        <v>0.002146006</v>
      </c>
      <c r="M3" s="1" t="n">
        <v>0.001713514</v>
      </c>
      <c r="N3" s="1" t="n">
        <v>0.001791239</v>
      </c>
      <c r="O3" s="1" t="n">
        <v>0.001804113</v>
      </c>
      <c r="P3" s="1" t="n">
        <v>0.001683235</v>
      </c>
      <c r="R3" s="1" t="n">
        <f aca="false">PERCENTILE(G3:P3,0.9)</f>
        <v>0.0048093076</v>
      </c>
      <c r="S3" s="5" t="n">
        <f aca="false">spmv_1!R$2/R3</f>
        <v>3.62281846975228</v>
      </c>
      <c r="T3" s="6" t="n">
        <f aca="false">S3/64</f>
        <v>0.0566065385898793</v>
      </c>
    </row>
    <row r="4" customFormat="false" ht="15" hidden="false" customHeight="false" outlineLevel="0" collapsed="false">
      <c r="A4" s="1" t="s">
        <v>15</v>
      </c>
      <c r="B4" s="1" t="n">
        <v>2</v>
      </c>
      <c r="D4" s="1" t="n">
        <v>167161</v>
      </c>
      <c r="E4" s="1" t="n">
        <v>0.122229</v>
      </c>
      <c r="G4" s="1" t="n">
        <v>0.004626989</v>
      </c>
      <c r="H4" s="1" t="n">
        <v>0.004791975</v>
      </c>
      <c r="I4" s="1" t="n">
        <v>0.004706383</v>
      </c>
      <c r="J4" s="1" t="n">
        <v>0.002214909</v>
      </c>
      <c r="K4" s="1" t="n">
        <v>0.001859903</v>
      </c>
      <c r="L4" s="1" t="n">
        <v>0.002145529</v>
      </c>
      <c r="M4" s="1" t="n">
        <v>0.001714706</v>
      </c>
      <c r="N4" s="1" t="n">
        <v>0.001793146</v>
      </c>
      <c r="O4" s="1" t="n">
        <v>0.001811504</v>
      </c>
      <c r="P4" s="1" t="n">
        <v>0.00168705</v>
      </c>
      <c r="R4" s="1" t="n">
        <f aca="false">PERCENTILE(G4:P4,0.9)</f>
        <v>0.0047149422</v>
      </c>
      <c r="S4" s="5" t="n">
        <f aca="false">spmv_1!R$2/R4</f>
        <v>3.69532597875749</v>
      </c>
      <c r="T4" s="6" t="n">
        <f aca="false">S4/64</f>
        <v>0.0577394684180858</v>
      </c>
    </row>
    <row r="5" customFormat="false" ht="15" hidden="false" customHeight="false" outlineLevel="0" collapsed="false">
      <c r="A5" s="1" t="s">
        <v>15</v>
      </c>
      <c r="B5" s="1" t="n">
        <v>3</v>
      </c>
      <c r="D5" s="1" t="n">
        <v>166269</v>
      </c>
      <c r="E5" s="1" t="n">
        <v>0.123275</v>
      </c>
      <c r="G5" s="1" t="n">
        <v>0.004534245</v>
      </c>
      <c r="H5" s="1" t="n">
        <v>0.004653931</v>
      </c>
      <c r="I5" s="1" t="n">
        <v>0.004652023</v>
      </c>
      <c r="J5" s="1" t="n">
        <v>0.00220418</v>
      </c>
      <c r="K5" s="1" t="n">
        <v>0.001843214</v>
      </c>
      <c r="L5" s="1" t="n">
        <v>0.002132177</v>
      </c>
      <c r="M5" s="1" t="n">
        <v>0.001701355</v>
      </c>
      <c r="N5" s="1" t="n">
        <v>0.001770735</v>
      </c>
      <c r="O5" s="1" t="n">
        <v>0.001805544</v>
      </c>
      <c r="P5" s="1" t="n">
        <v>0.00167799</v>
      </c>
      <c r="R5" s="1" t="n">
        <f aca="false">PERCENTILE(G5:P5,0.9)</f>
        <v>0.0046522138</v>
      </c>
      <c r="S5" s="5" t="n">
        <f aca="false">spmv_1!R$2/R5</f>
        <v>3.74515212520972</v>
      </c>
      <c r="T5" s="6" t="n">
        <f aca="false">S5/64</f>
        <v>0.0585180019564019</v>
      </c>
    </row>
    <row r="6" customFormat="false" ht="15" hidden="false" customHeight="false" outlineLevel="0" collapsed="false">
      <c r="A6" s="1" t="s">
        <v>15</v>
      </c>
      <c r="B6" s="1" t="n">
        <v>4</v>
      </c>
      <c r="D6" s="1" t="n">
        <v>165666</v>
      </c>
      <c r="E6" s="1" t="n">
        <v>0.123999</v>
      </c>
      <c r="G6" s="1" t="n">
        <v>0.004520893</v>
      </c>
      <c r="H6" s="1" t="n">
        <v>0.004616499</v>
      </c>
      <c r="I6" s="1" t="n">
        <v>0.00458169</v>
      </c>
      <c r="J6" s="1" t="n">
        <v>0.002186775</v>
      </c>
      <c r="K6" s="1" t="n">
        <v>0.001834393</v>
      </c>
      <c r="L6" s="1" t="n">
        <v>0.002117395</v>
      </c>
      <c r="M6" s="1" t="n">
        <v>0.001670361</v>
      </c>
      <c r="N6" s="1" t="n">
        <v>0.001749992</v>
      </c>
      <c r="O6" s="1" t="n">
        <v>0.001786947</v>
      </c>
      <c r="P6" s="1" t="n">
        <v>0.001655579</v>
      </c>
      <c r="R6" s="1" t="n">
        <f aca="false">PERCENTILE(G6:P6,0.9)</f>
        <v>0.0045851709</v>
      </c>
      <c r="S6" s="5" t="n">
        <f aca="false">spmv_1!R$2/R6</f>
        <v>3.79991253979214</v>
      </c>
      <c r="T6" s="6" t="n">
        <f aca="false">S6/64</f>
        <v>0.0593736334342521</v>
      </c>
    </row>
    <row r="7" customFormat="false" ht="15" hidden="false" customHeight="false" outlineLevel="0" collapsed="false">
      <c r="A7" s="1" t="s">
        <v>15</v>
      </c>
      <c r="B7" s="1" t="n">
        <v>5</v>
      </c>
      <c r="D7" s="1" t="n">
        <v>166190</v>
      </c>
      <c r="E7" s="1" t="n">
        <v>0.124883</v>
      </c>
      <c r="G7" s="1" t="n">
        <v>0.004500628</v>
      </c>
      <c r="H7" s="1" t="n">
        <v>0.004603863</v>
      </c>
      <c r="I7" s="1" t="n">
        <v>0.004565954</v>
      </c>
      <c r="J7" s="1" t="n">
        <v>0.002178907</v>
      </c>
      <c r="K7" s="1" t="n">
        <v>0.001820326</v>
      </c>
      <c r="L7" s="1" t="n">
        <v>0.002116919</v>
      </c>
      <c r="M7" s="1" t="n">
        <v>0.001670599</v>
      </c>
      <c r="N7" s="1" t="n">
        <v>0.001738071</v>
      </c>
      <c r="O7" s="1" t="n">
        <v>0.001778126</v>
      </c>
      <c r="P7" s="1" t="n">
        <v>0.001641989</v>
      </c>
      <c r="R7" s="1" t="n">
        <f aca="false">PERCENTILE(G7:P7,0.9)</f>
        <v>0.0045697449</v>
      </c>
      <c r="S7" s="5" t="n">
        <f aca="false">spmv_1!R$2/R7</f>
        <v>3.81273983149475</v>
      </c>
      <c r="T7" s="6" t="n">
        <f aca="false">S7/64</f>
        <v>0.0595740598671055</v>
      </c>
    </row>
    <row r="8" customFormat="false" ht="15" hidden="false" customHeight="false" outlineLevel="0" collapsed="false">
      <c r="A8" s="1" t="s">
        <v>15</v>
      </c>
      <c r="B8" s="1" t="n">
        <v>6</v>
      </c>
      <c r="D8" s="1" t="n">
        <v>165630</v>
      </c>
      <c r="E8" s="1" t="n">
        <v>0.127044</v>
      </c>
      <c r="G8" s="1" t="n">
        <v>0.004352331</v>
      </c>
      <c r="H8" s="1" t="n">
        <v>0.004451036</v>
      </c>
      <c r="I8" s="1" t="n">
        <v>0.004479408</v>
      </c>
      <c r="J8" s="1" t="n">
        <v>0.002161741</v>
      </c>
      <c r="K8" s="1" t="n">
        <v>0.001815081</v>
      </c>
      <c r="L8" s="1" t="n">
        <v>0.002080679</v>
      </c>
      <c r="M8" s="1" t="n">
        <v>0.001651764</v>
      </c>
      <c r="N8" s="1" t="n">
        <v>0.001714468</v>
      </c>
      <c r="O8" s="1" t="n">
        <v>0.001753569</v>
      </c>
      <c r="P8" s="1" t="n">
        <v>0.001614332</v>
      </c>
      <c r="R8" s="1" t="n">
        <f aca="false">PERCENTILE(G8:P8,0.9)</f>
        <v>0.0044538732</v>
      </c>
      <c r="S8" s="5" t="n">
        <f aca="false">spmv_1!R$2/R8</f>
        <v>3.91193184395101</v>
      </c>
      <c r="T8" s="6" t="n">
        <f aca="false">S8/64</f>
        <v>0.0611239350617346</v>
      </c>
    </row>
    <row r="9" customFormat="false" ht="15" hidden="false" customHeight="false" outlineLevel="0" collapsed="false">
      <c r="A9" s="1" t="s">
        <v>15</v>
      </c>
      <c r="B9" s="1" t="n">
        <v>7</v>
      </c>
      <c r="D9" s="1" t="n">
        <v>165732</v>
      </c>
      <c r="E9" s="1" t="n">
        <v>0.129034</v>
      </c>
      <c r="G9" s="1" t="n">
        <v>0.004232168</v>
      </c>
      <c r="H9" s="1" t="n">
        <v>0.004304409</v>
      </c>
      <c r="I9" s="1" t="n">
        <v>0.004462481</v>
      </c>
      <c r="J9" s="1" t="n">
        <v>0.002164841</v>
      </c>
      <c r="K9" s="1" t="n">
        <v>0.00179863</v>
      </c>
      <c r="L9" s="1" t="n">
        <v>0.00206542</v>
      </c>
      <c r="M9" s="1" t="n">
        <v>0.001632214</v>
      </c>
      <c r="N9" s="1" t="n">
        <v>0.001697302</v>
      </c>
      <c r="O9" s="1" t="n">
        <v>0.00173378</v>
      </c>
      <c r="P9" s="1" t="n">
        <v>0.001596928</v>
      </c>
      <c r="R9" s="1" t="n">
        <f aca="false">PERCENTILE(G9:P9,0.9)</f>
        <v>0.0043202162</v>
      </c>
      <c r="S9" s="5" t="n">
        <f aca="false">spmv_1!R$2/R9</f>
        <v>4.03295751726499</v>
      </c>
      <c r="T9" s="6" t="n">
        <f aca="false">S9/64</f>
        <v>0.0630149612072655</v>
      </c>
    </row>
    <row r="10" customFormat="false" ht="15" hidden="false" customHeight="false" outlineLevel="0" collapsed="false">
      <c r="A10" s="1" t="s">
        <v>15</v>
      </c>
      <c r="B10" s="1" t="n">
        <v>8</v>
      </c>
      <c r="D10" s="1" t="n">
        <v>165536</v>
      </c>
      <c r="E10" s="1" t="n">
        <v>0.129812</v>
      </c>
      <c r="G10" s="1" t="n">
        <v>0.00425458</v>
      </c>
      <c r="H10" s="1" t="n">
        <v>0.004193544</v>
      </c>
      <c r="I10" s="1" t="n">
        <v>0.00441432</v>
      </c>
      <c r="J10" s="1" t="n">
        <v>0.002141476</v>
      </c>
      <c r="K10" s="1" t="n">
        <v>0.001791239</v>
      </c>
      <c r="L10" s="1" t="n">
        <v>0.00206995</v>
      </c>
      <c r="M10" s="1" t="n">
        <v>0.001633167</v>
      </c>
      <c r="N10" s="1" t="n">
        <v>0.001683474</v>
      </c>
      <c r="O10" s="1" t="n">
        <v>0.001728773</v>
      </c>
      <c r="P10" s="1" t="n">
        <v>0.001593351</v>
      </c>
      <c r="R10" s="1" t="n">
        <f aca="false">PERCENTILE(G10:P10,0.9)</f>
        <v>0.004270554</v>
      </c>
      <c r="S10" s="5" t="n">
        <f aca="false">spmv_1!R$2/R10</f>
        <v>4.07985671179898</v>
      </c>
      <c r="T10" s="6" t="n">
        <f aca="false">S10/64</f>
        <v>0.0637477611218591</v>
      </c>
    </row>
    <row r="11" customFormat="false" ht="15" hidden="false" customHeight="false" outlineLevel="0" collapsed="false">
      <c r="A11" s="1" t="s">
        <v>15</v>
      </c>
      <c r="B11" s="1" t="n">
        <v>9</v>
      </c>
      <c r="D11" s="1" t="n">
        <v>165735</v>
      </c>
      <c r="E11" s="1" t="n">
        <v>0.131637</v>
      </c>
      <c r="G11" s="1" t="n">
        <v>0.004045248</v>
      </c>
      <c r="H11" s="1" t="n">
        <v>0.004179239</v>
      </c>
      <c r="I11" s="1" t="n">
        <v>0.004397631</v>
      </c>
      <c r="J11" s="1" t="n">
        <v>0.002140522</v>
      </c>
      <c r="K11" s="1" t="n">
        <v>0.001788378</v>
      </c>
      <c r="L11" s="1" t="n">
        <v>0.002048731</v>
      </c>
      <c r="M11" s="1" t="n">
        <v>0.001623631</v>
      </c>
      <c r="N11" s="1" t="n">
        <v>0.001670837</v>
      </c>
      <c r="O11" s="1" t="n">
        <v>0.001710892</v>
      </c>
      <c r="P11" s="1" t="n">
        <v>0.00157547</v>
      </c>
      <c r="R11" s="1" t="n">
        <f aca="false">PERCENTILE(G11:P11,0.9)</f>
        <v>0.0042010782</v>
      </c>
      <c r="S11" s="5" t="n">
        <f aca="false">spmv_1!R$2/R11</f>
        <v>4.14732779789722</v>
      </c>
      <c r="T11" s="6" t="n">
        <f aca="false">S11/64</f>
        <v>0.064801996842144</v>
      </c>
    </row>
    <row r="12" customFormat="false" ht="15" hidden="false" customHeight="false" outlineLevel="0" collapsed="false">
      <c r="A12" s="1" t="s">
        <v>15</v>
      </c>
      <c r="B12" s="1" t="n">
        <v>10</v>
      </c>
      <c r="D12" s="1" t="n">
        <v>165583</v>
      </c>
      <c r="E12" s="1" t="n">
        <v>0.132133</v>
      </c>
      <c r="G12" s="1" t="n">
        <v>0.004119873</v>
      </c>
      <c r="H12" s="1" t="n">
        <v>0.004143238</v>
      </c>
      <c r="I12" s="1" t="n">
        <v>0.004368305</v>
      </c>
      <c r="J12" s="1" t="n">
        <v>0.002119541</v>
      </c>
      <c r="K12" s="1" t="n">
        <v>0.001776218</v>
      </c>
      <c r="L12" s="1" t="n">
        <v>0.002041101</v>
      </c>
      <c r="M12" s="1" t="n">
        <v>0.001600266</v>
      </c>
      <c r="N12" s="1" t="n">
        <v>0.001655579</v>
      </c>
      <c r="O12" s="1" t="n">
        <v>0.001682043</v>
      </c>
      <c r="P12" s="1" t="n">
        <v>0.001556873</v>
      </c>
      <c r="R12" s="1" t="n">
        <f aca="false">PERCENTILE(G12:P12,0.9)</f>
        <v>0.0041657447</v>
      </c>
      <c r="S12" s="5" t="n">
        <f aca="false">spmv_1!R$2/R12</f>
        <v>4.18250508726567</v>
      </c>
      <c r="T12" s="6" t="n">
        <f aca="false">S12/64</f>
        <v>0.0653516419885261</v>
      </c>
    </row>
    <row r="13" customFormat="false" ht="15" hidden="false" customHeight="false" outlineLevel="0" collapsed="false">
      <c r="A13" s="1" t="s">
        <v>15</v>
      </c>
      <c r="B13" s="1" t="n">
        <v>11</v>
      </c>
      <c r="D13" s="1" t="n">
        <v>166049</v>
      </c>
      <c r="E13" s="1" t="n">
        <v>0.135643</v>
      </c>
      <c r="G13" s="1" t="n">
        <v>0.003804684</v>
      </c>
      <c r="H13" s="1" t="n">
        <v>0.004117012</v>
      </c>
      <c r="I13" s="1" t="n">
        <v>0.00432086</v>
      </c>
      <c r="J13" s="1" t="n">
        <v>0.002111673</v>
      </c>
      <c r="K13" s="1" t="n">
        <v>0.001740694</v>
      </c>
      <c r="L13" s="1" t="n">
        <v>0.0020051</v>
      </c>
      <c r="M13" s="1" t="n">
        <v>0.001564264</v>
      </c>
      <c r="N13" s="1" t="n">
        <v>0.001635313</v>
      </c>
      <c r="O13" s="1" t="n">
        <v>0.001649857</v>
      </c>
      <c r="P13" s="1" t="n">
        <v>0.001533747</v>
      </c>
      <c r="R13" s="1" t="n">
        <f aca="false">PERCENTILE(G13:P13,0.9)</f>
        <v>0.0041373968</v>
      </c>
      <c r="S13" s="5" t="n">
        <f aca="false">spmv_1!R$2/R13</f>
        <v>4.21116205242871</v>
      </c>
      <c r="T13" s="6" t="n">
        <f aca="false">S13/64</f>
        <v>0.0657994070691987</v>
      </c>
    </row>
    <row r="14" customFormat="false" ht="15" hidden="false" customHeight="false" outlineLevel="0" collapsed="false">
      <c r="A14" s="1" t="s">
        <v>15</v>
      </c>
      <c r="B14" s="1" t="n">
        <v>12</v>
      </c>
      <c r="D14" s="1" t="n">
        <v>166601</v>
      </c>
      <c r="E14" s="1" t="n">
        <v>0.136685</v>
      </c>
      <c r="G14" s="1" t="n">
        <v>0.003822803</v>
      </c>
      <c r="H14" s="1" t="n">
        <v>0.00399971</v>
      </c>
      <c r="I14" s="1" t="n">
        <v>0.004301548</v>
      </c>
      <c r="J14" s="1" t="n">
        <v>0.002102137</v>
      </c>
      <c r="K14" s="1" t="n">
        <v>0.001747847</v>
      </c>
      <c r="L14" s="1" t="n">
        <v>0.00201273</v>
      </c>
      <c r="M14" s="1" t="n">
        <v>0.001571655</v>
      </c>
      <c r="N14" s="1" t="n">
        <v>0.001639605</v>
      </c>
      <c r="O14" s="1" t="n">
        <v>0.001649857</v>
      </c>
      <c r="P14" s="1" t="n">
        <v>0.001529455</v>
      </c>
      <c r="R14" s="1" t="n">
        <f aca="false">PERCENTILE(G14:P14,0.9)</f>
        <v>0.0040298938</v>
      </c>
      <c r="S14" s="5" t="n">
        <f aca="false">spmv_1!R$2/R14</f>
        <v>4.32350063418545</v>
      </c>
      <c r="T14" s="6" t="n">
        <f aca="false">S14/64</f>
        <v>0.0675546974091476</v>
      </c>
    </row>
    <row r="15" customFormat="false" ht="15" hidden="false" customHeight="false" outlineLevel="0" collapsed="false">
      <c r="A15" s="1" t="s">
        <v>15</v>
      </c>
      <c r="B15" s="1" t="n">
        <v>13</v>
      </c>
      <c r="D15" s="1" t="n">
        <v>167120</v>
      </c>
      <c r="E15" s="1" t="n">
        <v>0.138488</v>
      </c>
      <c r="G15" s="1" t="n">
        <v>0.003825665</v>
      </c>
      <c r="H15" s="1" t="n">
        <v>0.003981829</v>
      </c>
      <c r="I15" s="1" t="n">
        <v>0.004215002</v>
      </c>
      <c r="J15" s="1" t="n">
        <v>0.002086401</v>
      </c>
      <c r="K15" s="1" t="n">
        <v>0.001726627</v>
      </c>
      <c r="L15" s="1" t="n">
        <v>0.001980066</v>
      </c>
      <c r="M15" s="1" t="n">
        <v>0.00154686</v>
      </c>
      <c r="N15" s="1" t="n">
        <v>0.001621485</v>
      </c>
      <c r="O15" s="1" t="n">
        <v>0.001634121</v>
      </c>
      <c r="P15" s="1" t="n">
        <v>0.001516819</v>
      </c>
      <c r="R15" s="1" t="n">
        <f aca="false">PERCENTILE(G15:P15,0.9)</f>
        <v>0.0040051463</v>
      </c>
      <c r="S15" s="5" t="n">
        <f aca="false">spmv_1!R$2/R15</f>
        <v>4.35021522185095</v>
      </c>
      <c r="T15" s="6" t="n">
        <f aca="false">S15/64</f>
        <v>0.0679721128414211</v>
      </c>
    </row>
    <row r="16" customFormat="false" ht="15" hidden="false" customHeight="false" outlineLevel="0" collapsed="false">
      <c r="A16" s="1" t="s">
        <v>15</v>
      </c>
      <c r="B16" s="1" t="n">
        <v>14</v>
      </c>
      <c r="D16" s="1" t="n">
        <v>166413</v>
      </c>
      <c r="E16" s="1" t="n">
        <v>0.131926</v>
      </c>
      <c r="G16" s="1" t="n">
        <v>0.003911257</v>
      </c>
      <c r="H16" s="1" t="n">
        <v>0.004157543</v>
      </c>
      <c r="I16" s="1" t="n">
        <v>0.004254341</v>
      </c>
      <c r="J16" s="1" t="n">
        <v>0.002222538</v>
      </c>
      <c r="K16" s="1" t="n">
        <v>0.001846552</v>
      </c>
      <c r="L16" s="1" t="n">
        <v>0.002086639</v>
      </c>
      <c r="M16" s="1" t="n">
        <v>0.001669168</v>
      </c>
      <c r="N16" s="1" t="n">
        <v>0.00172925</v>
      </c>
      <c r="O16" s="1" t="n">
        <v>0.001723289</v>
      </c>
      <c r="P16" s="1" t="n">
        <v>0.001627684</v>
      </c>
      <c r="R16" s="1" t="n">
        <f aca="false">PERCENTILE(G16:P16,0.9)</f>
        <v>0.0041672228</v>
      </c>
      <c r="S16" s="5" t="n">
        <f aca="false">spmv_1!R$2/R16</f>
        <v>4.18102156668945</v>
      </c>
      <c r="T16" s="6" t="n">
        <f aca="false">S16/64</f>
        <v>0.0653284619795227</v>
      </c>
    </row>
    <row r="17" customFormat="false" ht="15" hidden="false" customHeight="false" outlineLevel="0" collapsed="false">
      <c r="A17" s="1" t="s">
        <v>15</v>
      </c>
      <c r="B17" s="1" t="n">
        <v>15</v>
      </c>
      <c r="D17" s="1" t="n">
        <v>165825</v>
      </c>
      <c r="E17" s="1" t="n">
        <v>0.139821</v>
      </c>
      <c r="G17" s="1" t="n">
        <v>0.003883123</v>
      </c>
      <c r="H17" s="1" t="n">
        <v>0.003996372</v>
      </c>
      <c r="I17" s="1" t="n">
        <v>0.004093647</v>
      </c>
      <c r="J17" s="1" t="n">
        <v>0.00205183</v>
      </c>
      <c r="K17" s="1" t="n">
        <v>0.001662016</v>
      </c>
      <c r="L17" s="1" t="n">
        <v>0.001933098</v>
      </c>
      <c r="M17" s="1" t="n">
        <v>0.001507759</v>
      </c>
      <c r="N17" s="1" t="n">
        <v>0.001554728</v>
      </c>
      <c r="O17" s="1" t="n">
        <v>0.001565695</v>
      </c>
      <c r="P17" s="1" t="n">
        <v>0.001471281</v>
      </c>
      <c r="R17" s="1" t="n">
        <f aca="false">PERCENTILE(G17:P17,0.9)</f>
        <v>0.0040060995</v>
      </c>
      <c r="S17" s="5" t="n">
        <f aca="false">spmv_1!R$2/R17</f>
        <v>4.34918014392803</v>
      </c>
      <c r="T17" s="6" t="n">
        <f aca="false">S17/64</f>
        <v>0.0679559397488754</v>
      </c>
    </row>
    <row r="18" customFormat="false" ht="15" hidden="false" customHeight="false" outlineLevel="0" collapsed="false">
      <c r="A18" s="1" t="s">
        <v>15</v>
      </c>
      <c r="B18" s="1" t="n">
        <v>16</v>
      </c>
      <c r="D18" s="1" t="n">
        <v>165429</v>
      </c>
      <c r="E18" s="1" t="n">
        <v>0.14049</v>
      </c>
      <c r="G18" s="1" t="n">
        <v>0.003816366</v>
      </c>
      <c r="H18" s="1" t="n">
        <v>0.003983974</v>
      </c>
      <c r="I18" s="1" t="n">
        <v>0.003937483</v>
      </c>
      <c r="J18" s="1" t="n">
        <v>0.002057791</v>
      </c>
      <c r="K18" s="1" t="n">
        <v>0.001672983</v>
      </c>
      <c r="L18" s="1" t="n">
        <v>0.001952171</v>
      </c>
      <c r="M18" s="1" t="n">
        <v>0.001500368</v>
      </c>
      <c r="N18" s="1" t="n">
        <v>0.001572371</v>
      </c>
      <c r="O18" s="1" t="n">
        <v>0.001569986</v>
      </c>
      <c r="P18" s="1" t="n">
        <v>0.001486778</v>
      </c>
      <c r="R18" s="1" t="n">
        <f aca="false">PERCENTILE(G18:P18,0.9)</f>
        <v>0.0039421321</v>
      </c>
      <c r="S18" s="5" t="n">
        <f aca="false">spmv_1!R$2/R18</f>
        <v>4.41975254964185</v>
      </c>
      <c r="T18" s="6" t="n">
        <f aca="false">S18/64</f>
        <v>0.069058633588154</v>
      </c>
    </row>
    <row r="19" customFormat="false" ht="15" hidden="false" customHeight="false" outlineLevel="0" collapsed="false">
      <c r="A19" s="1" t="s">
        <v>15</v>
      </c>
      <c r="B19" s="1" t="n">
        <v>17</v>
      </c>
      <c r="D19" s="1" t="n">
        <v>165393</v>
      </c>
      <c r="E19" s="1" t="n">
        <v>0.138226</v>
      </c>
      <c r="G19" s="1" t="n">
        <v>0.003891706</v>
      </c>
      <c r="H19" s="1" t="n">
        <v>0.004079819</v>
      </c>
      <c r="I19" s="1" t="n">
        <v>0.003923416</v>
      </c>
      <c r="J19" s="1" t="n">
        <v>0.002197742</v>
      </c>
      <c r="K19" s="1" t="n">
        <v>0.001682043</v>
      </c>
      <c r="L19" s="1" t="n">
        <v>0.001951456</v>
      </c>
      <c r="M19" s="1" t="n">
        <v>0.001524687</v>
      </c>
      <c r="N19" s="1" t="n">
        <v>0.001566887</v>
      </c>
      <c r="O19" s="1" t="n">
        <v>0.001598358</v>
      </c>
      <c r="P19" s="1" t="n">
        <v>0.001514673</v>
      </c>
      <c r="R19" s="1" t="n">
        <f aca="false">PERCENTILE(G19:P19,0.9)</f>
        <v>0.0039390563</v>
      </c>
      <c r="S19" s="5" t="n">
        <f aca="false">spmv_1!R$2/R19</f>
        <v>4.42320369983034</v>
      </c>
      <c r="T19" s="6" t="n">
        <f aca="false">S19/64</f>
        <v>0.069112557809849</v>
      </c>
    </row>
    <row r="20" customFormat="false" ht="15" hidden="false" customHeight="false" outlineLevel="0" collapsed="false">
      <c r="A20" s="1" t="s">
        <v>15</v>
      </c>
      <c r="B20" s="1" t="n">
        <v>18</v>
      </c>
      <c r="D20" s="1" t="n">
        <v>165304</v>
      </c>
      <c r="E20" s="1" t="n">
        <v>0.141258</v>
      </c>
      <c r="G20" s="1" t="n">
        <v>0.003863096</v>
      </c>
      <c r="H20" s="1" t="n">
        <v>0.00393486</v>
      </c>
      <c r="I20" s="1" t="n">
        <v>0.003874302</v>
      </c>
      <c r="J20" s="1" t="n">
        <v>0.002179861</v>
      </c>
      <c r="K20" s="1" t="n">
        <v>0.001638412</v>
      </c>
      <c r="L20" s="1" t="n">
        <v>0.001891136</v>
      </c>
      <c r="M20" s="1" t="n">
        <v>0.00148654</v>
      </c>
      <c r="N20" s="1" t="n">
        <v>0.001534462</v>
      </c>
      <c r="O20" s="1" t="n">
        <v>0.001538754</v>
      </c>
      <c r="P20" s="1" t="n">
        <v>0.001463175</v>
      </c>
      <c r="R20" s="1" t="n">
        <f aca="false">PERCENTILE(G20:P20,0.9)</f>
        <v>0.0038803578</v>
      </c>
      <c r="S20" s="5" t="n">
        <f aca="false">spmv_1!R$2/R20</f>
        <v>4.49011387558127</v>
      </c>
      <c r="T20" s="6" t="n">
        <f aca="false">S20/64</f>
        <v>0.0701580293059573</v>
      </c>
    </row>
    <row r="21" customFormat="false" ht="15" hidden="false" customHeight="false" outlineLevel="0" collapsed="false">
      <c r="A21" s="1" t="s">
        <v>15</v>
      </c>
      <c r="B21" s="1" t="n">
        <v>19</v>
      </c>
      <c r="D21" s="1" t="n">
        <v>165378</v>
      </c>
      <c r="E21" s="1" t="n">
        <v>0.140272</v>
      </c>
      <c r="G21" s="1" t="n">
        <v>0.00386095</v>
      </c>
      <c r="H21" s="1" t="n">
        <v>0.004024267</v>
      </c>
      <c r="I21" s="1" t="n">
        <v>0.00377059</v>
      </c>
      <c r="J21" s="1" t="n">
        <v>0.002208471</v>
      </c>
      <c r="K21" s="1" t="n">
        <v>0.001662016</v>
      </c>
      <c r="L21" s="1" t="n">
        <v>0.001918554</v>
      </c>
      <c r="M21" s="1" t="n">
        <v>0.001513004</v>
      </c>
      <c r="N21" s="1" t="n">
        <v>0.001554489</v>
      </c>
      <c r="O21" s="1" t="n">
        <v>0.0015769</v>
      </c>
      <c r="P21" s="1" t="n">
        <v>0.001490355</v>
      </c>
      <c r="R21" s="1" t="n">
        <f aca="false">PERCENTILE(G21:P21,0.9)</f>
        <v>0.0038772817</v>
      </c>
      <c r="S21" s="5" t="n">
        <f aca="false">spmv_1!R$2/R21</f>
        <v>4.49367617524411</v>
      </c>
      <c r="T21" s="6" t="n">
        <f aca="false">S21/64</f>
        <v>0.0702136902381893</v>
      </c>
    </row>
    <row r="22" customFormat="false" ht="15" hidden="false" customHeight="false" outlineLevel="0" collapsed="false">
      <c r="A22" s="1" t="s">
        <v>15</v>
      </c>
      <c r="B22" s="1" t="n">
        <v>20</v>
      </c>
      <c r="D22" s="1" t="n">
        <v>166436</v>
      </c>
      <c r="E22" s="1" t="n">
        <v>0.141963</v>
      </c>
      <c r="G22" s="1" t="n">
        <v>0.003965378</v>
      </c>
      <c r="H22" s="1" t="n">
        <v>0.004029751</v>
      </c>
      <c r="I22" s="1" t="n">
        <v>0.003752232</v>
      </c>
      <c r="J22" s="1" t="n">
        <v>0.002192974</v>
      </c>
      <c r="K22" s="1" t="n">
        <v>0.001634121</v>
      </c>
      <c r="L22" s="1" t="n">
        <v>0.00184989</v>
      </c>
      <c r="M22" s="1" t="n">
        <v>0.001485586</v>
      </c>
      <c r="N22" s="1" t="n">
        <v>0.001527548</v>
      </c>
      <c r="O22" s="1" t="n">
        <v>0.001550674</v>
      </c>
      <c r="P22" s="1" t="n">
        <v>0.001459599</v>
      </c>
      <c r="R22" s="1" t="n">
        <f aca="false">PERCENTILE(G22:P22,0.9)</f>
        <v>0.0039718153</v>
      </c>
      <c r="S22" s="5" t="n">
        <f aca="false">spmv_1!R$2/R22</f>
        <v>4.38672170883676</v>
      </c>
      <c r="T22" s="6" t="n">
        <f aca="false">S22/64</f>
        <v>0.0685425267005744</v>
      </c>
    </row>
    <row r="23" customFormat="false" ht="15" hidden="false" customHeight="false" outlineLevel="0" collapsed="false">
      <c r="A23" s="1" t="s">
        <v>15</v>
      </c>
      <c r="B23" s="1" t="n">
        <v>21</v>
      </c>
      <c r="D23" s="1" t="n">
        <v>168461</v>
      </c>
      <c r="E23" s="1" t="n">
        <v>0.146678</v>
      </c>
      <c r="G23" s="1" t="n">
        <v>0.003970146</v>
      </c>
      <c r="H23" s="1" t="n">
        <v>0.003988266</v>
      </c>
      <c r="I23" s="1" t="n">
        <v>0.003699541</v>
      </c>
      <c r="J23" s="1" t="n">
        <v>0.002159119</v>
      </c>
      <c r="K23" s="1" t="n">
        <v>0.001599789</v>
      </c>
      <c r="L23" s="1" t="n">
        <v>0.001718998</v>
      </c>
      <c r="M23" s="1" t="n">
        <v>0.001447916</v>
      </c>
      <c r="N23" s="1" t="n">
        <v>0.001485109</v>
      </c>
      <c r="O23" s="1" t="n">
        <v>0.00148797</v>
      </c>
      <c r="P23" s="1" t="n">
        <v>0.001413345</v>
      </c>
      <c r="R23" s="1" t="n">
        <f aca="false">PERCENTILE(G23:P23,0.9)</f>
        <v>0.003971958</v>
      </c>
      <c r="S23" s="5" t="n">
        <f aca="false">spmv_1!R$2/R23</f>
        <v>4.38656410767687</v>
      </c>
      <c r="T23" s="6" t="n">
        <f aca="false">S23/64</f>
        <v>0.0685400641824511</v>
      </c>
    </row>
    <row r="24" customFormat="false" ht="15" hidden="false" customHeight="false" outlineLevel="0" collapsed="false">
      <c r="A24" s="1" t="s">
        <v>15</v>
      </c>
      <c r="B24" s="1" t="n">
        <v>22</v>
      </c>
      <c r="D24" s="1" t="n">
        <v>168932</v>
      </c>
      <c r="E24" s="1" t="n">
        <v>0.145375</v>
      </c>
      <c r="G24" s="1" t="n">
        <v>0.003959894</v>
      </c>
      <c r="H24" s="1" t="n">
        <v>0.004073381</v>
      </c>
      <c r="I24" s="1" t="n">
        <v>0.003610134</v>
      </c>
      <c r="J24" s="1" t="n">
        <v>0.002170324</v>
      </c>
      <c r="K24" s="1" t="n">
        <v>0.00164175</v>
      </c>
      <c r="L24" s="1" t="n">
        <v>0.001761436</v>
      </c>
      <c r="M24" s="1" t="n">
        <v>0.001493931</v>
      </c>
      <c r="N24" s="1" t="n">
        <v>0.001524925</v>
      </c>
      <c r="O24" s="1" t="n">
        <v>0.001548052</v>
      </c>
      <c r="P24" s="1" t="n">
        <v>0.001456976</v>
      </c>
      <c r="R24" s="1" t="n">
        <f aca="false">PERCENTILE(G24:P24,0.9)</f>
        <v>0.0039712427</v>
      </c>
      <c r="S24" s="5" t="n">
        <f aca="false">spmv_1!R$2/R24</f>
        <v>4.38735421534423</v>
      </c>
      <c r="T24" s="6" t="n">
        <f aca="false">S24/64</f>
        <v>0.0685524096147536</v>
      </c>
    </row>
    <row r="25" customFormat="false" ht="15" hidden="false" customHeight="false" outlineLevel="0" collapsed="false">
      <c r="A25" s="1" t="s">
        <v>15</v>
      </c>
      <c r="B25" s="1" t="n">
        <v>23</v>
      </c>
      <c r="D25" s="1" t="n">
        <v>168435</v>
      </c>
      <c r="E25" s="1" t="n">
        <v>0.146632</v>
      </c>
      <c r="G25" s="1" t="n">
        <v>0.003846645</v>
      </c>
      <c r="H25" s="1" t="n">
        <v>0.004080534</v>
      </c>
      <c r="I25" s="1" t="n">
        <v>0.003593206</v>
      </c>
      <c r="J25" s="1" t="n">
        <v>0.002159119</v>
      </c>
      <c r="K25" s="1" t="n">
        <v>0.00162673</v>
      </c>
      <c r="L25" s="1" t="n">
        <v>0.001744032</v>
      </c>
      <c r="M25" s="1" t="n">
        <v>0.001461029</v>
      </c>
      <c r="N25" s="1" t="n">
        <v>0.001494169</v>
      </c>
      <c r="O25" s="1" t="n">
        <v>0.001522779</v>
      </c>
      <c r="P25" s="1" t="n">
        <v>0.001445532</v>
      </c>
      <c r="R25" s="1" t="n">
        <f aca="false">PERCENTILE(G25:P25,0.9)</f>
        <v>0.0038700339</v>
      </c>
      <c r="S25" s="5" t="n">
        <f aca="false">spmv_1!R$2/R25</f>
        <v>4.50209193257971</v>
      </c>
      <c r="T25" s="6" t="n">
        <f aca="false">S25/64</f>
        <v>0.070345186446558</v>
      </c>
    </row>
    <row r="26" customFormat="false" ht="15" hidden="false" customHeight="false" outlineLevel="0" collapsed="false">
      <c r="A26" s="1" t="s">
        <v>15</v>
      </c>
      <c r="B26" s="1" t="n">
        <v>24</v>
      </c>
      <c r="D26" s="1" t="n">
        <v>166321</v>
      </c>
      <c r="E26" s="1" t="n">
        <v>0.146717</v>
      </c>
      <c r="G26" s="1" t="n">
        <v>0.003959179</v>
      </c>
      <c r="H26" s="1" t="n">
        <v>0.004026651</v>
      </c>
      <c r="I26" s="1" t="n">
        <v>0.003437281</v>
      </c>
      <c r="J26" s="1" t="n">
        <v>0.002139568</v>
      </c>
      <c r="K26" s="1" t="n">
        <v>0.001570463</v>
      </c>
      <c r="L26" s="1" t="n">
        <v>0.001719236</v>
      </c>
      <c r="M26" s="1" t="n">
        <v>0.0014081</v>
      </c>
      <c r="N26" s="1" t="n">
        <v>0.001457214</v>
      </c>
      <c r="O26" s="1" t="n">
        <v>0.001501799</v>
      </c>
      <c r="P26" s="1" t="n">
        <v>0.001452923</v>
      </c>
      <c r="R26" s="1" t="n">
        <f aca="false">PERCENTILE(G26:P26,0.9)</f>
        <v>0.0039659262</v>
      </c>
      <c r="S26" s="5" t="n">
        <f aca="false">spmv_1!R$2/R26</f>
        <v>4.39323565829339</v>
      </c>
      <c r="T26" s="6" t="n">
        <f aca="false">S26/64</f>
        <v>0.0686443071608342</v>
      </c>
    </row>
    <row r="27" customFormat="false" ht="15" hidden="false" customHeight="false" outlineLevel="0" collapsed="false">
      <c r="A27" s="1" t="s">
        <v>15</v>
      </c>
      <c r="B27" s="1" t="n">
        <v>25</v>
      </c>
      <c r="D27" s="1" t="n">
        <v>166115</v>
      </c>
      <c r="E27" s="1" t="n">
        <v>0.148087</v>
      </c>
      <c r="G27" s="1" t="n">
        <v>0.003947258</v>
      </c>
      <c r="H27" s="1" t="n">
        <v>0.004051447</v>
      </c>
      <c r="I27" s="1" t="n">
        <v>0.003412247</v>
      </c>
      <c r="J27" s="1" t="n">
        <v>0.002138615</v>
      </c>
      <c r="K27" s="1" t="n">
        <v>0.001565695</v>
      </c>
      <c r="L27" s="1" t="n">
        <v>0.001596689</v>
      </c>
      <c r="M27" s="1" t="n">
        <v>0.001419544</v>
      </c>
      <c r="N27" s="1" t="n">
        <v>0.001430988</v>
      </c>
      <c r="O27" s="1" t="n">
        <v>0.00147891</v>
      </c>
      <c r="P27" s="1" t="n">
        <v>0.001393318</v>
      </c>
      <c r="R27" s="1" t="n">
        <f aca="false">PERCENTILE(G27:P27,0.9)</f>
        <v>0.0039576769</v>
      </c>
      <c r="S27" s="5" t="n">
        <f aca="false">spmv_1!R$2/R27</f>
        <v>4.40239282797441</v>
      </c>
      <c r="T27" s="6" t="n">
        <f aca="false">S27/64</f>
        <v>0.0687873879371002</v>
      </c>
    </row>
    <row r="28" customFormat="false" ht="15" hidden="false" customHeight="false" outlineLevel="0" collapsed="false">
      <c r="A28" s="1" t="s">
        <v>15</v>
      </c>
      <c r="B28" s="1" t="n">
        <v>26</v>
      </c>
      <c r="D28" s="1" t="n">
        <v>165984</v>
      </c>
      <c r="E28" s="1" t="n">
        <v>0.151819</v>
      </c>
      <c r="G28" s="1" t="n">
        <v>0.003934622</v>
      </c>
      <c r="H28" s="1" t="n">
        <v>0.003995895</v>
      </c>
      <c r="I28" s="1" t="n">
        <v>0.003303289</v>
      </c>
      <c r="J28" s="1" t="n">
        <v>0.002071857</v>
      </c>
      <c r="K28" s="1" t="n">
        <v>0.001509428</v>
      </c>
      <c r="L28" s="1" t="n">
        <v>0.001561165</v>
      </c>
      <c r="M28" s="1" t="n">
        <v>0.001358747</v>
      </c>
      <c r="N28" s="1" t="n">
        <v>0.001382113</v>
      </c>
      <c r="O28" s="1" t="n">
        <v>0.001424551</v>
      </c>
      <c r="P28" s="1" t="n">
        <v>0.001324415</v>
      </c>
      <c r="R28" s="1" t="n">
        <f aca="false">PERCENTILE(G28:P28,0.9)</f>
        <v>0.0039407493</v>
      </c>
      <c r="S28" s="5" t="n">
        <f aca="false">spmv_1!R$2/R28</f>
        <v>4.42130343079678</v>
      </c>
      <c r="T28" s="6" t="n">
        <f aca="false">S28/64</f>
        <v>0.0690828661061996</v>
      </c>
    </row>
    <row r="29" customFormat="false" ht="15" hidden="false" customHeight="false" outlineLevel="0" collapsed="false">
      <c r="A29" s="1" t="s">
        <v>15</v>
      </c>
      <c r="B29" s="1" t="n">
        <v>27</v>
      </c>
      <c r="D29" s="1" t="n">
        <v>166597</v>
      </c>
      <c r="E29" s="1" t="n">
        <v>0.154323</v>
      </c>
      <c r="G29" s="1" t="n">
        <v>0.003833055</v>
      </c>
      <c r="H29" s="1" t="n">
        <v>0.003978252</v>
      </c>
      <c r="I29" s="1" t="n">
        <v>0.003257036</v>
      </c>
      <c r="J29" s="1" t="n">
        <v>0.002056837</v>
      </c>
      <c r="K29" s="1" t="n">
        <v>0.001501799</v>
      </c>
      <c r="L29" s="1" t="n">
        <v>0.001540184</v>
      </c>
      <c r="M29" s="1" t="n">
        <v>0.001335859</v>
      </c>
      <c r="N29" s="1" t="n">
        <v>0.001370192</v>
      </c>
      <c r="O29" s="1" t="n">
        <v>0.001397848</v>
      </c>
      <c r="P29" s="1" t="n">
        <v>0.001319647</v>
      </c>
      <c r="R29" s="1" t="n">
        <f aca="false">PERCENTILE(G29:P29,0.9)</f>
        <v>0.0038475747</v>
      </c>
      <c r="S29" s="5" t="n">
        <f aca="false">spmv_1!R$2/R29</f>
        <v>4.52837170386841</v>
      </c>
      <c r="T29" s="6" t="n">
        <f aca="false">S29/64</f>
        <v>0.0707558078729439</v>
      </c>
    </row>
    <row r="30" customFormat="false" ht="15" hidden="false" customHeight="false" outlineLevel="0" collapsed="false">
      <c r="A30" s="1" t="s">
        <v>15</v>
      </c>
      <c r="B30" s="1" t="n">
        <v>28</v>
      </c>
      <c r="D30" s="1" t="n">
        <v>166202</v>
      </c>
      <c r="E30" s="1" t="n">
        <v>0.154951</v>
      </c>
      <c r="G30" s="1" t="n">
        <v>0.0037992</v>
      </c>
      <c r="H30" s="1" t="n">
        <v>0.003997326</v>
      </c>
      <c r="I30" s="1" t="n">
        <v>0.003098726</v>
      </c>
      <c r="J30" s="1" t="n">
        <v>0.002043962</v>
      </c>
      <c r="K30" s="1" t="n">
        <v>0.001510143</v>
      </c>
      <c r="L30" s="1" t="n">
        <v>0.001552343</v>
      </c>
      <c r="M30" s="1" t="n">
        <v>0.00134182</v>
      </c>
      <c r="N30" s="1" t="n">
        <v>0.001379013</v>
      </c>
      <c r="O30" s="1" t="n">
        <v>0.001402855</v>
      </c>
      <c r="P30" s="1" t="n">
        <v>0.001326799</v>
      </c>
      <c r="R30" s="1" t="n">
        <f aca="false">PERCENTILE(G30:P30,0.9)</f>
        <v>0.0038190126</v>
      </c>
      <c r="S30" s="5" t="n">
        <f aca="false">spmv_1!R$2/R30</f>
        <v>4.56223904576801</v>
      </c>
      <c r="T30" s="6" t="n">
        <f aca="false">S30/64</f>
        <v>0.0712849850901251</v>
      </c>
    </row>
    <row r="31" customFormat="false" ht="15" hidden="false" customHeight="false" outlineLevel="0" collapsed="false">
      <c r="A31" s="1" t="s">
        <v>15</v>
      </c>
      <c r="B31" s="1" t="n">
        <v>29</v>
      </c>
      <c r="D31" s="1" t="n">
        <v>166087</v>
      </c>
      <c r="E31" s="1" t="n">
        <v>0.151782</v>
      </c>
      <c r="G31" s="1" t="n">
        <v>0.003856897</v>
      </c>
      <c r="H31" s="1" t="n">
        <v>0.004079819</v>
      </c>
      <c r="I31" s="1" t="n">
        <v>0.002977848</v>
      </c>
      <c r="J31" s="1" t="n">
        <v>0.002249241</v>
      </c>
      <c r="K31" s="1" t="n">
        <v>0.001635075</v>
      </c>
      <c r="L31" s="1" t="n">
        <v>0.001562834</v>
      </c>
      <c r="M31" s="1" t="n">
        <v>0.0013659</v>
      </c>
      <c r="N31" s="1" t="n">
        <v>0.001391888</v>
      </c>
      <c r="O31" s="1" t="n">
        <v>0.001425028</v>
      </c>
      <c r="P31" s="1" t="n">
        <v>0.001340389</v>
      </c>
      <c r="R31" s="1" t="n">
        <f aca="false">PERCENTILE(G31:P31,0.9)</f>
        <v>0.0038791892</v>
      </c>
      <c r="S31" s="5" t="n">
        <f aca="false">spmv_1!R$2/R31</f>
        <v>4.49146651573478</v>
      </c>
      <c r="T31" s="6" t="n">
        <f aca="false">S31/64</f>
        <v>0.070179164308356</v>
      </c>
    </row>
    <row r="32" customFormat="false" ht="15" hidden="false" customHeight="false" outlineLevel="0" collapsed="false">
      <c r="A32" s="1" t="s">
        <v>15</v>
      </c>
      <c r="B32" s="1" t="n">
        <v>30</v>
      </c>
      <c r="D32" s="1" t="n">
        <v>165466</v>
      </c>
      <c r="E32" s="1" t="n">
        <v>0.155184</v>
      </c>
      <c r="G32" s="1" t="n">
        <v>0.003825903</v>
      </c>
      <c r="H32" s="1" t="n">
        <v>0.003996134</v>
      </c>
      <c r="I32" s="1" t="n">
        <v>0.002898932</v>
      </c>
      <c r="J32" s="1" t="n">
        <v>0.002180576</v>
      </c>
      <c r="K32" s="1" t="n">
        <v>0.001627684</v>
      </c>
      <c r="L32" s="1" t="n">
        <v>0.001501322</v>
      </c>
      <c r="M32" s="1" t="n">
        <v>0.001319885</v>
      </c>
      <c r="N32" s="1" t="n">
        <v>0.00131917</v>
      </c>
      <c r="O32" s="1" t="n">
        <v>0.001365662</v>
      </c>
      <c r="P32" s="1" t="n">
        <v>0.001289845</v>
      </c>
      <c r="R32" s="1" t="n">
        <f aca="false">PERCENTILE(G32:P32,0.9)</f>
        <v>0.0038429261</v>
      </c>
      <c r="S32" s="5" t="n">
        <f aca="false">spmv_1!R$2/R32</f>
        <v>4.53384945393563</v>
      </c>
      <c r="T32" s="6" t="n">
        <f aca="false">S32/64</f>
        <v>0.0708413977177443</v>
      </c>
    </row>
    <row r="33" customFormat="false" ht="15" hidden="false" customHeight="false" outlineLevel="0" collapsed="false">
      <c r="A33" s="1" t="s">
        <v>15</v>
      </c>
      <c r="B33" s="1" t="n">
        <v>31</v>
      </c>
      <c r="D33" s="1" t="n">
        <v>165828</v>
      </c>
      <c r="E33" s="1" t="n">
        <v>0.157421</v>
      </c>
      <c r="G33" s="1" t="n">
        <v>0.003742933</v>
      </c>
      <c r="H33" s="1" t="n">
        <v>0.003950119</v>
      </c>
      <c r="I33" s="1" t="n">
        <v>0.002871513</v>
      </c>
      <c r="J33" s="1" t="n">
        <v>0.002181053</v>
      </c>
      <c r="K33" s="1" t="n">
        <v>0.001634598</v>
      </c>
      <c r="L33" s="1" t="n">
        <v>0.001477003</v>
      </c>
      <c r="M33" s="1" t="n">
        <v>0.001295328</v>
      </c>
      <c r="N33" s="1" t="n">
        <v>0.001316786</v>
      </c>
      <c r="O33" s="1" t="n">
        <v>0.001326799</v>
      </c>
      <c r="P33" s="1" t="n">
        <v>0.001271963</v>
      </c>
      <c r="R33" s="1" t="n">
        <f aca="false">PERCENTILE(G33:P33,0.9)</f>
        <v>0.0037636516</v>
      </c>
      <c r="S33" s="5" t="n">
        <f aca="false">spmv_1!R$2/R33</f>
        <v>4.62934677588117</v>
      </c>
      <c r="T33" s="6" t="n">
        <f aca="false">S33/64</f>
        <v>0.0723335433731432</v>
      </c>
    </row>
    <row r="34" customFormat="false" ht="15" hidden="false" customHeight="false" outlineLevel="0" collapsed="false">
      <c r="A34" s="1" t="s">
        <v>15</v>
      </c>
      <c r="B34" s="1" t="n">
        <v>32</v>
      </c>
      <c r="D34" s="1" t="n">
        <v>166058</v>
      </c>
      <c r="E34" s="1" t="n">
        <v>0.12917</v>
      </c>
      <c r="G34" s="1" t="n">
        <v>0.004662037</v>
      </c>
      <c r="H34" s="1" t="n">
        <v>0.004438162</v>
      </c>
      <c r="I34" s="1" t="n">
        <v>0.004268646</v>
      </c>
      <c r="J34" s="1" t="n">
        <v>0.002349615</v>
      </c>
      <c r="K34" s="1" t="n">
        <v>0.001938343</v>
      </c>
      <c r="L34" s="1" t="n">
        <v>0.001691103</v>
      </c>
      <c r="M34" s="1" t="n">
        <v>0.001666784</v>
      </c>
      <c r="N34" s="1" t="n">
        <v>0.001575708</v>
      </c>
      <c r="O34" s="1" t="n">
        <v>0.00156045</v>
      </c>
      <c r="P34" s="1" t="n">
        <v>0.001560688</v>
      </c>
      <c r="R34" s="1" t="n">
        <f aca="false">PERCENTILE(G34:P34,0.9)</f>
        <v>0.0044605495</v>
      </c>
      <c r="S34" s="5" t="n">
        <f aca="false">spmv_1!R$2/R34</f>
        <v>3.9060766840498</v>
      </c>
      <c r="T34" s="6" t="n">
        <f aca="false">S34/64</f>
        <v>0.0610324481882781</v>
      </c>
    </row>
    <row r="35" customFormat="false" ht="15" hidden="false" customHeight="false" outlineLevel="0" collapsed="false">
      <c r="A35" s="1" t="s">
        <v>15</v>
      </c>
      <c r="B35" s="1" t="n">
        <v>33</v>
      </c>
      <c r="D35" s="1" t="n">
        <v>167057</v>
      </c>
      <c r="E35" s="1" t="n">
        <v>0.134156</v>
      </c>
      <c r="G35" s="1" t="n">
        <v>0.004642725</v>
      </c>
      <c r="H35" s="1" t="n">
        <v>0.004542589</v>
      </c>
      <c r="I35" s="1" t="n">
        <v>0.004217625</v>
      </c>
      <c r="J35" s="1" t="n">
        <v>0.002251148</v>
      </c>
      <c r="K35" s="1" t="n">
        <v>0.001812935</v>
      </c>
      <c r="L35" s="1" t="n">
        <v>0.001547575</v>
      </c>
      <c r="M35" s="1" t="n">
        <v>0.00154233</v>
      </c>
      <c r="N35" s="1" t="n">
        <v>0.001456261</v>
      </c>
      <c r="O35" s="1" t="n">
        <v>0.001435757</v>
      </c>
      <c r="P35" s="1" t="n">
        <v>0.001456022</v>
      </c>
      <c r="R35" s="1" t="n">
        <f aca="false">PERCENTILE(G35:P35,0.9)</f>
        <v>0.0045526026</v>
      </c>
      <c r="S35" s="5" t="n">
        <f aca="false">spmv_1!R$2/R35</f>
        <v>3.8270962635746</v>
      </c>
      <c r="T35" s="6" t="n">
        <f aca="false">S35/64</f>
        <v>0.0597983791183531</v>
      </c>
    </row>
    <row r="36" customFormat="false" ht="15" hidden="false" customHeight="false" outlineLevel="0" collapsed="false">
      <c r="A36" s="1" t="s">
        <v>15</v>
      </c>
      <c r="B36" s="1" t="n">
        <v>34</v>
      </c>
      <c r="D36" s="1" t="n">
        <v>167060</v>
      </c>
      <c r="E36" s="1" t="n">
        <v>0.134696</v>
      </c>
      <c r="G36" s="1" t="n">
        <v>0.004619837</v>
      </c>
      <c r="H36" s="1" t="n">
        <v>0.004552603</v>
      </c>
      <c r="I36" s="1" t="n">
        <v>0.004206419</v>
      </c>
      <c r="J36" s="1" t="n">
        <v>0.002234697</v>
      </c>
      <c r="K36" s="1" t="n">
        <v>0.001802921</v>
      </c>
      <c r="L36" s="1" t="n">
        <v>0.001533031</v>
      </c>
      <c r="M36" s="1" t="n">
        <v>0.001530409</v>
      </c>
      <c r="N36" s="1" t="n">
        <v>0.001448631</v>
      </c>
      <c r="O36" s="1" t="n">
        <v>0.001430035</v>
      </c>
      <c r="P36" s="1" t="n">
        <v>0.001446962</v>
      </c>
      <c r="R36" s="1" t="n">
        <f aca="false">PERCENTILE(G36:P36,0.9)</f>
        <v>0.0045593264</v>
      </c>
      <c r="S36" s="5" t="n">
        <f aca="false">spmv_1!R$2/R36</f>
        <v>3.82145230927095</v>
      </c>
      <c r="T36" s="6" t="n">
        <f aca="false">S36/64</f>
        <v>0.0597101923323586</v>
      </c>
    </row>
    <row r="37" customFormat="false" ht="15" hidden="false" customHeight="false" outlineLevel="0" collapsed="false">
      <c r="A37" s="1" t="s">
        <v>15</v>
      </c>
      <c r="B37" s="1" t="n">
        <v>35</v>
      </c>
      <c r="D37" s="1" t="n">
        <v>166567</v>
      </c>
      <c r="E37" s="1" t="n">
        <v>0.127929</v>
      </c>
      <c r="G37" s="1" t="n">
        <v>0.004752159</v>
      </c>
      <c r="H37" s="1" t="n">
        <v>0.004580021</v>
      </c>
      <c r="I37" s="1" t="n">
        <v>0.00467062</v>
      </c>
      <c r="J37" s="1" t="n">
        <v>0.002306461</v>
      </c>
      <c r="K37" s="1" t="n">
        <v>0.001895428</v>
      </c>
      <c r="L37" s="1" t="n">
        <v>0.001624346</v>
      </c>
      <c r="M37" s="1" t="n">
        <v>0.001632929</v>
      </c>
      <c r="N37" s="1" t="n">
        <v>0.00152874</v>
      </c>
      <c r="O37" s="1" t="n">
        <v>0.001522303</v>
      </c>
      <c r="P37" s="1" t="n">
        <v>0.001527548</v>
      </c>
      <c r="R37" s="1" t="n">
        <f aca="false">PERCENTILE(G37:P37,0.9)</f>
        <v>0.0046787739</v>
      </c>
      <c r="S37" s="5" t="n">
        <f aca="false">spmv_1!R$2/R37</f>
        <v>3.72389193673154</v>
      </c>
      <c r="T37" s="6" t="n">
        <f aca="false">S37/64</f>
        <v>0.0581858115114304</v>
      </c>
    </row>
    <row r="38" customFormat="false" ht="15" hidden="false" customHeight="false" outlineLevel="0" collapsed="false">
      <c r="A38" s="1" t="s">
        <v>15</v>
      </c>
      <c r="B38" s="1" t="n">
        <v>36</v>
      </c>
      <c r="D38" s="1" t="n">
        <v>165769</v>
      </c>
      <c r="E38" s="1" t="n">
        <v>0.131838</v>
      </c>
      <c r="G38" s="1" t="n">
        <v>0.004593611</v>
      </c>
      <c r="H38" s="1" t="n">
        <v>0.004663944</v>
      </c>
      <c r="I38" s="1" t="n">
        <v>0.004576445</v>
      </c>
      <c r="J38" s="1" t="n">
        <v>0.002220154</v>
      </c>
      <c r="K38" s="1" t="n">
        <v>0.001780272</v>
      </c>
      <c r="L38" s="1" t="n">
        <v>0.001517296</v>
      </c>
      <c r="M38" s="1" t="n">
        <v>0.001517773</v>
      </c>
      <c r="N38" s="1" t="n">
        <v>0.00142765</v>
      </c>
      <c r="O38" s="1" t="n">
        <v>0.001416445</v>
      </c>
      <c r="P38" s="1" t="n">
        <v>0.001433849</v>
      </c>
      <c r="R38" s="1" t="n">
        <f aca="false">PERCENTILE(G38:P38,0.9)</f>
        <v>0.0046006443</v>
      </c>
      <c r="S38" s="5" t="n">
        <f aca="false">spmv_1!R$2/R38</f>
        <v>3.78713225015027</v>
      </c>
      <c r="T38" s="6" t="n">
        <f aca="false">S38/64</f>
        <v>0.0591739414085979</v>
      </c>
    </row>
    <row r="39" customFormat="false" ht="15" hidden="false" customHeight="false" outlineLevel="0" collapsed="false">
      <c r="A39" s="1" t="s">
        <v>15</v>
      </c>
      <c r="B39" s="1" t="n">
        <v>37</v>
      </c>
      <c r="D39" s="1" t="n">
        <v>165598</v>
      </c>
      <c r="E39" s="1" t="n">
        <v>0.1249</v>
      </c>
      <c r="G39" s="1" t="n">
        <v>0.00474453</v>
      </c>
      <c r="H39" s="1" t="n">
        <v>0.004789114</v>
      </c>
      <c r="I39" s="1" t="n">
        <v>0.004757881</v>
      </c>
      <c r="J39" s="1" t="n">
        <v>0.002300739</v>
      </c>
      <c r="K39" s="1" t="n">
        <v>0.001921415</v>
      </c>
      <c r="L39" s="1" t="n">
        <v>0.001642942</v>
      </c>
      <c r="M39" s="1" t="n">
        <v>0.001669168</v>
      </c>
      <c r="N39" s="1" t="n">
        <v>0.001581669</v>
      </c>
      <c r="O39" s="1" t="n">
        <v>0.001551867</v>
      </c>
      <c r="P39" s="1" t="n">
        <v>0.001557589</v>
      </c>
      <c r="R39" s="1" t="n">
        <f aca="false">PERCENTILE(G39:P39,0.9)</f>
        <v>0.0047610043</v>
      </c>
      <c r="S39" s="5" t="n">
        <f aca="false">spmv_1!R$2/R39</f>
        <v>3.65957417849843</v>
      </c>
      <c r="T39" s="6" t="n">
        <f aca="false">S39/64</f>
        <v>0.057180846539038</v>
      </c>
    </row>
    <row r="40" customFormat="false" ht="15" hidden="false" customHeight="false" outlineLevel="0" collapsed="false">
      <c r="A40" s="1" t="s">
        <v>15</v>
      </c>
      <c r="B40" s="1" t="n">
        <v>38</v>
      </c>
      <c r="D40" s="1" t="n">
        <v>165585</v>
      </c>
      <c r="E40" s="1" t="n">
        <v>0.126017</v>
      </c>
      <c r="G40" s="1" t="n">
        <v>0.004745483</v>
      </c>
      <c r="H40" s="1" t="n">
        <v>0.004775047</v>
      </c>
      <c r="I40" s="1" t="n">
        <v>0.004634619</v>
      </c>
      <c r="J40" s="1" t="n">
        <v>0.002290487</v>
      </c>
      <c r="K40" s="1" t="n">
        <v>0.001903772</v>
      </c>
      <c r="L40" s="1" t="n">
        <v>0.001624107</v>
      </c>
      <c r="M40" s="1" t="n">
        <v>0.001652479</v>
      </c>
      <c r="N40" s="1" t="n">
        <v>0.00156188</v>
      </c>
      <c r="O40" s="1" t="n">
        <v>0.001543283</v>
      </c>
      <c r="P40" s="1" t="n">
        <v>0.001548529</v>
      </c>
      <c r="R40" s="1" t="n">
        <f aca="false">PERCENTILE(G40:P40,0.9)</f>
        <v>0.0047484394</v>
      </c>
      <c r="S40" s="5" t="n">
        <f aca="false">spmv_1!R$2/R40</f>
        <v>3.66925781973757</v>
      </c>
      <c r="T40" s="6" t="n">
        <f aca="false">S40/64</f>
        <v>0.0573321534333996</v>
      </c>
    </row>
    <row r="41" customFormat="false" ht="15" hidden="false" customHeight="false" outlineLevel="0" collapsed="false">
      <c r="A41" s="1" t="s">
        <v>15</v>
      </c>
      <c r="B41" s="1" t="n">
        <v>39</v>
      </c>
      <c r="D41" s="1" t="n">
        <v>165774</v>
      </c>
      <c r="E41" s="1" t="n">
        <v>0.127567</v>
      </c>
      <c r="G41" s="1" t="n">
        <v>0.004691839</v>
      </c>
      <c r="H41" s="1" t="n">
        <v>0.004729033</v>
      </c>
      <c r="I41" s="1" t="n">
        <v>0.004684925</v>
      </c>
      <c r="J41" s="1" t="n">
        <v>0.002251387</v>
      </c>
      <c r="K41" s="1" t="n">
        <v>0.001878977</v>
      </c>
      <c r="L41" s="1" t="n">
        <v>0.001603603</v>
      </c>
      <c r="M41" s="1" t="n">
        <v>0.001609564</v>
      </c>
      <c r="N41" s="1" t="n">
        <v>0.001523018</v>
      </c>
      <c r="O41" s="1" t="n">
        <v>0.001505852</v>
      </c>
      <c r="P41" s="1" t="n">
        <v>0.001511812</v>
      </c>
      <c r="R41" s="1" t="n">
        <f aca="false">PERCENTILE(G41:P41,0.9)</f>
        <v>0.0046955584</v>
      </c>
      <c r="S41" s="5" t="n">
        <f aca="false">spmv_1!R$2/R41</f>
        <v>3.71058070537468</v>
      </c>
      <c r="T41" s="6" t="n">
        <f aca="false">S41/64</f>
        <v>0.0579778235214794</v>
      </c>
    </row>
    <row r="42" customFormat="false" ht="15" hidden="false" customHeight="false" outlineLevel="0" collapsed="false">
      <c r="A42" s="1" t="s">
        <v>15</v>
      </c>
      <c r="B42" s="1" t="n">
        <v>40</v>
      </c>
      <c r="D42" s="1" t="n">
        <v>165340</v>
      </c>
      <c r="E42" s="1" t="n">
        <v>0.123821</v>
      </c>
      <c r="G42" s="1" t="n">
        <v>0.004962444</v>
      </c>
      <c r="H42" s="1" t="n">
        <v>0.004801512</v>
      </c>
      <c r="I42" s="1" t="n">
        <v>0.004772425</v>
      </c>
      <c r="J42" s="1" t="n">
        <v>0.002277613</v>
      </c>
      <c r="K42" s="1" t="n">
        <v>0.001911879</v>
      </c>
      <c r="L42" s="1" t="n">
        <v>0.001632452</v>
      </c>
      <c r="M42" s="1" t="n">
        <v>0.001657963</v>
      </c>
      <c r="N42" s="1" t="n">
        <v>0.00158</v>
      </c>
      <c r="O42" s="1" t="n">
        <v>0.001551151</v>
      </c>
      <c r="P42" s="1" t="n">
        <v>0.001558781</v>
      </c>
      <c r="R42" s="1" t="n">
        <f aca="false">PERCENTILE(G42:P42,0.9)</f>
        <v>0.0048176052</v>
      </c>
      <c r="S42" s="5" t="n">
        <f aca="false">spmv_1!R$2/R42</f>
        <v>3.61657871010269</v>
      </c>
      <c r="T42" s="6" t="n">
        <f aca="false">S42/64</f>
        <v>0.0565090423453545</v>
      </c>
    </row>
    <row r="43" customFormat="false" ht="15" hidden="false" customHeight="false" outlineLevel="0" collapsed="false">
      <c r="A43" s="1" t="s">
        <v>15</v>
      </c>
      <c r="B43" s="1" t="n">
        <v>41</v>
      </c>
      <c r="D43" s="1" t="n">
        <v>166584</v>
      </c>
      <c r="E43" s="1" t="n">
        <v>0.126805</v>
      </c>
      <c r="G43" s="1" t="n">
        <v>0.00492835</v>
      </c>
      <c r="H43" s="1" t="n">
        <v>0.004742861</v>
      </c>
      <c r="I43" s="1" t="n">
        <v>0.004703045</v>
      </c>
      <c r="J43" s="1" t="n">
        <v>0.00224328</v>
      </c>
      <c r="K43" s="1" t="n">
        <v>0.00187254</v>
      </c>
      <c r="L43" s="1" t="n">
        <v>0.00160718</v>
      </c>
      <c r="M43" s="1" t="n">
        <v>0.00161624</v>
      </c>
      <c r="N43" s="1" t="n">
        <v>0.001531363</v>
      </c>
      <c r="O43" s="1" t="n">
        <v>0.00150609</v>
      </c>
      <c r="P43" s="1" t="n">
        <v>0.001523018</v>
      </c>
      <c r="R43" s="1" t="n">
        <f aca="false">PERCENTILE(G43:P43,0.9)</f>
        <v>0.0047614099</v>
      </c>
      <c r="S43" s="5" t="n">
        <f aca="false">spmv_1!R$2/R43</f>
        <v>3.65926243821184</v>
      </c>
      <c r="T43" s="6" t="n">
        <f aca="false">S43/64</f>
        <v>0.05717597559706</v>
      </c>
    </row>
    <row r="44" customFormat="false" ht="15" hidden="false" customHeight="false" outlineLevel="0" collapsed="false">
      <c r="A44" s="1" t="s">
        <v>15</v>
      </c>
      <c r="B44" s="1" t="n">
        <v>42</v>
      </c>
      <c r="D44" s="1" t="n">
        <v>167771</v>
      </c>
      <c r="E44" s="1" t="n">
        <v>0.132777</v>
      </c>
      <c r="G44" s="1" t="n">
        <v>0.004655123</v>
      </c>
      <c r="H44" s="1" t="n">
        <v>0.004684925</v>
      </c>
      <c r="I44" s="1" t="n">
        <v>0.004594803</v>
      </c>
      <c r="J44" s="1" t="n">
        <v>0.00218153</v>
      </c>
      <c r="K44" s="1" t="n">
        <v>0.001781464</v>
      </c>
      <c r="L44" s="1" t="n">
        <v>0.001518011</v>
      </c>
      <c r="M44" s="1" t="n">
        <v>0.001528025</v>
      </c>
      <c r="N44" s="1" t="n">
        <v>0.001454353</v>
      </c>
      <c r="O44" s="1" t="n">
        <v>0.001422405</v>
      </c>
      <c r="P44" s="1" t="n">
        <v>0.001450539</v>
      </c>
      <c r="R44" s="1" t="n">
        <f aca="false">PERCENTILE(G44:P44,0.9)</f>
        <v>0.0046581032</v>
      </c>
      <c r="S44" s="5" t="n">
        <f aca="false">spmv_1!R$2/R44</f>
        <v>3.74041700063665</v>
      </c>
      <c r="T44" s="6" t="n">
        <f aca="false">S44/64</f>
        <v>0.0584440156349477</v>
      </c>
    </row>
    <row r="45" customFormat="false" ht="15" hidden="false" customHeight="false" outlineLevel="0" collapsed="false">
      <c r="A45" s="1" t="s">
        <v>15</v>
      </c>
      <c r="B45" s="1" t="n">
        <v>43</v>
      </c>
      <c r="D45" s="1" t="n">
        <v>169279</v>
      </c>
      <c r="E45" s="1" t="n">
        <v>0.13335</v>
      </c>
      <c r="G45" s="1" t="n">
        <v>0.00479126</v>
      </c>
      <c r="H45" s="1" t="n">
        <v>0.004748583</v>
      </c>
      <c r="I45" s="1" t="n">
        <v>0.00458312</v>
      </c>
      <c r="J45" s="1" t="n">
        <v>0.00215745</v>
      </c>
      <c r="K45" s="1" t="n">
        <v>0.001777172</v>
      </c>
      <c r="L45" s="1" t="n">
        <v>0.001510859</v>
      </c>
      <c r="M45" s="1" t="n">
        <v>0.001517534</v>
      </c>
      <c r="N45" s="1" t="n">
        <v>0.001439333</v>
      </c>
      <c r="O45" s="1" t="n">
        <v>0.001416683</v>
      </c>
      <c r="P45" s="1" t="n">
        <v>0.001446724</v>
      </c>
      <c r="R45" s="1" t="n">
        <f aca="false">PERCENTILE(G45:P45,0.9)</f>
        <v>0.0047528507</v>
      </c>
      <c r="S45" s="5" t="n">
        <f aca="false">spmv_1!R$2/R45</f>
        <v>3.66585224316009</v>
      </c>
      <c r="T45" s="6" t="n">
        <f aca="false">S45/64</f>
        <v>0.0572789412993764</v>
      </c>
    </row>
    <row r="46" customFormat="false" ht="15" hidden="false" customHeight="false" outlineLevel="0" collapsed="false">
      <c r="A46" s="1" t="s">
        <v>15</v>
      </c>
      <c r="B46" s="1" t="n">
        <v>44</v>
      </c>
      <c r="D46" s="1" t="n">
        <v>168604</v>
      </c>
      <c r="E46" s="1" t="n">
        <v>0.130043</v>
      </c>
      <c r="G46" s="1" t="n">
        <v>0.004752159</v>
      </c>
      <c r="H46" s="1" t="n">
        <v>0.004855871</v>
      </c>
      <c r="I46" s="1" t="n">
        <v>0.004665613</v>
      </c>
      <c r="J46" s="1" t="n">
        <v>0.002197981</v>
      </c>
      <c r="K46" s="1" t="n">
        <v>0.001846552</v>
      </c>
      <c r="L46" s="1" t="n">
        <v>0.001570225</v>
      </c>
      <c r="M46" s="1" t="n">
        <v>0.00158453</v>
      </c>
      <c r="N46" s="1" t="n">
        <v>0.001498222</v>
      </c>
      <c r="O46" s="1" t="n">
        <v>0.001464367</v>
      </c>
      <c r="P46" s="1" t="n">
        <v>0.001494884</v>
      </c>
      <c r="R46" s="1" t="n">
        <f aca="false">PERCENTILE(G46:P46,0.9)</f>
        <v>0.0047625302</v>
      </c>
      <c r="S46" s="5" t="n">
        <f aca="false">spmv_1!R$2/R46</f>
        <v>3.65840166220888</v>
      </c>
      <c r="T46" s="6" t="n">
        <f aca="false">S46/64</f>
        <v>0.0571625259720138</v>
      </c>
    </row>
    <row r="47" customFormat="false" ht="15" hidden="false" customHeight="false" outlineLevel="0" collapsed="false">
      <c r="A47" s="1" t="s">
        <v>15</v>
      </c>
      <c r="B47" s="1" t="n">
        <v>45</v>
      </c>
      <c r="D47" s="1" t="n">
        <v>167227</v>
      </c>
      <c r="E47" s="1" t="n">
        <v>0.125261</v>
      </c>
      <c r="G47" s="1" t="n">
        <v>0.004998207</v>
      </c>
      <c r="H47" s="1" t="n">
        <v>0.004944086</v>
      </c>
      <c r="I47" s="1" t="n">
        <v>0.004790306</v>
      </c>
      <c r="J47" s="1" t="n">
        <v>0.002236128</v>
      </c>
      <c r="K47" s="1" t="n">
        <v>0.00189352</v>
      </c>
      <c r="L47" s="1" t="n">
        <v>0.001608849</v>
      </c>
      <c r="M47" s="1" t="n">
        <v>0.00164032</v>
      </c>
      <c r="N47" s="1" t="n">
        <v>0.001548767</v>
      </c>
      <c r="O47" s="1" t="n">
        <v>0.001521826</v>
      </c>
      <c r="P47" s="1" t="n">
        <v>0.001518488</v>
      </c>
      <c r="R47" s="1" t="n">
        <f aca="false">PERCENTILE(G47:P47,0.9)</f>
        <v>0.0049494981</v>
      </c>
      <c r="S47" s="5" t="n">
        <f aca="false">spmv_1!R$2/R47</f>
        <v>3.52020508907762</v>
      </c>
      <c r="T47" s="6" t="n">
        <f aca="false">S47/64</f>
        <v>0.0550032045168378</v>
      </c>
    </row>
    <row r="48" customFormat="false" ht="15" hidden="false" customHeight="false" outlineLevel="0" collapsed="false">
      <c r="A48" s="1" t="s">
        <v>15</v>
      </c>
      <c r="B48" s="1" t="n">
        <v>46</v>
      </c>
      <c r="D48" s="1" t="n">
        <v>166013</v>
      </c>
      <c r="E48" s="1" t="n">
        <v>0.125434</v>
      </c>
      <c r="G48" s="1" t="n">
        <v>0.004819155</v>
      </c>
      <c r="H48" s="1" t="n">
        <v>0.00489521</v>
      </c>
      <c r="I48" s="1" t="n">
        <v>0.004713297</v>
      </c>
      <c r="J48" s="1" t="n">
        <v>0.002358675</v>
      </c>
      <c r="K48" s="1" t="n">
        <v>0.001894474</v>
      </c>
      <c r="L48" s="1" t="n">
        <v>0.001626253</v>
      </c>
      <c r="M48" s="1" t="n">
        <v>0.001603603</v>
      </c>
      <c r="N48" s="1" t="n">
        <v>0.001558542</v>
      </c>
      <c r="O48" s="1" t="n">
        <v>0.001513481</v>
      </c>
      <c r="P48" s="1" t="n">
        <v>0.001487494</v>
      </c>
      <c r="R48" s="1" t="n">
        <f aca="false">PERCENTILE(G48:P48,0.9)</f>
        <v>0.0048267605</v>
      </c>
      <c r="S48" s="5" t="n">
        <f aca="false">spmv_1!R$2/R48</f>
        <v>3.60971885802082</v>
      </c>
      <c r="T48" s="6" t="n">
        <f aca="false">S48/64</f>
        <v>0.0564018571565753</v>
      </c>
    </row>
    <row r="49" customFormat="false" ht="15" hidden="false" customHeight="false" outlineLevel="0" collapsed="false">
      <c r="A49" s="1" t="s">
        <v>15</v>
      </c>
      <c r="B49" s="1" t="n">
        <v>47</v>
      </c>
      <c r="D49" s="1" t="n">
        <v>166119</v>
      </c>
      <c r="E49" s="1" t="n">
        <v>0.128255</v>
      </c>
      <c r="G49" s="1" t="n">
        <v>0.004819155</v>
      </c>
      <c r="H49" s="1" t="n">
        <v>0.004930973</v>
      </c>
      <c r="I49" s="1" t="n">
        <v>0.004617691</v>
      </c>
      <c r="J49" s="1" t="n">
        <v>0.002154827</v>
      </c>
      <c r="K49" s="1" t="n">
        <v>0.00184083</v>
      </c>
      <c r="L49" s="1" t="n">
        <v>0.001538754</v>
      </c>
      <c r="M49" s="1" t="n">
        <v>0.001569033</v>
      </c>
      <c r="N49" s="1" t="n">
        <v>0.001497984</v>
      </c>
      <c r="O49" s="1" t="n">
        <v>0.001442194</v>
      </c>
      <c r="P49" s="1" t="n">
        <v>0.001492977</v>
      </c>
      <c r="R49" s="1" t="n">
        <f aca="false">PERCENTILE(G49:P49,0.9)</f>
        <v>0.0048303368</v>
      </c>
      <c r="S49" s="5" t="n">
        <f aca="false">spmv_1!R$2/R49</f>
        <v>3.60704628298383</v>
      </c>
      <c r="T49" s="6" t="n">
        <f aca="false">S49/64</f>
        <v>0.0563600981716223</v>
      </c>
    </row>
    <row r="50" customFormat="false" ht="15" hidden="false" customHeight="false" outlineLevel="0" collapsed="false">
      <c r="A50" s="1" t="s">
        <v>15</v>
      </c>
      <c r="B50" s="1" t="n">
        <v>48</v>
      </c>
      <c r="D50" s="1" t="n">
        <v>166256</v>
      </c>
      <c r="E50" s="1" t="n">
        <v>0.130755</v>
      </c>
      <c r="G50" s="1" t="n">
        <v>0.004951</v>
      </c>
      <c r="H50" s="1" t="n">
        <v>0.004899263</v>
      </c>
      <c r="I50" s="1" t="n">
        <v>0.004598618</v>
      </c>
      <c r="J50" s="1" t="n">
        <v>0.002074718</v>
      </c>
      <c r="K50" s="1" t="n">
        <v>0.00176239</v>
      </c>
      <c r="L50" s="1" t="n">
        <v>0.001472473</v>
      </c>
      <c r="M50" s="1" t="n">
        <v>0.00148797</v>
      </c>
      <c r="N50" s="1" t="n">
        <v>0.001410484</v>
      </c>
      <c r="O50" s="1" t="n">
        <v>0.001387358</v>
      </c>
      <c r="P50" s="1" t="n">
        <v>0.001385927</v>
      </c>
      <c r="R50" s="1" t="n">
        <f aca="false">PERCENTILE(G50:P50,0.9)</f>
        <v>0.0049044367</v>
      </c>
      <c r="S50" s="5" t="n">
        <f aca="false">spmv_1!R$2/R50</f>
        <v>3.552548328333</v>
      </c>
      <c r="T50" s="6" t="n">
        <f aca="false">S50/64</f>
        <v>0.0555085676302031</v>
      </c>
    </row>
    <row r="51" customFormat="false" ht="15" hidden="false" customHeight="false" outlineLevel="0" collapsed="false">
      <c r="A51" s="1" t="s">
        <v>15</v>
      </c>
      <c r="B51" s="1" t="n">
        <v>49</v>
      </c>
      <c r="D51" s="1" t="n">
        <v>166176</v>
      </c>
      <c r="E51" s="1" t="n">
        <v>0.13405</v>
      </c>
      <c r="G51" s="1" t="n">
        <v>0.004577398</v>
      </c>
      <c r="H51" s="1" t="n">
        <v>0.004873753</v>
      </c>
      <c r="I51" s="1" t="n">
        <v>0.00464797</v>
      </c>
      <c r="J51" s="1" t="n">
        <v>0.002012253</v>
      </c>
      <c r="K51" s="1" t="n">
        <v>0.001724243</v>
      </c>
      <c r="L51" s="1" t="n">
        <v>0.001431227</v>
      </c>
      <c r="M51" s="1" t="n">
        <v>0.001444101</v>
      </c>
      <c r="N51" s="1" t="n">
        <v>0.001379967</v>
      </c>
      <c r="O51" s="1" t="n">
        <v>0.001365185</v>
      </c>
      <c r="P51" s="1" t="n">
        <v>0.001337051</v>
      </c>
      <c r="R51" s="1" t="n">
        <f aca="false">PERCENTILE(G51:P51,0.9)</f>
        <v>0.0046705483</v>
      </c>
      <c r="S51" s="5" t="n">
        <f aca="false">spmv_1!R$2/R51</f>
        <v>3.73045031993353</v>
      </c>
      <c r="T51" s="6" t="n">
        <f aca="false">S51/64</f>
        <v>0.0582882862489614</v>
      </c>
    </row>
    <row r="52" customFormat="false" ht="15" hidden="false" customHeight="false" outlineLevel="0" collapsed="false">
      <c r="A52" s="1" t="s">
        <v>15</v>
      </c>
      <c r="B52" s="1" t="n">
        <v>50</v>
      </c>
      <c r="D52" s="1" t="n">
        <v>165563</v>
      </c>
      <c r="E52" s="1" t="n">
        <v>0.125287</v>
      </c>
      <c r="G52" s="1" t="n">
        <v>0.004907131</v>
      </c>
      <c r="H52" s="1" t="n">
        <v>0.005029678</v>
      </c>
      <c r="I52" s="1" t="n">
        <v>0.004855156</v>
      </c>
      <c r="J52" s="1" t="n">
        <v>0.002179146</v>
      </c>
      <c r="K52" s="1" t="n">
        <v>0.001869917</v>
      </c>
      <c r="L52" s="1" t="n">
        <v>0.001570702</v>
      </c>
      <c r="M52" s="1" t="n">
        <v>0.001582623</v>
      </c>
      <c r="N52" s="1" t="n">
        <v>0.001495361</v>
      </c>
      <c r="O52" s="1" t="n">
        <v>0.001494646</v>
      </c>
      <c r="P52" s="1" t="n">
        <v>0.001445055</v>
      </c>
      <c r="R52" s="1" t="n">
        <f aca="false">PERCENTILE(G52:P52,0.9)</f>
        <v>0.0049193857</v>
      </c>
      <c r="S52" s="5" t="n">
        <f aca="false">spmv_1!R$2/R52</f>
        <v>3.54175286560678</v>
      </c>
      <c r="T52" s="6" t="n">
        <f aca="false">S52/64</f>
        <v>0.0553398885251059</v>
      </c>
    </row>
    <row r="53" customFormat="false" ht="15" hidden="false" customHeight="false" outlineLevel="0" collapsed="false">
      <c r="A53" s="1" t="s">
        <v>15</v>
      </c>
      <c r="B53" s="1" t="n">
        <v>51</v>
      </c>
      <c r="D53" s="1" t="n">
        <v>165161</v>
      </c>
      <c r="E53" s="1" t="n">
        <v>0.125172</v>
      </c>
      <c r="G53" s="1" t="n">
        <v>0.005041361</v>
      </c>
      <c r="H53" s="1" t="n">
        <v>0.005052328</v>
      </c>
      <c r="I53" s="1" t="n">
        <v>0.00479269</v>
      </c>
      <c r="J53" s="1" t="n">
        <v>0.002148628</v>
      </c>
      <c r="K53" s="1" t="n">
        <v>0.001852751</v>
      </c>
      <c r="L53" s="1" t="n">
        <v>0.001559019</v>
      </c>
      <c r="M53" s="1" t="n">
        <v>0.00156951</v>
      </c>
      <c r="N53" s="1" t="n">
        <v>0.001482248</v>
      </c>
      <c r="O53" s="1" t="n">
        <v>0.001473904</v>
      </c>
      <c r="P53" s="1" t="n">
        <v>0.001416922</v>
      </c>
      <c r="R53" s="1" t="n">
        <f aca="false">PERCENTILE(G53:P53,0.9)</f>
        <v>0.0050424577</v>
      </c>
      <c r="S53" s="5" t="n">
        <f aca="false">spmv_1!R$2/R53</f>
        <v>3.45530878722096</v>
      </c>
      <c r="T53" s="6" t="n">
        <f aca="false">S53/64</f>
        <v>0.0539891998003275</v>
      </c>
    </row>
    <row r="54" customFormat="false" ht="15" hidden="false" customHeight="false" outlineLevel="0" collapsed="false">
      <c r="A54" s="1" t="s">
        <v>15</v>
      </c>
      <c r="B54" s="1" t="n">
        <v>52</v>
      </c>
      <c r="D54" s="1" t="n">
        <v>164827</v>
      </c>
      <c r="E54" s="1" t="n">
        <v>0.129261</v>
      </c>
      <c r="G54" s="1" t="n">
        <v>0.004904509</v>
      </c>
      <c r="H54" s="1" t="n">
        <v>0.004918337</v>
      </c>
      <c r="I54" s="1" t="n">
        <v>0.004706144</v>
      </c>
      <c r="J54" s="1" t="n">
        <v>0.001989841</v>
      </c>
      <c r="K54" s="1" t="n">
        <v>0.001722574</v>
      </c>
      <c r="L54" s="1" t="n">
        <v>0.001445532</v>
      </c>
      <c r="M54" s="1" t="n">
        <v>0.001481056</v>
      </c>
      <c r="N54" s="1" t="n">
        <v>0.001428366</v>
      </c>
      <c r="O54" s="1" t="n">
        <v>0.001479626</v>
      </c>
      <c r="P54" s="1" t="n">
        <v>0.001426935</v>
      </c>
      <c r="R54" s="1" t="n">
        <f aca="false">PERCENTILE(G54:P54,0.9)</f>
        <v>0.0049058918</v>
      </c>
      <c r="S54" s="5" t="n">
        <f aca="false">spmv_1!R$2/R54</f>
        <v>3.55149463345278</v>
      </c>
      <c r="T54" s="6" t="n">
        <f aca="false">S54/64</f>
        <v>0.0554921036476997</v>
      </c>
    </row>
    <row r="55" customFormat="false" ht="15" hidden="false" customHeight="false" outlineLevel="0" collapsed="false">
      <c r="A55" s="1" t="s">
        <v>15</v>
      </c>
      <c r="B55" s="1" t="n">
        <v>53</v>
      </c>
      <c r="D55" s="1" t="n">
        <v>165345</v>
      </c>
      <c r="E55" s="1" t="n">
        <v>0.123487</v>
      </c>
      <c r="G55" s="1" t="n">
        <v>0.005061388</v>
      </c>
      <c r="H55" s="1" t="n">
        <v>0.00505662</v>
      </c>
      <c r="I55" s="1" t="n">
        <v>0.004870653</v>
      </c>
      <c r="J55" s="1" t="n">
        <v>0.002132416</v>
      </c>
      <c r="K55" s="1" t="n">
        <v>0.001842022</v>
      </c>
      <c r="L55" s="1" t="n">
        <v>0.001554489</v>
      </c>
      <c r="M55" s="1" t="n">
        <v>0.001592636</v>
      </c>
      <c r="N55" s="1" t="n">
        <v>0.001545668</v>
      </c>
      <c r="O55" s="1" t="n">
        <v>0.001592875</v>
      </c>
      <c r="P55" s="1" t="n">
        <v>0.001530647</v>
      </c>
      <c r="R55" s="1" t="n">
        <f aca="false">PERCENTILE(G55:P55,0.9)</f>
        <v>0.0050570968</v>
      </c>
      <c r="S55" s="5" t="n">
        <f aca="false">spmv_1!R$2/R55</f>
        <v>3.44530648493816</v>
      </c>
      <c r="T55" s="6" t="n">
        <f aca="false">S55/64</f>
        <v>0.0538329138271587</v>
      </c>
    </row>
    <row r="56" customFormat="false" ht="15" hidden="false" customHeight="false" outlineLevel="0" collapsed="false">
      <c r="A56" s="1" t="s">
        <v>15</v>
      </c>
      <c r="B56" s="1" t="n">
        <v>54</v>
      </c>
      <c r="D56" s="1" t="n">
        <v>165565</v>
      </c>
      <c r="E56" s="1" t="n">
        <v>0.129975</v>
      </c>
      <c r="G56" s="1" t="n">
        <v>0.004759312</v>
      </c>
      <c r="H56" s="1" t="n">
        <v>0.004920721</v>
      </c>
      <c r="I56" s="1" t="n">
        <v>0.004715919</v>
      </c>
      <c r="J56" s="1" t="n">
        <v>0.002002001</v>
      </c>
      <c r="K56" s="1" t="n">
        <v>0.001732588</v>
      </c>
      <c r="L56" s="1" t="n">
        <v>0.001449108</v>
      </c>
      <c r="M56" s="1" t="n">
        <v>0.00148344</v>
      </c>
      <c r="N56" s="1" t="n">
        <v>0.001469374</v>
      </c>
      <c r="O56" s="1" t="n">
        <v>0.001487494</v>
      </c>
      <c r="P56" s="1" t="n">
        <v>0.001456499</v>
      </c>
      <c r="R56" s="1" t="n">
        <f aca="false">PERCENTILE(G56:P56,0.9)</f>
        <v>0.0047754529</v>
      </c>
      <c r="S56" s="5" t="n">
        <f aca="false">spmv_1!R$2/R56</f>
        <v>3.64850177875275</v>
      </c>
      <c r="T56" s="6" t="n">
        <f aca="false">S56/64</f>
        <v>0.0570078402930118</v>
      </c>
    </row>
    <row r="57" customFormat="false" ht="15" hidden="false" customHeight="false" outlineLevel="0" collapsed="false">
      <c r="A57" s="1" t="s">
        <v>15</v>
      </c>
      <c r="B57" s="1" t="n">
        <v>55</v>
      </c>
      <c r="D57" s="1" t="n">
        <v>166624</v>
      </c>
      <c r="E57" s="1" t="n">
        <v>0.124273</v>
      </c>
      <c r="G57" s="1" t="n">
        <v>0.005056381</v>
      </c>
      <c r="H57" s="1" t="n">
        <v>0.00505805</v>
      </c>
      <c r="I57" s="1" t="n">
        <v>0.004917622</v>
      </c>
      <c r="J57" s="1" t="n">
        <v>0.002055883</v>
      </c>
      <c r="K57" s="1" t="n">
        <v>0.001855612</v>
      </c>
      <c r="L57" s="1" t="n">
        <v>0.001528978</v>
      </c>
      <c r="M57" s="1" t="n">
        <v>0.00159812</v>
      </c>
      <c r="N57" s="1" t="n">
        <v>0.001589775</v>
      </c>
      <c r="O57" s="1" t="n">
        <v>0.001597166</v>
      </c>
      <c r="P57" s="1" t="n">
        <v>0.001558304</v>
      </c>
      <c r="R57" s="1" t="n">
        <f aca="false">PERCENTILE(G57:P57,0.9)</f>
        <v>0.0050565479</v>
      </c>
      <c r="S57" s="5" t="n">
        <f aca="false">spmv_1!R$2/R57</f>
        <v>3.4456804809463</v>
      </c>
      <c r="T57" s="6" t="n">
        <f aca="false">S57/64</f>
        <v>0.0538387575147859</v>
      </c>
    </row>
    <row r="58" customFormat="false" ht="15" hidden="false" customHeight="false" outlineLevel="0" collapsed="false">
      <c r="A58" s="1" t="s">
        <v>15</v>
      </c>
      <c r="B58" s="1" t="n">
        <v>56</v>
      </c>
      <c r="D58" s="1" t="n">
        <v>165995</v>
      </c>
      <c r="E58" s="1" t="n">
        <v>0.129956</v>
      </c>
      <c r="G58" s="1" t="n">
        <v>0.004824877</v>
      </c>
      <c r="H58" s="1" t="n">
        <v>0.004915237</v>
      </c>
      <c r="I58" s="1" t="n">
        <v>0.004765511</v>
      </c>
      <c r="J58" s="1" t="n">
        <v>0.001921892</v>
      </c>
      <c r="K58" s="1" t="n">
        <v>0.00172472</v>
      </c>
      <c r="L58" s="1" t="n">
        <v>0.001438856</v>
      </c>
      <c r="M58" s="1" t="n">
        <v>0.001484394</v>
      </c>
      <c r="N58" s="1" t="n">
        <v>0.001484394</v>
      </c>
      <c r="O58" s="1" t="n">
        <v>0.001507282</v>
      </c>
      <c r="P58" s="1" t="n">
        <v>0.001479149</v>
      </c>
      <c r="R58" s="1" t="n">
        <f aca="false">PERCENTILE(G58:P58,0.9)</f>
        <v>0.004833913</v>
      </c>
      <c r="S58" s="5" t="n">
        <f aca="false">spmv_1!R$2/R58</f>
        <v>3.60437773704243</v>
      </c>
      <c r="T58" s="6" t="n">
        <f aca="false">S58/64</f>
        <v>0.056318402141288</v>
      </c>
    </row>
    <row r="59" customFormat="false" ht="15" hidden="false" customHeight="false" outlineLevel="0" collapsed="false">
      <c r="A59" s="1" t="s">
        <v>15</v>
      </c>
      <c r="B59" s="1" t="n">
        <v>57</v>
      </c>
      <c r="D59" s="1" t="n">
        <v>166304</v>
      </c>
      <c r="E59" s="1" t="n">
        <v>0.123984</v>
      </c>
      <c r="G59" s="1" t="n">
        <v>0.005035162</v>
      </c>
      <c r="H59" s="1" t="n">
        <v>0.005063057</v>
      </c>
      <c r="I59" s="1" t="n">
        <v>0.004942179</v>
      </c>
      <c r="J59" s="1" t="n">
        <v>0.001981974</v>
      </c>
      <c r="K59" s="1" t="n">
        <v>0.001847506</v>
      </c>
      <c r="L59" s="1" t="n">
        <v>0.001538754</v>
      </c>
      <c r="M59" s="1" t="n">
        <v>0.001602888</v>
      </c>
      <c r="N59" s="1" t="n">
        <v>0.001612186</v>
      </c>
      <c r="O59" s="1" t="n">
        <v>0.001622915</v>
      </c>
      <c r="P59" s="1" t="n">
        <v>0.00158</v>
      </c>
      <c r="R59" s="1" t="n">
        <f aca="false">PERCENTILE(G59:P59,0.9)</f>
        <v>0.0050379515</v>
      </c>
      <c r="S59" s="5" t="n">
        <f aca="false">spmv_1!R$2/R59</f>
        <v>3.45839939110172</v>
      </c>
      <c r="T59" s="6" t="n">
        <f aca="false">S59/64</f>
        <v>0.0540374904859644</v>
      </c>
    </row>
    <row r="60" customFormat="false" ht="15" hidden="false" customHeight="false" outlineLevel="0" collapsed="false">
      <c r="A60" s="1" t="s">
        <v>15</v>
      </c>
      <c r="B60" s="1" t="n">
        <v>58</v>
      </c>
      <c r="D60" s="1" t="n">
        <v>165253</v>
      </c>
      <c r="E60" s="1" t="n">
        <v>0.129592</v>
      </c>
      <c r="G60" s="1" t="n">
        <v>0.004780769</v>
      </c>
      <c r="H60" s="1" t="n">
        <v>0.004920721</v>
      </c>
      <c r="I60" s="1" t="n">
        <v>0.004785538</v>
      </c>
      <c r="J60" s="1" t="n">
        <v>0.001893044</v>
      </c>
      <c r="K60" s="1" t="n">
        <v>0.001725435</v>
      </c>
      <c r="L60" s="1" t="n">
        <v>0.001438856</v>
      </c>
      <c r="M60" s="1" t="n">
        <v>0.001482487</v>
      </c>
      <c r="N60" s="1" t="n">
        <v>0.001490831</v>
      </c>
      <c r="O60" s="1" t="n">
        <v>0.001510382</v>
      </c>
      <c r="P60" s="1" t="n">
        <v>0.001475573</v>
      </c>
      <c r="R60" s="1" t="n">
        <f aca="false">PERCENTILE(G60:P60,0.9)</f>
        <v>0.0047990563</v>
      </c>
      <c r="S60" s="5" t="n">
        <f aca="false">spmv_1!R$2/R60</f>
        <v>3.63055719933938</v>
      </c>
      <c r="T60" s="6" t="n">
        <f aca="false">S60/64</f>
        <v>0.0567274562396778</v>
      </c>
    </row>
    <row r="61" customFormat="false" ht="15" hidden="false" customHeight="false" outlineLevel="0" collapsed="false">
      <c r="A61" s="1" t="s">
        <v>15</v>
      </c>
      <c r="B61" s="1" t="n">
        <v>59</v>
      </c>
      <c r="D61" s="1" t="n">
        <v>165760</v>
      </c>
      <c r="E61" s="1" t="n">
        <v>0.124219</v>
      </c>
      <c r="G61" s="1" t="n">
        <v>0.004810095</v>
      </c>
      <c r="H61" s="1" t="n">
        <v>0.004954576</v>
      </c>
      <c r="I61" s="1" t="n">
        <v>0.004826069</v>
      </c>
      <c r="J61" s="1" t="n">
        <v>0.002112627</v>
      </c>
      <c r="K61" s="1" t="n">
        <v>0.001849413</v>
      </c>
      <c r="L61" s="1" t="n">
        <v>0.00159502</v>
      </c>
      <c r="M61" s="1" t="n">
        <v>0.001599789</v>
      </c>
      <c r="N61" s="1" t="n">
        <v>0.001678944</v>
      </c>
      <c r="O61" s="1" t="n">
        <v>0.001634121</v>
      </c>
      <c r="P61" s="1" t="n">
        <v>0.001627684</v>
      </c>
      <c r="R61" s="1" t="n">
        <f aca="false">PERCENTILE(G61:P61,0.9)</f>
        <v>0.0048389197</v>
      </c>
      <c r="S61" s="5" t="n">
        <f aca="false">spmv_1!R$2/R61</f>
        <v>3.60064838439043</v>
      </c>
      <c r="T61" s="6" t="n">
        <f aca="false">S61/64</f>
        <v>0.0562601310061004</v>
      </c>
    </row>
    <row r="62" customFormat="false" ht="15" hidden="false" customHeight="false" outlineLevel="0" collapsed="false">
      <c r="A62" s="1" t="s">
        <v>15</v>
      </c>
      <c r="B62" s="1" t="n">
        <v>60</v>
      </c>
      <c r="D62" s="1" t="n">
        <v>165050</v>
      </c>
      <c r="E62" s="1" t="n">
        <v>0.128859</v>
      </c>
      <c r="G62" s="1" t="n">
        <v>0.004734278</v>
      </c>
      <c r="H62" s="1" t="n">
        <v>0.004880905</v>
      </c>
      <c r="I62" s="1" t="n">
        <v>0.004756451</v>
      </c>
      <c r="J62" s="1" t="n">
        <v>0.001961231</v>
      </c>
      <c r="K62" s="1" t="n">
        <v>0.001691818</v>
      </c>
      <c r="L62" s="1" t="n">
        <v>0.00139904</v>
      </c>
      <c r="M62" s="1" t="n">
        <v>0.001488686</v>
      </c>
      <c r="N62" s="1" t="n">
        <v>0.001630068</v>
      </c>
      <c r="O62" s="1" t="n">
        <v>0.001562357</v>
      </c>
      <c r="P62" s="1" t="n">
        <v>0.001512289</v>
      </c>
      <c r="R62" s="1" t="n">
        <f aca="false">PERCENTILE(G62:P62,0.9)</f>
        <v>0.0047688964</v>
      </c>
      <c r="S62" s="5" t="n">
        <f aca="false">spmv_1!R$2/R62</f>
        <v>3.65351790825232</v>
      </c>
      <c r="T62" s="6" t="n">
        <f aca="false">S62/64</f>
        <v>0.0570862173164424</v>
      </c>
    </row>
    <row r="63" customFormat="false" ht="15" hidden="false" customHeight="false" outlineLevel="0" collapsed="false">
      <c r="A63" s="1" t="s">
        <v>15</v>
      </c>
      <c r="B63" s="1" t="n">
        <v>61</v>
      </c>
      <c r="D63" s="1" t="n">
        <v>165392</v>
      </c>
      <c r="E63" s="1" t="n">
        <v>0.127539</v>
      </c>
      <c r="G63" s="1" t="n">
        <v>0.004788399</v>
      </c>
      <c r="H63" s="1" t="n">
        <v>0.004898787</v>
      </c>
      <c r="I63" s="1" t="n">
        <v>0.004789829</v>
      </c>
      <c r="J63" s="1" t="n">
        <v>0.00199914</v>
      </c>
      <c r="K63" s="1" t="n">
        <v>0.001718521</v>
      </c>
      <c r="L63" s="1" t="n">
        <v>0.001422405</v>
      </c>
      <c r="M63" s="1" t="n">
        <v>0.001518488</v>
      </c>
      <c r="N63" s="1" t="n">
        <v>0.001668692</v>
      </c>
      <c r="O63" s="1" t="n">
        <v>0.001594067</v>
      </c>
      <c r="P63" s="1" t="n">
        <v>0.001537561</v>
      </c>
      <c r="R63" s="1" t="n">
        <f aca="false">PERCENTILE(G63:P63,0.9)</f>
        <v>0.0048007248</v>
      </c>
      <c r="S63" s="5" t="n">
        <f aca="false">spmv_1!R$2/R63</f>
        <v>3.62929539306231</v>
      </c>
      <c r="T63" s="6" t="n">
        <f aca="false">S63/64</f>
        <v>0.0567077405165987</v>
      </c>
    </row>
    <row r="64" customFormat="false" ht="15" hidden="false" customHeight="false" outlineLevel="0" collapsed="false">
      <c r="A64" s="1" t="s">
        <v>15</v>
      </c>
      <c r="B64" s="1" t="n">
        <v>62</v>
      </c>
      <c r="D64" s="1" t="n">
        <v>165770</v>
      </c>
      <c r="E64" s="1" t="n">
        <v>0.128753</v>
      </c>
      <c r="G64" s="1" t="n">
        <v>0.004772425</v>
      </c>
      <c r="H64" s="1" t="n">
        <v>0.004877567</v>
      </c>
      <c r="I64" s="1" t="n">
        <v>0.004759073</v>
      </c>
      <c r="J64" s="1" t="n">
        <v>0.001978397</v>
      </c>
      <c r="K64" s="1" t="n">
        <v>0.001687765</v>
      </c>
      <c r="L64" s="1" t="n">
        <v>0.001410484</v>
      </c>
      <c r="M64" s="1" t="n">
        <v>0.001516104</v>
      </c>
      <c r="N64" s="1" t="n">
        <v>0.001647711</v>
      </c>
      <c r="O64" s="1" t="n">
        <v>0.001568079</v>
      </c>
      <c r="P64" s="1" t="n">
        <v>0.001532555</v>
      </c>
      <c r="R64" s="1" t="n">
        <f aca="false">PERCENTILE(G64:P64,0.9)</f>
        <v>0.0047829392</v>
      </c>
      <c r="S64" s="5" t="n">
        <f aca="false">spmv_1!R$2/R64</f>
        <v>3.64279111053722</v>
      </c>
      <c r="T64" s="6" t="n">
        <f aca="false">S64/64</f>
        <v>0.056918611102144</v>
      </c>
    </row>
    <row r="65" customFormat="false" ht="15" hidden="false" customHeight="false" outlineLevel="0" collapsed="false">
      <c r="A65" s="1" t="s">
        <v>15</v>
      </c>
      <c r="B65" s="1" t="n">
        <v>63</v>
      </c>
      <c r="D65" s="1" t="n">
        <v>167249</v>
      </c>
      <c r="E65" s="1" t="n">
        <v>0.123662</v>
      </c>
      <c r="G65" s="1" t="n">
        <v>0.004962683</v>
      </c>
      <c r="H65" s="1" t="n">
        <v>0.005043507</v>
      </c>
      <c r="I65" s="1" t="n">
        <v>0.004914522</v>
      </c>
      <c r="J65" s="1" t="n">
        <v>0.002117872</v>
      </c>
      <c r="K65" s="1" t="n">
        <v>0.001809597</v>
      </c>
      <c r="L65" s="1" t="n">
        <v>0.001517534</v>
      </c>
      <c r="M65" s="1" t="n">
        <v>0.00164175</v>
      </c>
      <c r="N65" s="1" t="n">
        <v>0.001717329</v>
      </c>
      <c r="O65" s="1" t="n">
        <v>0.001694918</v>
      </c>
      <c r="P65" s="1" t="n">
        <v>0.001629591</v>
      </c>
      <c r="R65" s="1" t="n">
        <f aca="false">PERCENTILE(G65:P65,0.9)</f>
        <v>0.0049707654</v>
      </c>
      <c r="S65" s="5" t="n">
        <f aca="false">spmv_1!R$2/R65</f>
        <v>3.5051439764186</v>
      </c>
      <c r="T65" s="6" t="n">
        <f aca="false">S65/64</f>
        <v>0.0547678746315407</v>
      </c>
    </row>
    <row r="68" customFormat="false" ht="15" hidden="false" customHeight="false" outlineLevel="0" collapsed="false">
      <c r="A68" s="2" t="s">
        <v>0</v>
      </c>
      <c r="B68" s="2" t="s">
        <v>1</v>
      </c>
      <c r="C68" s="3"/>
      <c r="D68" s="2" t="s">
        <v>2</v>
      </c>
      <c r="E68" s="2" t="s">
        <v>3</v>
      </c>
      <c r="F68" s="3"/>
      <c r="G68" s="2" t="s">
        <v>4</v>
      </c>
      <c r="H68" s="2" t="s">
        <v>5</v>
      </c>
      <c r="I68" s="2" t="s">
        <v>6</v>
      </c>
      <c r="J68" s="2" t="s">
        <v>7</v>
      </c>
      <c r="K68" s="2" t="s">
        <v>8</v>
      </c>
      <c r="L68" s="2" t="s">
        <v>9</v>
      </c>
      <c r="M68" s="2" t="s">
        <v>10</v>
      </c>
      <c r="N68" s="2" t="s">
        <v>11</v>
      </c>
      <c r="O68" s="2" t="s">
        <v>12</v>
      </c>
      <c r="P68" s="2" t="s">
        <v>13</v>
      </c>
      <c r="R68" s="4" t="s">
        <v>14</v>
      </c>
      <c r="S68" s="7" t="s">
        <v>20</v>
      </c>
      <c r="T68" s="8" t="s">
        <v>21</v>
      </c>
    </row>
    <row r="69" customFormat="false" ht="15" hidden="false" customHeight="false" outlineLevel="0" collapsed="false">
      <c r="A69" s="1" t="s">
        <v>16</v>
      </c>
      <c r="B69" s="1" t="n">
        <v>0</v>
      </c>
      <c r="D69" s="1" t="n">
        <v>1732658</v>
      </c>
      <c r="E69" s="1" t="n">
        <v>0.141036</v>
      </c>
      <c r="G69" s="1" t="n">
        <v>0.025119543</v>
      </c>
      <c r="H69" s="1" t="n">
        <v>0.024617434</v>
      </c>
      <c r="I69" s="1" t="n">
        <v>0.024300814</v>
      </c>
      <c r="J69" s="1" t="n">
        <v>0.025197029</v>
      </c>
      <c r="K69" s="1" t="n">
        <v>0.024062157</v>
      </c>
      <c r="L69" s="1" t="n">
        <v>0.024871349</v>
      </c>
      <c r="M69" s="1" t="n">
        <v>0.024513721</v>
      </c>
      <c r="N69" s="1" t="n">
        <v>0.024371862</v>
      </c>
      <c r="O69" s="1" t="n">
        <v>0.024105787</v>
      </c>
      <c r="P69" s="1" t="n">
        <v>0.024545431</v>
      </c>
      <c r="R69" s="1" t="n">
        <f aca="false">PERCENTILE(G69:P69,0.9)</f>
        <v>0.0251272916</v>
      </c>
      <c r="S69" s="5" t="n">
        <f aca="false">spmv_1!R$6/R69</f>
        <v>6.69529423537235</v>
      </c>
      <c r="T69" s="6" t="n">
        <f aca="false">S69/64</f>
        <v>0.104613972427693</v>
      </c>
    </row>
    <row r="70" customFormat="false" ht="15" hidden="false" customHeight="false" outlineLevel="0" collapsed="false">
      <c r="A70" s="1" t="s">
        <v>16</v>
      </c>
      <c r="B70" s="1" t="n">
        <v>1</v>
      </c>
      <c r="D70" s="1" t="n">
        <v>1732676</v>
      </c>
      <c r="E70" s="1" t="n">
        <v>0.141912</v>
      </c>
      <c r="G70" s="1" t="n">
        <v>0.024992704</v>
      </c>
      <c r="H70" s="1" t="n">
        <v>0.024395227</v>
      </c>
      <c r="I70" s="1" t="n">
        <v>0.02420187</v>
      </c>
      <c r="J70" s="1" t="n">
        <v>0.024955988</v>
      </c>
      <c r="K70" s="1" t="n">
        <v>0.024016619</v>
      </c>
      <c r="L70" s="1" t="n">
        <v>0.024699926</v>
      </c>
      <c r="M70" s="1" t="n">
        <v>0.024389029</v>
      </c>
      <c r="N70" s="1" t="n">
        <v>0.024151564</v>
      </c>
      <c r="O70" s="1" t="n">
        <v>0.024024248</v>
      </c>
      <c r="P70" s="1" t="n">
        <v>0.024362564</v>
      </c>
      <c r="R70" s="1" t="n">
        <f aca="false">PERCENTILE(G70:P70,0.9)</f>
        <v>0.0249596596</v>
      </c>
      <c r="S70" s="5" t="n">
        <f aca="false">spmv_1!R$6/R70</f>
        <v>6.74026061637475</v>
      </c>
      <c r="T70" s="6" t="n">
        <f aca="false">S70/64</f>
        <v>0.105316572130856</v>
      </c>
    </row>
    <row r="71" customFormat="false" ht="15" hidden="false" customHeight="false" outlineLevel="0" collapsed="false">
      <c r="A71" s="1" t="s">
        <v>16</v>
      </c>
      <c r="B71" s="1" t="n">
        <v>2</v>
      </c>
      <c r="D71" s="1" t="n">
        <v>1732256</v>
      </c>
      <c r="E71" s="1" t="n">
        <v>0.141798</v>
      </c>
      <c r="G71" s="1" t="n">
        <v>0.025058031</v>
      </c>
      <c r="H71" s="1" t="n">
        <v>0.024392605</v>
      </c>
      <c r="I71" s="1" t="n">
        <v>0.024171829</v>
      </c>
      <c r="J71" s="1" t="n">
        <v>0.024938345</v>
      </c>
      <c r="K71" s="1" t="n">
        <v>0.024012566</v>
      </c>
      <c r="L71" s="1" t="n">
        <v>0.024749041</v>
      </c>
      <c r="M71" s="1" t="n">
        <v>0.024406672</v>
      </c>
      <c r="N71" s="1" t="n">
        <v>0.024180889</v>
      </c>
      <c r="O71" s="1" t="n">
        <v>0.024049759</v>
      </c>
      <c r="P71" s="1" t="n">
        <v>0.024368048</v>
      </c>
      <c r="R71" s="1" t="n">
        <f aca="false">PERCENTILE(G71:P71,0.9)</f>
        <v>0.0249503136</v>
      </c>
      <c r="S71" s="5" t="n">
        <f aca="false">spmv_1!R$6/R71</f>
        <v>6.74278541332643</v>
      </c>
      <c r="T71" s="6" t="n">
        <f aca="false">S71/64</f>
        <v>0.105356022083225</v>
      </c>
    </row>
    <row r="72" customFormat="false" ht="15" hidden="false" customHeight="false" outlineLevel="0" collapsed="false">
      <c r="A72" s="1" t="s">
        <v>16</v>
      </c>
      <c r="B72" s="1" t="n">
        <v>3</v>
      </c>
      <c r="D72" s="1" t="n">
        <v>1732270</v>
      </c>
      <c r="E72" s="1" t="n">
        <v>0.142325</v>
      </c>
      <c r="G72" s="1" t="n">
        <v>0.025071144</v>
      </c>
      <c r="H72" s="1" t="n">
        <v>0.024425745</v>
      </c>
      <c r="I72" s="1" t="n">
        <v>0.023699522</v>
      </c>
      <c r="J72" s="1" t="n">
        <v>0.024987936</v>
      </c>
      <c r="K72" s="1" t="n">
        <v>0.023846388</v>
      </c>
      <c r="L72" s="1" t="n">
        <v>0.024581909</v>
      </c>
      <c r="M72" s="1" t="n">
        <v>0.024379015</v>
      </c>
      <c r="N72" s="1" t="n">
        <v>0.024145842</v>
      </c>
      <c r="O72" s="1" t="n">
        <v>0.023893356</v>
      </c>
      <c r="P72" s="1" t="n">
        <v>0.024394035</v>
      </c>
      <c r="R72" s="1" t="n">
        <f aca="false">PERCENTILE(G72:P72,0.9)</f>
        <v>0.0249962568</v>
      </c>
      <c r="S72" s="5" t="n">
        <f aca="false">spmv_1!R$6/R72</f>
        <v>6.73039215215616</v>
      </c>
      <c r="T72" s="6" t="n">
        <f aca="false">S72/64</f>
        <v>0.10516237737744</v>
      </c>
    </row>
    <row r="73" customFormat="false" ht="15" hidden="false" customHeight="false" outlineLevel="0" collapsed="false">
      <c r="A73" s="1" t="s">
        <v>16</v>
      </c>
      <c r="B73" s="1" t="n">
        <v>4</v>
      </c>
      <c r="D73" s="1" t="n">
        <v>1731826</v>
      </c>
      <c r="E73" s="1" t="n">
        <v>0.144171</v>
      </c>
      <c r="G73" s="1" t="n">
        <v>0.024641275</v>
      </c>
      <c r="H73" s="1" t="n">
        <v>0.024158716</v>
      </c>
      <c r="I73" s="1" t="n">
        <v>0.023179293</v>
      </c>
      <c r="J73" s="1" t="n">
        <v>0.024785519</v>
      </c>
      <c r="K73" s="1" t="n">
        <v>0.023583174</v>
      </c>
      <c r="L73" s="1" t="n">
        <v>0.024349451</v>
      </c>
      <c r="M73" s="1" t="n">
        <v>0.024044514</v>
      </c>
      <c r="N73" s="1" t="n">
        <v>0.023766279</v>
      </c>
      <c r="O73" s="1" t="n">
        <v>0.023624897</v>
      </c>
      <c r="P73" s="1" t="n">
        <v>0.024112463</v>
      </c>
      <c r="R73" s="1" t="n">
        <f aca="false">PERCENTILE(G73:P73,0.9)</f>
        <v>0.0246556994</v>
      </c>
      <c r="S73" s="5" t="n">
        <f aca="false">spmv_1!R$6/R73</f>
        <v>6.82335584445031</v>
      </c>
      <c r="T73" s="6" t="n">
        <f aca="false">S73/64</f>
        <v>0.106614935069536</v>
      </c>
    </row>
    <row r="74" customFormat="false" ht="15" hidden="false" customHeight="false" outlineLevel="0" collapsed="false">
      <c r="A74" s="1" t="s">
        <v>16</v>
      </c>
      <c r="B74" s="1" t="n">
        <v>5</v>
      </c>
      <c r="D74" s="1" t="n">
        <v>1731808</v>
      </c>
      <c r="E74" s="1" t="n">
        <v>0.14546</v>
      </c>
      <c r="G74" s="1" t="n">
        <v>0.024469852</v>
      </c>
      <c r="H74" s="1" t="n">
        <v>0.023926258</v>
      </c>
      <c r="I74" s="1" t="n">
        <v>0.023012638</v>
      </c>
      <c r="J74" s="1" t="n">
        <v>0.024291277</v>
      </c>
      <c r="K74" s="1" t="n">
        <v>0.023362398</v>
      </c>
      <c r="L74" s="1" t="n">
        <v>0.024172068</v>
      </c>
      <c r="M74" s="1" t="n">
        <v>0.023883581</v>
      </c>
      <c r="N74" s="1" t="n">
        <v>0.023591518</v>
      </c>
      <c r="O74" s="1" t="n">
        <v>0.023454905</v>
      </c>
      <c r="P74" s="1" t="n">
        <v>0.023949385</v>
      </c>
      <c r="R74" s="1" t="n">
        <f aca="false">PERCENTILE(G74:P74,0.9)</f>
        <v>0.0243091345</v>
      </c>
      <c r="S74" s="5" t="n">
        <f aca="false">spmv_1!R$6/R74</f>
        <v>6.92063350095825</v>
      </c>
      <c r="T74" s="6" t="n">
        <f aca="false">S74/64</f>
        <v>0.108134898452473</v>
      </c>
    </row>
    <row r="75" customFormat="false" ht="15" hidden="false" customHeight="false" outlineLevel="0" collapsed="false">
      <c r="A75" s="1" t="s">
        <v>16</v>
      </c>
      <c r="B75" s="1" t="n">
        <v>6</v>
      </c>
      <c r="D75" s="1" t="n">
        <v>1732108</v>
      </c>
      <c r="E75" s="1" t="n">
        <v>0.147574</v>
      </c>
      <c r="G75" s="1" t="n">
        <v>0.024107695</v>
      </c>
      <c r="H75" s="1" t="n">
        <v>0.02365303</v>
      </c>
      <c r="I75" s="1" t="n">
        <v>0.022736311</v>
      </c>
      <c r="J75" s="1" t="n">
        <v>0.024002552</v>
      </c>
      <c r="K75" s="1" t="n">
        <v>0.023044109</v>
      </c>
      <c r="L75" s="1" t="n">
        <v>0.023809433</v>
      </c>
      <c r="M75" s="1" t="n">
        <v>0.0235672</v>
      </c>
      <c r="N75" s="1" t="n">
        <v>0.023311377</v>
      </c>
      <c r="O75" s="1" t="n">
        <v>0.023132801</v>
      </c>
      <c r="P75" s="1" t="n">
        <v>0.023379326</v>
      </c>
      <c r="R75" s="1" t="n">
        <f aca="false">PERCENTILE(G75:P75,0.9)</f>
        <v>0.0240130663</v>
      </c>
      <c r="S75" s="5" t="n">
        <f aca="false">spmv_1!R$6/R75</f>
        <v>7.00596119205318</v>
      </c>
      <c r="T75" s="6" t="n">
        <f aca="false">S75/64</f>
        <v>0.109468143625831</v>
      </c>
    </row>
    <row r="76" customFormat="false" ht="15" hidden="false" customHeight="false" outlineLevel="0" collapsed="false">
      <c r="A76" s="1" t="s">
        <v>16</v>
      </c>
      <c r="B76" s="1" t="n">
        <v>7</v>
      </c>
      <c r="D76" s="1" t="n">
        <v>1732120</v>
      </c>
      <c r="E76" s="1" t="n">
        <v>0.148529</v>
      </c>
      <c r="G76" s="1" t="n">
        <v>0.024135351</v>
      </c>
      <c r="H76" s="1" t="n">
        <v>0.023400545</v>
      </c>
      <c r="I76" s="1" t="n">
        <v>0.022681236</v>
      </c>
      <c r="J76" s="1" t="n">
        <v>0.023762941</v>
      </c>
      <c r="K76" s="1" t="n">
        <v>0.022946835</v>
      </c>
      <c r="L76" s="1" t="n">
        <v>0.023668289</v>
      </c>
      <c r="M76" s="1" t="n">
        <v>0.023332596</v>
      </c>
      <c r="N76" s="1" t="n">
        <v>0.023073912</v>
      </c>
      <c r="O76" s="1" t="n">
        <v>0.023048878</v>
      </c>
      <c r="P76" s="1" t="n">
        <v>0.023185968</v>
      </c>
      <c r="R76" s="1" t="n">
        <f aca="false">PERCENTILE(G76:P76,0.9)</f>
        <v>0.023800182</v>
      </c>
      <c r="S76" s="5" t="n">
        <f aca="false">spmv_1!R$6/R76</f>
        <v>7.0686270634401</v>
      </c>
      <c r="T76" s="6" t="n">
        <f aca="false">S76/64</f>
        <v>0.110447297866252</v>
      </c>
    </row>
    <row r="77" customFormat="false" ht="15" hidden="false" customHeight="false" outlineLevel="0" collapsed="false">
      <c r="A77" s="1" t="s">
        <v>16</v>
      </c>
      <c r="B77" s="1" t="n">
        <v>8</v>
      </c>
      <c r="D77" s="1" t="n">
        <v>1732828</v>
      </c>
      <c r="E77" s="1" t="n">
        <v>0.151296</v>
      </c>
      <c r="G77" s="1" t="n">
        <v>0.023427963</v>
      </c>
      <c r="H77" s="1" t="n">
        <v>0.023144007</v>
      </c>
      <c r="I77" s="1" t="n">
        <v>0.022202015</v>
      </c>
      <c r="J77" s="1" t="n">
        <v>0.023498297</v>
      </c>
      <c r="K77" s="1" t="n">
        <v>0.022481441</v>
      </c>
      <c r="L77" s="1" t="n">
        <v>0.023300171</v>
      </c>
      <c r="M77" s="1" t="n">
        <v>0.022889137</v>
      </c>
      <c r="N77" s="1" t="n">
        <v>0.022687674</v>
      </c>
      <c r="O77" s="1" t="n">
        <v>0.022639275</v>
      </c>
      <c r="P77" s="1" t="n">
        <v>0.022794962</v>
      </c>
      <c r="R77" s="1" t="n">
        <f aca="false">PERCENTILE(G77:P77,0.9)</f>
        <v>0.0234349964</v>
      </c>
      <c r="S77" s="5" t="n">
        <f aca="false">spmv_1!R$6/R77</f>
        <v>7.17877689112852</v>
      </c>
      <c r="T77" s="6" t="n">
        <f aca="false">S77/64</f>
        <v>0.112168388923883</v>
      </c>
    </row>
    <row r="78" customFormat="false" ht="15" hidden="false" customHeight="false" outlineLevel="0" collapsed="false">
      <c r="A78" s="1" t="s">
        <v>16</v>
      </c>
      <c r="B78" s="1" t="n">
        <v>9</v>
      </c>
      <c r="D78" s="1" t="n">
        <v>1732838</v>
      </c>
      <c r="E78" s="1" t="n">
        <v>0.151451</v>
      </c>
      <c r="G78" s="1" t="n">
        <v>0.023529291</v>
      </c>
      <c r="H78" s="1" t="n">
        <v>0.023034334</v>
      </c>
      <c r="I78" s="1" t="n">
        <v>0.022294998</v>
      </c>
      <c r="J78" s="1" t="n">
        <v>0.023329258</v>
      </c>
      <c r="K78" s="1" t="n">
        <v>0.022523403</v>
      </c>
      <c r="L78" s="1" t="n">
        <v>0.023254871</v>
      </c>
      <c r="M78" s="1" t="n">
        <v>0.022886276</v>
      </c>
      <c r="N78" s="1" t="n">
        <v>0.022639275</v>
      </c>
      <c r="O78" s="1" t="n">
        <v>0.022654295</v>
      </c>
      <c r="P78" s="1" t="n">
        <v>0.022685051</v>
      </c>
      <c r="R78" s="1" t="n">
        <f aca="false">PERCENTILE(G78:P78,0.9)</f>
        <v>0.0233492613</v>
      </c>
      <c r="S78" s="5" t="n">
        <f aca="false">spmv_1!R$6/R78</f>
        <v>7.20513631838109</v>
      </c>
      <c r="T78" s="6" t="n">
        <f aca="false">S78/64</f>
        <v>0.112580254974704</v>
      </c>
    </row>
    <row r="79" customFormat="false" ht="15" hidden="false" customHeight="false" outlineLevel="0" collapsed="false">
      <c r="A79" s="1" t="s">
        <v>16</v>
      </c>
      <c r="B79" s="1" t="n">
        <v>10</v>
      </c>
      <c r="D79" s="1" t="n">
        <v>1732720</v>
      </c>
      <c r="E79" s="1" t="n">
        <v>0.155427</v>
      </c>
      <c r="G79" s="1" t="n">
        <v>0.022807121</v>
      </c>
      <c r="H79" s="1" t="n">
        <v>0.022581339</v>
      </c>
      <c r="I79" s="1" t="n">
        <v>0.021627188</v>
      </c>
      <c r="J79" s="1" t="n">
        <v>0.022763252</v>
      </c>
      <c r="K79" s="1" t="n">
        <v>0.021838188</v>
      </c>
      <c r="L79" s="1" t="n">
        <v>0.022667646</v>
      </c>
      <c r="M79" s="1" t="n">
        <v>0.022239447</v>
      </c>
      <c r="N79" s="1" t="n">
        <v>0.022184849</v>
      </c>
      <c r="O79" s="1" t="n">
        <v>0.022031546</v>
      </c>
      <c r="P79" s="1" t="n">
        <v>0.022222281</v>
      </c>
      <c r="R79" s="1" t="n">
        <f aca="false">PERCENTILE(G79:P79,0.9)</f>
        <v>0.0227676389</v>
      </c>
      <c r="S79" s="5" t="n">
        <f aca="false">spmv_1!R$6/R79</f>
        <v>7.38919882465283</v>
      </c>
      <c r="T79" s="6" t="n">
        <f aca="false">S79/64</f>
        <v>0.1154562316352</v>
      </c>
    </row>
    <row r="80" customFormat="false" ht="15" hidden="false" customHeight="false" outlineLevel="0" collapsed="false">
      <c r="A80" s="1" t="s">
        <v>16</v>
      </c>
      <c r="B80" s="1" t="n">
        <v>11</v>
      </c>
      <c r="D80" s="1" t="n">
        <v>1732692</v>
      </c>
      <c r="E80" s="1" t="n">
        <v>0.155183</v>
      </c>
      <c r="G80" s="1" t="n">
        <v>0.022895098</v>
      </c>
      <c r="H80" s="1" t="n">
        <v>0.022251844</v>
      </c>
      <c r="I80" s="1" t="n">
        <v>0.021656752</v>
      </c>
      <c r="J80" s="1" t="n">
        <v>0.022907019</v>
      </c>
      <c r="K80" s="1" t="n">
        <v>0.021985292</v>
      </c>
      <c r="L80" s="1" t="n">
        <v>0.0227561</v>
      </c>
      <c r="M80" s="1" t="n">
        <v>0.022351503</v>
      </c>
      <c r="N80" s="1" t="n">
        <v>0.022188425</v>
      </c>
      <c r="O80" s="1" t="n">
        <v>0.022104979</v>
      </c>
      <c r="P80" s="1" t="n">
        <v>0.022212982</v>
      </c>
      <c r="R80" s="1" t="n">
        <f aca="false">PERCENTILE(G80:P80,0.9)</f>
        <v>0.0228962901</v>
      </c>
      <c r="S80" s="5" t="n">
        <f aca="false">spmv_1!R$6/R80</f>
        <v>7.34767990208161</v>
      </c>
      <c r="T80" s="6" t="n">
        <f aca="false">S80/64</f>
        <v>0.114807498470025</v>
      </c>
    </row>
    <row r="81" customFormat="false" ht="15" hidden="false" customHeight="false" outlineLevel="0" collapsed="false">
      <c r="A81" s="1" t="s">
        <v>16</v>
      </c>
      <c r="B81" s="1" t="n">
        <v>12</v>
      </c>
      <c r="D81" s="1" t="n">
        <v>1732800</v>
      </c>
      <c r="E81" s="1" t="n">
        <v>0.156858</v>
      </c>
      <c r="G81" s="1" t="n">
        <v>0.02283144</v>
      </c>
      <c r="H81" s="1" t="n">
        <v>0.02196312</v>
      </c>
      <c r="I81" s="1" t="n">
        <v>0.021310091</v>
      </c>
      <c r="J81" s="1" t="n">
        <v>0.022642136</v>
      </c>
      <c r="K81" s="1" t="n">
        <v>0.021688461</v>
      </c>
      <c r="L81" s="1" t="n">
        <v>0.022587299</v>
      </c>
      <c r="M81" s="1" t="n">
        <v>0.022150278</v>
      </c>
      <c r="N81" s="1" t="n">
        <v>0.021872044</v>
      </c>
      <c r="O81" s="1" t="n">
        <v>0.021905899</v>
      </c>
      <c r="P81" s="1" t="n">
        <v>0.021987677</v>
      </c>
      <c r="R81" s="1" t="n">
        <f aca="false">PERCENTILE(G81:P81,0.9)</f>
        <v>0.0226610664</v>
      </c>
      <c r="S81" s="5" t="n">
        <f aca="false">spmv_1!R$6/R81</f>
        <v>7.42394941307793</v>
      </c>
      <c r="T81" s="6" t="n">
        <f aca="false">S81/64</f>
        <v>0.115999209579343</v>
      </c>
    </row>
    <row r="82" customFormat="false" ht="15" hidden="false" customHeight="false" outlineLevel="0" collapsed="false">
      <c r="A82" s="1" t="s">
        <v>16</v>
      </c>
      <c r="B82" s="1" t="n">
        <v>13</v>
      </c>
      <c r="D82" s="1" t="n">
        <v>1732810</v>
      </c>
      <c r="E82" s="1" t="n">
        <v>0.157175</v>
      </c>
      <c r="G82" s="1" t="n">
        <v>0.023312807</v>
      </c>
      <c r="H82" s="1" t="n">
        <v>0.021859884</v>
      </c>
      <c r="I82" s="1" t="n">
        <v>0.02183342</v>
      </c>
      <c r="J82" s="1" t="n">
        <v>0.022328138</v>
      </c>
      <c r="K82" s="1" t="n">
        <v>0.021888256</v>
      </c>
      <c r="L82" s="1" t="n">
        <v>0.022177219</v>
      </c>
      <c r="M82" s="1" t="n">
        <v>0.022055864</v>
      </c>
      <c r="N82" s="1" t="n">
        <v>0.021654606</v>
      </c>
      <c r="O82" s="1" t="n">
        <v>0.021747828</v>
      </c>
      <c r="P82" s="1" t="n">
        <v>0.021636248</v>
      </c>
      <c r="R82" s="1" t="n">
        <f aca="false">PERCENTILE(G82:P82,0.9)</f>
        <v>0.0224266049</v>
      </c>
      <c r="S82" s="5" t="n">
        <f aca="false">spmv_1!R$6/R82</f>
        <v>7.5015639393549</v>
      </c>
      <c r="T82" s="6" t="n">
        <f aca="false">S82/64</f>
        <v>0.11721193655242</v>
      </c>
    </row>
    <row r="83" customFormat="false" ht="15" hidden="false" customHeight="false" outlineLevel="0" collapsed="false">
      <c r="A83" s="1" t="s">
        <v>16</v>
      </c>
      <c r="B83" s="1" t="n">
        <v>14</v>
      </c>
      <c r="D83" s="1" t="n">
        <v>1732708</v>
      </c>
      <c r="E83" s="1" t="n">
        <v>0.15461</v>
      </c>
      <c r="G83" s="1" t="n">
        <v>0.023759365</v>
      </c>
      <c r="H83" s="1" t="n">
        <v>0.022344828</v>
      </c>
      <c r="I83" s="1" t="n">
        <v>0.022173882</v>
      </c>
      <c r="J83" s="1" t="n">
        <v>0.022494793</v>
      </c>
      <c r="K83" s="1" t="n">
        <v>0.022310019</v>
      </c>
      <c r="L83" s="1" t="n">
        <v>0.02262187</v>
      </c>
      <c r="M83" s="1" t="n">
        <v>0.022444487</v>
      </c>
      <c r="N83" s="1" t="n">
        <v>0.021935225</v>
      </c>
      <c r="O83" s="1" t="n">
        <v>0.022196054</v>
      </c>
      <c r="P83" s="1" t="n">
        <v>0.021858931</v>
      </c>
      <c r="R83" s="1" t="n">
        <f aca="false">PERCENTILE(G83:P83,0.9)</f>
        <v>0.0227356195</v>
      </c>
      <c r="S83" s="5" t="n">
        <f aca="false">spmv_1!R$6/R83</f>
        <v>7.39960530215594</v>
      </c>
      <c r="T83" s="6" t="n">
        <f aca="false">S83/64</f>
        <v>0.115618832846187</v>
      </c>
    </row>
    <row r="84" customFormat="false" ht="15" hidden="false" customHeight="false" outlineLevel="0" collapsed="false">
      <c r="A84" s="1" t="s">
        <v>16</v>
      </c>
      <c r="B84" s="1" t="n">
        <v>15</v>
      </c>
      <c r="D84" s="1" t="n">
        <v>1732716</v>
      </c>
      <c r="E84" s="1" t="n">
        <v>0.156905</v>
      </c>
      <c r="G84" s="1" t="n">
        <v>0.023660183</v>
      </c>
      <c r="H84" s="1" t="n">
        <v>0.022036552</v>
      </c>
      <c r="I84" s="1" t="n">
        <v>0.021739483</v>
      </c>
      <c r="J84" s="1" t="n">
        <v>0.022043705</v>
      </c>
      <c r="K84" s="1" t="n">
        <v>0.021962881</v>
      </c>
      <c r="L84" s="1" t="n">
        <v>0.022262573</v>
      </c>
      <c r="M84" s="1" t="n">
        <v>0.022198915</v>
      </c>
      <c r="N84" s="1" t="n">
        <v>0.021569967</v>
      </c>
      <c r="O84" s="1" t="n">
        <v>0.02186799</v>
      </c>
      <c r="P84" s="1" t="n">
        <v>0.021520138</v>
      </c>
      <c r="R84" s="1" t="n">
        <f aca="false">PERCENTILE(G84:P84,0.9)</f>
        <v>0.022402334</v>
      </c>
      <c r="S84" s="5" t="n">
        <f aca="false">spmv_1!R$6/R84</f>
        <v>7.50969120449682</v>
      </c>
      <c r="T84" s="6" t="n">
        <f aca="false">S84/64</f>
        <v>0.117338925070263</v>
      </c>
    </row>
    <row r="85" customFormat="false" ht="15" hidden="false" customHeight="false" outlineLevel="0" collapsed="false">
      <c r="A85" s="1" t="s">
        <v>16</v>
      </c>
      <c r="B85" s="1" t="n">
        <v>16</v>
      </c>
      <c r="D85" s="1" t="n">
        <v>1732658</v>
      </c>
      <c r="E85" s="1" t="n">
        <v>0.150836</v>
      </c>
      <c r="G85" s="1" t="n">
        <v>0.024187326</v>
      </c>
      <c r="H85" s="1" t="n">
        <v>0.023140907</v>
      </c>
      <c r="I85" s="1" t="n">
        <v>0.022632122</v>
      </c>
      <c r="J85" s="1" t="n">
        <v>0.023128986</v>
      </c>
      <c r="K85" s="1" t="n">
        <v>0.022768259</v>
      </c>
      <c r="L85" s="1" t="n">
        <v>0.023173571</v>
      </c>
      <c r="M85" s="1" t="n">
        <v>0.022959709</v>
      </c>
      <c r="N85" s="1" t="n">
        <v>0.022521496</v>
      </c>
      <c r="O85" s="1" t="n">
        <v>0.022778988</v>
      </c>
      <c r="P85" s="1" t="n">
        <v>0.022449017</v>
      </c>
      <c r="R85" s="1" t="n">
        <f aca="false">PERCENTILE(G85:P85,0.9)</f>
        <v>0.0232749465</v>
      </c>
      <c r="S85" s="5" t="n">
        <f aca="false">spmv_1!R$6/R85</f>
        <v>7.22814166726441</v>
      </c>
      <c r="T85" s="6" t="n">
        <f aca="false">S85/64</f>
        <v>0.112939713551006</v>
      </c>
    </row>
    <row r="86" customFormat="false" ht="15" hidden="false" customHeight="false" outlineLevel="0" collapsed="false">
      <c r="A86" s="1" t="s">
        <v>16</v>
      </c>
      <c r="B86" s="1" t="n">
        <v>17</v>
      </c>
      <c r="D86" s="1" t="n">
        <v>1732664</v>
      </c>
      <c r="E86" s="1" t="n">
        <v>0.151044</v>
      </c>
      <c r="G86" s="1" t="n">
        <v>0.024348974</v>
      </c>
      <c r="H86" s="1" t="n">
        <v>0.023112059</v>
      </c>
      <c r="I86" s="1" t="n">
        <v>0.022573471</v>
      </c>
      <c r="J86" s="1" t="n">
        <v>0.02293396</v>
      </c>
      <c r="K86" s="1" t="n">
        <v>0.022762775</v>
      </c>
      <c r="L86" s="1" t="n">
        <v>0.023167133</v>
      </c>
      <c r="M86" s="1" t="n">
        <v>0.023054123</v>
      </c>
      <c r="N86" s="1" t="n">
        <v>0.022464991</v>
      </c>
      <c r="O86" s="1" t="n">
        <v>0.022700071</v>
      </c>
      <c r="P86" s="1" t="n">
        <v>0.022306919</v>
      </c>
      <c r="R86" s="1" t="n">
        <f aca="false">PERCENTILE(G86:P86,0.9)</f>
        <v>0.0232853171</v>
      </c>
      <c r="S86" s="5" t="n">
        <f aca="false">spmv_1!R$6/R86</f>
        <v>7.22492246412225</v>
      </c>
      <c r="T86" s="6" t="n">
        <f aca="false">S86/64</f>
        <v>0.11288941350191</v>
      </c>
    </row>
    <row r="87" customFormat="false" ht="15" hidden="false" customHeight="false" outlineLevel="0" collapsed="false">
      <c r="A87" s="1" t="s">
        <v>16</v>
      </c>
      <c r="B87" s="1" t="n">
        <v>18</v>
      </c>
      <c r="D87" s="1" t="n">
        <v>1732400</v>
      </c>
      <c r="E87" s="1" t="n">
        <v>0.147999</v>
      </c>
      <c r="G87" s="1" t="n">
        <v>0.024736643</v>
      </c>
      <c r="H87" s="1" t="n">
        <v>0.023646355</v>
      </c>
      <c r="I87" s="1" t="n">
        <v>0.022994757</v>
      </c>
      <c r="J87" s="1" t="n">
        <v>0.02350688</v>
      </c>
      <c r="K87" s="1" t="n">
        <v>0.023236275</v>
      </c>
      <c r="L87" s="1" t="n">
        <v>0.023573637</v>
      </c>
      <c r="M87" s="1" t="n">
        <v>0.023540497</v>
      </c>
      <c r="N87" s="1" t="n">
        <v>0.022924662</v>
      </c>
      <c r="O87" s="1" t="n">
        <v>0.02312851</v>
      </c>
      <c r="P87" s="1" t="n">
        <v>0.022822142</v>
      </c>
      <c r="R87" s="1" t="n">
        <f aca="false">PERCENTILE(G87:P87,0.9)</f>
        <v>0.0237553838</v>
      </c>
      <c r="S87" s="5" t="n">
        <f aca="false">spmv_1!R$6/R87</f>
        <v>7.08195716879977</v>
      </c>
      <c r="T87" s="6" t="n">
        <f aca="false">S87/64</f>
        <v>0.110655580762496</v>
      </c>
    </row>
    <row r="88" customFormat="false" ht="15" hidden="false" customHeight="false" outlineLevel="0" collapsed="false">
      <c r="A88" s="1" t="s">
        <v>16</v>
      </c>
      <c r="B88" s="1" t="n">
        <v>19</v>
      </c>
      <c r="D88" s="1" t="n">
        <v>1732368</v>
      </c>
      <c r="E88" s="1" t="n">
        <v>0.146128</v>
      </c>
      <c r="G88" s="1" t="n">
        <v>0.025071383</v>
      </c>
      <c r="H88" s="1" t="n">
        <v>0.023906469</v>
      </c>
      <c r="I88" s="1" t="n">
        <v>0.023317337</v>
      </c>
      <c r="J88" s="1" t="n">
        <v>0.023765326</v>
      </c>
      <c r="K88" s="1" t="n">
        <v>0.023519754</v>
      </c>
      <c r="L88" s="1" t="n">
        <v>0.023915291</v>
      </c>
      <c r="M88" s="1" t="n">
        <v>0.023728371</v>
      </c>
      <c r="N88" s="1" t="n">
        <v>0.023252726</v>
      </c>
      <c r="O88" s="1" t="n">
        <v>0.02345252</v>
      </c>
      <c r="P88" s="1" t="n">
        <v>0.023174047</v>
      </c>
      <c r="R88" s="1" t="n">
        <f aca="false">PERCENTILE(G88:P88,0.9)</f>
        <v>0.0240309002</v>
      </c>
      <c r="S88" s="5" t="n">
        <f aca="false">spmv_1!R$6/R88</f>
        <v>7.00076190237767</v>
      </c>
      <c r="T88" s="6" t="n">
        <f aca="false">S88/64</f>
        <v>0.109386904724651</v>
      </c>
    </row>
    <row r="89" customFormat="false" ht="15" hidden="false" customHeight="false" outlineLevel="0" collapsed="false">
      <c r="A89" s="1" t="s">
        <v>16</v>
      </c>
      <c r="B89" s="1" t="n">
        <v>20</v>
      </c>
      <c r="D89" s="1" t="n">
        <v>1732136</v>
      </c>
      <c r="E89" s="1" t="n">
        <v>0.147739</v>
      </c>
      <c r="G89" s="1" t="n">
        <v>0.024399519</v>
      </c>
      <c r="H89" s="1" t="n">
        <v>0.023505926</v>
      </c>
      <c r="I89" s="1" t="n">
        <v>0.023397684</v>
      </c>
      <c r="J89" s="1" t="n">
        <v>0.023507595</v>
      </c>
      <c r="K89" s="1" t="n">
        <v>0.023220301</v>
      </c>
      <c r="L89" s="1" t="n">
        <v>0.023711205</v>
      </c>
      <c r="M89" s="1" t="n">
        <v>0.023309708</v>
      </c>
      <c r="N89" s="1" t="n">
        <v>0.023077011</v>
      </c>
      <c r="O89" s="1" t="n">
        <v>0.023221016</v>
      </c>
      <c r="P89" s="1" t="n">
        <v>0.0231359</v>
      </c>
      <c r="R89" s="1" t="n">
        <f aca="false">PERCENTILE(G89:P89,0.9)</f>
        <v>0.0237800364</v>
      </c>
      <c r="S89" s="5" t="n">
        <f aca="false">spmv_1!R$6/R89</f>
        <v>7.07461535256523</v>
      </c>
      <c r="T89" s="6" t="n">
        <f aca="false">S89/64</f>
        <v>0.110540864883832</v>
      </c>
    </row>
    <row r="90" customFormat="false" ht="15" hidden="false" customHeight="false" outlineLevel="0" collapsed="false">
      <c r="A90" s="1" t="s">
        <v>16</v>
      </c>
      <c r="B90" s="1" t="n">
        <v>21</v>
      </c>
      <c r="D90" s="1" t="n">
        <v>1732136</v>
      </c>
      <c r="E90" s="1" t="n">
        <v>0.142627</v>
      </c>
      <c r="G90" s="1" t="n">
        <v>0.025458574</v>
      </c>
      <c r="H90" s="1" t="n">
        <v>0.024497509</v>
      </c>
      <c r="I90" s="1" t="n">
        <v>0.024023056</v>
      </c>
      <c r="J90" s="1" t="n">
        <v>0.024380207</v>
      </c>
      <c r="K90" s="1" t="n">
        <v>0.024032593</v>
      </c>
      <c r="L90" s="1" t="n">
        <v>0.02455616</v>
      </c>
      <c r="M90" s="1" t="n">
        <v>0.024149418</v>
      </c>
      <c r="N90" s="1" t="n">
        <v>0.023875237</v>
      </c>
      <c r="O90" s="1" t="n">
        <v>0.024015903</v>
      </c>
      <c r="P90" s="1" t="n">
        <v>0.023901701</v>
      </c>
      <c r="R90" s="1" t="n">
        <f aca="false">PERCENTILE(G90:P90,0.9)</f>
        <v>0.0246464014</v>
      </c>
      <c r="S90" s="5" t="n">
        <f aca="false">spmv_1!R$6/R90</f>
        <v>6.82592999560577</v>
      </c>
      <c r="T90" s="6" t="n">
        <f aca="false">S90/64</f>
        <v>0.10665515618134</v>
      </c>
    </row>
    <row r="91" customFormat="false" ht="15" hidden="false" customHeight="false" outlineLevel="0" collapsed="false">
      <c r="A91" s="1" t="s">
        <v>16</v>
      </c>
      <c r="B91" s="1" t="n">
        <v>22</v>
      </c>
      <c r="D91" s="1" t="n">
        <v>1732720</v>
      </c>
      <c r="E91" s="1" t="n">
        <v>0.140132</v>
      </c>
      <c r="G91" s="1" t="n">
        <v>0.025613308</v>
      </c>
      <c r="H91" s="1" t="n">
        <v>0.024913311</v>
      </c>
      <c r="I91" s="1" t="n">
        <v>0.02479744</v>
      </c>
      <c r="J91" s="1" t="n">
        <v>0.025135279</v>
      </c>
      <c r="K91" s="1" t="n">
        <v>0.024251699</v>
      </c>
      <c r="L91" s="1" t="n">
        <v>0.02496767</v>
      </c>
      <c r="M91" s="1" t="n">
        <v>0.024505615</v>
      </c>
      <c r="N91" s="1" t="n">
        <v>0.024385691</v>
      </c>
      <c r="O91" s="1" t="n">
        <v>0.024365664</v>
      </c>
      <c r="P91" s="1" t="n">
        <v>0.024361849</v>
      </c>
      <c r="R91" s="1" t="n">
        <f aca="false">PERCENTILE(G91:P91,0.9)</f>
        <v>0.0251830819</v>
      </c>
      <c r="S91" s="5" t="n">
        <f aca="false">spmv_1!R$6/R91</f>
        <v>6.68046156018736</v>
      </c>
      <c r="T91" s="6" t="n">
        <f aca="false">S91/64</f>
        <v>0.104382211877927</v>
      </c>
    </row>
    <row r="92" customFormat="false" ht="15" hidden="false" customHeight="false" outlineLevel="0" collapsed="false">
      <c r="A92" s="1" t="s">
        <v>16</v>
      </c>
      <c r="B92" s="1" t="n">
        <v>23</v>
      </c>
      <c r="D92" s="1" t="n">
        <v>1732720</v>
      </c>
      <c r="E92" s="1" t="n">
        <v>0.141975</v>
      </c>
      <c r="G92" s="1" t="n">
        <v>0.025206327</v>
      </c>
      <c r="H92" s="1" t="n">
        <v>0.024466991</v>
      </c>
      <c r="I92" s="1" t="n">
        <v>0.024616003</v>
      </c>
      <c r="J92" s="1" t="n">
        <v>0.02466011</v>
      </c>
      <c r="K92" s="1" t="n">
        <v>0.024014711</v>
      </c>
      <c r="L92" s="1" t="n">
        <v>0.024606228</v>
      </c>
      <c r="M92" s="1" t="n">
        <v>0.024205208</v>
      </c>
      <c r="N92" s="1" t="n">
        <v>0.024040937</v>
      </c>
      <c r="O92" s="1" t="n">
        <v>0.024027348</v>
      </c>
      <c r="P92" s="1" t="n">
        <v>0.024244547</v>
      </c>
      <c r="R92" s="1" t="n">
        <f aca="false">PERCENTILE(G92:P92,0.9)</f>
        <v>0.0247147317</v>
      </c>
      <c r="S92" s="5" t="n">
        <f aca="false">spmv_1!R$6/R92</f>
        <v>6.80705793783713</v>
      </c>
      <c r="T92" s="6" t="n">
        <f aca="false">S92/64</f>
        <v>0.106360280278705</v>
      </c>
    </row>
    <row r="93" customFormat="false" ht="15" hidden="false" customHeight="false" outlineLevel="0" collapsed="false">
      <c r="A93" s="1" t="s">
        <v>16</v>
      </c>
      <c r="B93" s="1" t="n">
        <v>24</v>
      </c>
      <c r="D93" s="1" t="n">
        <v>1732826</v>
      </c>
      <c r="E93" s="1" t="n">
        <v>0.1381</v>
      </c>
      <c r="G93" s="1" t="n">
        <v>0.026136398</v>
      </c>
      <c r="H93" s="1" t="n">
        <v>0.025261879</v>
      </c>
      <c r="I93" s="1" t="n">
        <v>0.025135279</v>
      </c>
      <c r="J93" s="1" t="n">
        <v>0.025330305</v>
      </c>
      <c r="K93" s="1" t="n">
        <v>0.024748087</v>
      </c>
      <c r="L93" s="1" t="n">
        <v>0.025246143</v>
      </c>
      <c r="M93" s="1" t="n">
        <v>0.024953365</v>
      </c>
      <c r="N93" s="1" t="n">
        <v>0.024686098</v>
      </c>
      <c r="O93" s="1" t="n">
        <v>0.024771214</v>
      </c>
      <c r="P93" s="1" t="n">
        <v>0.024682999</v>
      </c>
      <c r="R93" s="1" t="n">
        <f aca="false">PERCENTILE(G93:P93,0.9)</f>
        <v>0.0254109143</v>
      </c>
      <c r="S93" s="5" t="n">
        <f aca="false">spmv_1!R$6/R93</f>
        <v>6.62056503020043</v>
      </c>
      <c r="T93" s="6" t="n">
        <f aca="false">S93/64</f>
        <v>0.103446328596882</v>
      </c>
    </row>
    <row r="94" customFormat="false" ht="15" hidden="false" customHeight="false" outlineLevel="0" collapsed="false">
      <c r="A94" s="1" t="s">
        <v>16</v>
      </c>
      <c r="B94" s="1" t="n">
        <v>25</v>
      </c>
      <c r="D94" s="1" t="n">
        <v>1732826</v>
      </c>
      <c r="E94" s="1" t="n">
        <v>0.139114</v>
      </c>
      <c r="G94" s="1" t="n">
        <v>0.025788069</v>
      </c>
      <c r="H94" s="1" t="n">
        <v>0.024947166</v>
      </c>
      <c r="I94" s="1" t="n">
        <v>0.025106907</v>
      </c>
      <c r="J94" s="1" t="n">
        <v>0.025196314</v>
      </c>
      <c r="K94" s="1" t="n">
        <v>0.024504185</v>
      </c>
      <c r="L94" s="1" t="n">
        <v>0.025054693</v>
      </c>
      <c r="M94" s="1" t="n">
        <v>0.024628401</v>
      </c>
      <c r="N94" s="1" t="n">
        <v>0.024503708</v>
      </c>
      <c r="O94" s="1" t="n">
        <v>0.024590015</v>
      </c>
      <c r="P94" s="1" t="n">
        <v>0.0248034</v>
      </c>
      <c r="R94" s="1" t="n">
        <f aca="false">PERCENTILE(G94:P94,0.9)</f>
        <v>0.0252554895</v>
      </c>
      <c r="S94" s="5" t="n">
        <f aca="false">spmv_1!R$6/R94</f>
        <v>6.66130864737348</v>
      </c>
      <c r="T94" s="6" t="n">
        <f aca="false">S94/64</f>
        <v>0.104082947615211</v>
      </c>
    </row>
    <row r="95" customFormat="false" ht="15" hidden="false" customHeight="false" outlineLevel="0" collapsed="false">
      <c r="A95" s="1" t="s">
        <v>16</v>
      </c>
      <c r="B95" s="1" t="n">
        <v>26</v>
      </c>
      <c r="D95" s="1" t="n">
        <v>1732754</v>
      </c>
      <c r="E95" s="1" t="n">
        <v>0.135348</v>
      </c>
      <c r="G95" s="1" t="n">
        <v>0.026621819</v>
      </c>
      <c r="H95" s="1" t="n">
        <v>0.025721073</v>
      </c>
      <c r="I95" s="1" t="n">
        <v>0.025656939</v>
      </c>
      <c r="J95" s="1" t="n">
        <v>0.02589488</v>
      </c>
      <c r="K95" s="1" t="n">
        <v>0.025325537</v>
      </c>
      <c r="L95" s="1" t="n">
        <v>0.025748491</v>
      </c>
      <c r="M95" s="1" t="n">
        <v>0.025414705</v>
      </c>
      <c r="N95" s="1" t="n">
        <v>0.025149345</v>
      </c>
      <c r="O95" s="1" t="n">
        <v>0.025292635</v>
      </c>
      <c r="P95" s="1" t="n">
        <v>0.025219202</v>
      </c>
      <c r="R95" s="1" t="n">
        <f aca="false">PERCENTILE(G95:P95,0.9)</f>
        <v>0.0259675739</v>
      </c>
      <c r="S95" s="5" t="n">
        <f aca="false">spmv_1!R$6/R95</f>
        <v>6.47864183415302</v>
      </c>
      <c r="T95" s="6" t="n">
        <f aca="false">S95/64</f>
        <v>0.101228778658641</v>
      </c>
    </row>
    <row r="96" customFormat="false" ht="15" hidden="false" customHeight="false" outlineLevel="0" collapsed="false">
      <c r="A96" s="1" t="s">
        <v>16</v>
      </c>
      <c r="B96" s="1" t="n">
        <v>27</v>
      </c>
      <c r="D96" s="1" t="n">
        <v>1732754</v>
      </c>
      <c r="E96" s="1" t="n">
        <v>0.134325</v>
      </c>
      <c r="G96" s="1" t="n">
        <v>0.026772499</v>
      </c>
      <c r="H96" s="1" t="n">
        <v>0.025939465</v>
      </c>
      <c r="I96" s="1" t="n">
        <v>0.025865316</v>
      </c>
      <c r="J96" s="1" t="n">
        <v>0.026082993</v>
      </c>
      <c r="K96" s="1" t="n">
        <v>0.02549386</v>
      </c>
      <c r="L96" s="1" t="n">
        <v>0.025990248</v>
      </c>
      <c r="M96" s="1" t="n">
        <v>0.025565863</v>
      </c>
      <c r="N96" s="1" t="n">
        <v>0.025353432</v>
      </c>
      <c r="O96" s="1" t="n">
        <v>0.025510788</v>
      </c>
      <c r="P96" s="1" t="n">
        <v>0.025419474</v>
      </c>
      <c r="R96" s="1" t="n">
        <f aca="false">PERCENTILE(G96:P96,0.9)</f>
        <v>0.0261519436</v>
      </c>
      <c r="S96" s="5" t="n">
        <f aca="false">spmv_1!R$6/R96</f>
        <v>6.43296778140803</v>
      </c>
      <c r="T96" s="6" t="n">
        <f aca="false">S96/64</f>
        <v>0.100515121584501</v>
      </c>
    </row>
    <row r="97" customFormat="false" ht="15" hidden="false" customHeight="false" outlineLevel="0" collapsed="false">
      <c r="A97" s="1" t="s">
        <v>16</v>
      </c>
      <c r="B97" s="1" t="n">
        <v>28</v>
      </c>
      <c r="D97" s="1" t="n">
        <v>1732748</v>
      </c>
      <c r="E97" s="1" t="n">
        <v>0.133149</v>
      </c>
      <c r="G97" s="1" t="n">
        <v>0.02695775</v>
      </c>
      <c r="H97" s="1" t="n">
        <v>0.026181221</v>
      </c>
      <c r="I97" s="1" t="n">
        <v>0.026154995</v>
      </c>
      <c r="J97" s="1" t="n">
        <v>0.026309252</v>
      </c>
      <c r="K97" s="1" t="n">
        <v>0.025714159</v>
      </c>
      <c r="L97" s="1" t="n">
        <v>0.026167631</v>
      </c>
      <c r="M97" s="1" t="n">
        <v>0.025806189</v>
      </c>
      <c r="N97" s="1" t="n">
        <v>0.025583506</v>
      </c>
      <c r="O97" s="1" t="n">
        <v>0.025741816</v>
      </c>
      <c r="P97" s="1" t="n">
        <v>0.025654554</v>
      </c>
      <c r="R97" s="1" t="n">
        <f aca="false">PERCENTILE(G97:P97,0.9)</f>
        <v>0.0263741018</v>
      </c>
      <c r="S97" s="5" t="n">
        <f aca="false">spmv_1!R$6/R97</f>
        <v>6.37878066429546</v>
      </c>
      <c r="T97" s="6" t="n">
        <f aca="false">S97/64</f>
        <v>0.0996684478796165</v>
      </c>
    </row>
    <row r="98" customFormat="false" ht="15" hidden="false" customHeight="false" outlineLevel="0" collapsed="false">
      <c r="A98" s="1" t="s">
        <v>16</v>
      </c>
      <c r="B98" s="1" t="n">
        <v>29</v>
      </c>
      <c r="D98" s="1" t="n">
        <v>1732748</v>
      </c>
      <c r="E98" s="1" t="n">
        <v>0.132328</v>
      </c>
      <c r="G98" s="1" t="n">
        <v>0.027100801</v>
      </c>
      <c r="H98" s="1" t="n">
        <v>0.026345968</v>
      </c>
      <c r="I98" s="1" t="n">
        <v>0.02628994</v>
      </c>
      <c r="J98" s="1" t="n">
        <v>0.026509762</v>
      </c>
      <c r="K98" s="1" t="n">
        <v>0.025861979</v>
      </c>
      <c r="L98" s="1" t="n">
        <v>0.026357174</v>
      </c>
      <c r="M98" s="1" t="n">
        <v>0.025984764</v>
      </c>
      <c r="N98" s="1" t="n">
        <v>0.025740147</v>
      </c>
      <c r="O98" s="1" t="n">
        <v>0.025880337</v>
      </c>
      <c r="P98" s="1" t="n">
        <v>0.025816202</v>
      </c>
      <c r="R98" s="1" t="n">
        <f aca="false">PERCENTILE(G98:P98,0.9)</f>
        <v>0.0265688659</v>
      </c>
      <c r="S98" s="5" t="n">
        <f aca="false">spmv_1!R$6/R98</f>
        <v>6.33202076570382</v>
      </c>
      <c r="T98" s="6" t="n">
        <f aca="false">S98/64</f>
        <v>0.0989378244641221</v>
      </c>
    </row>
    <row r="99" customFormat="false" ht="15" hidden="false" customHeight="false" outlineLevel="0" collapsed="false">
      <c r="A99" s="1" t="s">
        <v>16</v>
      </c>
      <c r="B99" s="1" t="n">
        <v>30</v>
      </c>
      <c r="D99" s="1" t="n">
        <v>1732642</v>
      </c>
      <c r="E99" s="1" t="n">
        <v>0.131716</v>
      </c>
      <c r="G99" s="1" t="n">
        <v>0.026960373</v>
      </c>
      <c r="H99" s="1" t="n">
        <v>0.026401043</v>
      </c>
      <c r="I99" s="1" t="n">
        <v>0.026439905</v>
      </c>
      <c r="J99" s="1" t="n">
        <v>0.026803732</v>
      </c>
      <c r="K99" s="1" t="n">
        <v>0.025887251</v>
      </c>
      <c r="L99" s="1" t="n">
        <v>0.026533127</v>
      </c>
      <c r="M99" s="1" t="n">
        <v>0.026092052</v>
      </c>
      <c r="N99" s="1" t="n">
        <v>0.025949717</v>
      </c>
      <c r="O99" s="1" t="n">
        <v>0.025968313</v>
      </c>
      <c r="P99" s="1" t="n">
        <v>0.026051521</v>
      </c>
      <c r="R99" s="1" t="n">
        <f aca="false">PERCENTILE(G99:P99,0.9)</f>
        <v>0.0268193961</v>
      </c>
      <c r="S99" s="5" t="n">
        <f aca="false">spmv_1!R$6/R99</f>
        <v>6.27287094656095</v>
      </c>
      <c r="T99" s="6" t="n">
        <f aca="false">S99/64</f>
        <v>0.0980136085400148</v>
      </c>
    </row>
    <row r="100" customFormat="false" ht="15" hidden="false" customHeight="false" outlineLevel="0" collapsed="false">
      <c r="A100" s="1" t="s">
        <v>16</v>
      </c>
      <c r="B100" s="1" t="n">
        <v>31</v>
      </c>
      <c r="D100" s="1" t="n">
        <v>1732642</v>
      </c>
      <c r="E100" s="1" t="n">
        <v>0.131763</v>
      </c>
      <c r="G100" s="1" t="n">
        <v>0.026968718</v>
      </c>
      <c r="H100" s="1" t="n">
        <v>0.026379347</v>
      </c>
      <c r="I100" s="1" t="n">
        <v>0.026544333</v>
      </c>
      <c r="J100" s="1" t="n">
        <v>0.026696682</v>
      </c>
      <c r="K100" s="1" t="n">
        <v>0.025967121</v>
      </c>
      <c r="L100" s="1" t="n">
        <v>0.02646637</v>
      </c>
      <c r="M100" s="1" t="n">
        <v>0.026090384</v>
      </c>
      <c r="N100" s="1" t="n">
        <v>0.025861979</v>
      </c>
      <c r="O100" s="1" t="n">
        <v>0.02600646</v>
      </c>
      <c r="P100" s="1" t="n">
        <v>0.026011944</v>
      </c>
      <c r="R100" s="1" t="n">
        <f aca="false">PERCENTILE(G100:P100,0.9)</f>
        <v>0.0267238856</v>
      </c>
      <c r="S100" s="5" t="n">
        <f aca="false">spmv_1!R$6/R100</f>
        <v>6.29529003072817</v>
      </c>
      <c r="T100" s="6" t="n">
        <f aca="false">S100/64</f>
        <v>0.0983639067301276</v>
      </c>
    </row>
    <row r="101" customFormat="false" ht="15" hidden="false" customHeight="false" outlineLevel="0" collapsed="false">
      <c r="A101" s="1" t="s">
        <v>16</v>
      </c>
      <c r="B101" s="1" t="n">
        <v>32</v>
      </c>
      <c r="D101" s="1" t="n">
        <v>1732652</v>
      </c>
      <c r="E101" s="1" t="n">
        <v>0.130324</v>
      </c>
      <c r="G101" s="1" t="n">
        <v>0.027374983</v>
      </c>
      <c r="H101" s="1" t="n">
        <v>0.026678801</v>
      </c>
      <c r="I101" s="1" t="n">
        <v>0.026717186</v>
      </c>
      <c r="J101" s="1" t="n">
        <v>0.026986599</v>
      </c>
      <c r="K101" s="1" t="n">
        <v>0.026210308</v>
      </c>
      <c r="L101" s="1" t="n">
        <v>0.026778221</v>
      </c>
      <c r="M101" s="1" t="n">
        <v>0.026366949</v>
      </c>
      <c r="N101" s="1" t="n">
        <v>0.026128531</v>
      </c>
      <c r="O101" s="1" t="n">
        <v>0.02636075</v>
      </c>
      <c r="P101" s="1" t="n">
        <v>0.026297808</v>
      </c>
      <c r="R101" s="1" t="n">
        <f aca="false">PERCENTILE(G101:P101,0.9)</f>
        <v>0.0270254374</v>
      </c>
      <c r="S101" s="5" t="n">
        <f aca="false">spmv_1!R$6/R101</f>
        <v>6.22504672579323</v>
      </c>
      <c r="T101" s="6" t="n">
        <f aca="false">S101/64</f>
        <v>0.0972663550905193</v>
      </c>
    </row>
    <row r="102" customFormat="false" ht="15" hidden="false" customHeight="false" outlineLevel="0" collapsed="false">
      <c r="A102" s="1" t="s">
        <v>16</v>
      </c>
      <c r="B102" s="1" t="n">
        <v>33</v>
      </c>
      <c r="D102" s="1" t="n">
        <v>1732652</v>
      </c>
      <c r="E102" s="1" t="n">
        <v>0.125894</v>
      </c>
      <c r="G102" s="1" t="n">
        <v>0.028258801</v>
      </c>
      <c r="H102" s="1" t="n">
        <v>0.027578831</v>
      </c>
      <c r="I102" s="1" t="n">
        <v>0.027364492</v>
      </c>
      <c r="J102" s="1" t="n">
        <v>0.027897835</v>
      </c>
      <c r="K102" s="1" t="n">
        <v>0.027214766</v>
      </c>
      <c r="L102" s="1" t="n">
        <v>0.027766228</v>
      </c>
      <c r="M102" s="1" t="n">
        <v>0.027458906</v>
      </c>
      <c r="N102" s="1" t="n">
        <v>0.027164221</v>
      </c>
      <c r="O102" s="1" t="n">
        <v>0.02727294</v>
      </c>
      <c r="P102" s="1" t="n">
        <v>0.027278423</v>
      </c>
      <c r="R102" s="1" t="n">
        <f aca="false">PERCENTILE(G102:P102,0.9)</f>
        <v>0.0279339316</v>
      </c>
      <c r="S102" s="5" t="n">
        <f aca="false">spmv_1!R$6/R102</f>
        <v>6.02258976677669</v>
      </c>
      <c r="T102" s="6" t="n">
        <f aca="false">S102/64</f>
        <v>0.0941029651058858</v>
      </c>
    </row>
    <row r="103" customFormat="false" ht="15" hidden="false" customHeight="false" outlineLevel="0" collapsed="false">
      <c r="A103" s="1" t="s">
        <v>16</v>
      </c>
      <c r="B103" s="1" t="n">
        <v>34</v>
      </c>
      <c r="D103" s="1" t="n">
        <v>1732246</v>
      </c>
      <c r="E103" s="1" t="n">
        <v>0.12653</v>
      </c>
      <c r="G103" s="1" t="n">
        <v>0.028184652</v>
      </c>
      <c r="H103" s="1" t="n">
        <v>0.027430058</v>
      </c>
      <c r="I103" s="1" t="n">
        <v>0.027199268</v>
      </c>
      <c r="J103" s="1" t="n">
        <v>0.02772975</v>
      </c>
      <c r="K103" s="1" t="n">
        <v>0.027053118</v>
      </c>
      <c r="L103" s="1" t="n">
        <v>0.027611494</v>
      </c>
      <c r="M103" s="1" t="n">
        <v>0.027278423</v>
      </c>
      <c r="N103" s="1" t="n">
        <v>0.027052879</v>
      </c>
      <c r="O103" s="1" t="n">
        <v>0.027124882</v>
      </c>
      <c r="P103" s="1" t="n">
        <v>0.027142763</v>
      </c>
      <c r="R103" s="1" t="n">
        <f aca="false">PERCENTILE(G103:P103,0.9)</f>
        <v>0.0277752402</v>
      </c>
      <c r="S103" s="5" t="n">
        <f aca="false">spmv_1!R$6/R103</f>
        <v>6.05699930544615</v>
      </c>
      <c r="T103" s="6" t="n">
        <f aca="false">S103/64</f>
        <v>0.0946406141475961</v>
      </c>
    </row>
    <row r="104" customFormat="false" ht="15" hidden="false" customHeight="false" outlineLevel="0" collapsed="false">
      <c r="A104" s="1" t="s">
        <v>16</v>
      </c>
      <c r="B104" s="1" t="n">
        <v>35</v>
      </c>
      <c r="D104" s="1" t="n">
        <v>1732246</v>
      </c>
      <c r="E104" s="1" t="n">
        <v>0.127176</v>
      </c>
      <c r="G104" s="1" t="n">
        <v>0.028004169</v>
      </c>
      <c r="H104" s="1" t="n">
        <v>0.02731061</v>
      </c>
      <c r="I104" s="1" t="n">
        <v>0.027117491</v>
      </c>
      <c r="J104" s="1" t="n">
        <v>0.027579546</v>
      </c>
      <c r="K104" s="1" t="n">
        <v>0.026880264</v>
      </c>
      <c r="L104" s="1" t="n">
        <v>0.027478695</v>
      </c>
      <c r="M104" s="1" t="n">
        <v>0.027157068</v>
      </c>
      <c r="N104" s="1" t="n">
        <v>0.02690196</v>
      </c>
      <c r="O104" s="1" t="n">
        <v>0.026968956</v>
      </c>
      <c r="P104" s="1" t="n">
        <v>0.027019262</v>
      </c>
      <c r="R104" s="1" t="n">
        <f aca="false">PERCENTILE(G104:P104,0.9)</f>
        <v>0.0276220083</v>
      </c>
      <c r="S104" s="5" t="n">
        <f aca="false">spmv_1!R$6/R104</f>
        <v>6.09060024791898</v>
      </c>
      <c r="T104" s="6" t="n">
        <f aca="false">S104/64</f>
        <v>0.095165628873734</v>
      </c>
    </row>
    <row r="105" customFormat="false" ht="15" hidden="false" customHeight="false" outlineLevel="0" collapsed="false">
      <c r="A105" s="1" t="s">
        <v>16</v>
      </c>
      <c r="B105" s="1" t="n">
        <v>36</v>
      </c>
      <c r="D105" s="1" t="n">
        <v>1731882</v>
      </c>
      <c r="E105" s="1" t="n">
        <v>0.133996</v>
      </c>
      <c r="G105" s="1" t="n">
        <v>0.026683092</v>
      </c>
      <c r="H105" s="1" t="n">
        <v>0.02599597</v>
      </c>
      <c r="I105" s="1" t="n">
        <v>0.026078701</v>
      </c>
      <c r="J105" s="1" t="n">
        <v>0.026189089</v>
      </c>
      <c r="K105" s="1" t="n">
        <v>0.025419235</v>
      </c>
      <c r="L105" s="1" t="n">
        <v>0.025996923</v>
      </c>
      <c r="M105" s="1" t="n">
        <v>0.025566578</v>
      </c>
      <c r="N105" s="1" t="n">
        <v>0.025436401</v>
      </c>
      <c r="O105" s="1" t="n">
        <v>0.025560856</v>
      </c>
      <c r="P105" s="1" t="n">
        <v>0.025571346</v>
      </c>
      <c r="R105" s="1" t="n">
        <f aca="false">PERCENTILE(G105:P105,0.9)</f>
        <v>0.0262384893</v>
      </c>
      <c r="S105" s="5" t="n">
        <f aca="false">spmv_1!R$6/R105</f>
        <v>6.41174911697374</v>
      </c>
      <c r="T105" s="6" t="n">
        <f aca="false">S105/64</f>
        <v>0.100183579952715</v>
      </c>
    </row>
    <row r="106" customFormat="false" ht="15" hidden="false" customHeight="false" outlineLevel="0" collapsed="false">
      <c r="A106" s="1" t="s">
        <v>16</v>
      </c>
      <c r="B106" s="1" t="n">
        <v>37</v>
      </c>
      <c r="D106" s="1" t="n">
        <v>1731882</v>
      </c>
      <c r="E106" s="1" t="n">
        <v>0.128779</v>
      </c>
      <c r="G106" s="1" t="n">
        <v>0.027695417</v>
      </c>
      <c r="H106" s="1" t="n">
        <v>0.026960373</v>
      </c>
      <c r="I106" s="1" t="n">
        <v>0.026716471</v>
      </c>
      <c r="J106" s="1" t="n">
        <v>0.027249813</v>
      </c>
      <c r="K106" s="1" t="n">
        <v>0.026565313</v>
      </c>
      <c r="L106" s="1" t="n">
        <v>0.027134418</v>
      </c>
      <c r="M106" s="1" t="n">
        <v>0.026821613</v>
      </c>
      <c r="N106" s="1" t="n">
        <v>0.026547432</v>
      </c>
      <c r="O106" s="1" t="n">
        <v>0.026620388</v>
      </c>
      <c r="P106" s="1" t="n">
        <v>0.026657581</v>
      </c>
      <c r="R106" s="1" t="n">
        <f aca="false">PERCENTILE(G106:P106,0.9)</f>
        <v>0.0272943734</v>
      </c>
      <c r="S106" s="5" t="n">
        <f aca="false">spmv_1!R$6/R106</f>
        <v>6.16371030521624</v>
      </c>
      <c r="T106" s="6" t="n">
        <f aca="false">S106/64</f>
        <v>0.0963079735190037</v>
      </c>
    </row>
    <row r="107" customFormat="false" ht="15" hidden="false" customHeight="false" outlineLevel="0" collapsed="false">
      <c r="A107" s="1" t="s">
        <v>16</v>
      </c>
      <c r="B107" s="1" t="n">
        <v>38</v>
      </c>
      <c r="D107" s="1" t="n">
        <v>1732146</v>
      </c>
      <c r="E107" s="1" t="n">
        <v>0.136564</v>
      </c>
      <c r="G107" s="1" t="n">
        <v>0.02627182</v>
      </c>
      <c r="H107" s="1" t="n">
        <v>0.025483608</v>
      </c>
      <c r="I107" s="1" t="n">
        <v>0.025585651</v>
      </c>
      <c r="J107" s="1" t="n">
        <v>0.025639534</v>
      </c>
      <c r="K107" s="1" t="n">
        <v>0.024943113</v>
      </c>
      <c r="L107" s="1" t="n">
        <v>0.025456429</v>
      </c>
      <c r="M107" s="1" t="n">
        <v>0.025112391</v>
      </c>
      <c r="N107" s="1" t="n">
        <v>0.024944782</v>
      </c>
      <c r="O107" s="1" t="n">
        <v>0.025071383</v>
      </c>
      <c r="P107" s="1" t="n">
        <v>0.025165796</v>
      </c>
      <c r="R107" s="1" t="n">
        <f aca="false">PERCENTILE(G107:P107,0.9)</f>
        <v>0.0257027626</v>
      </c>
      <c r="S107" s="5" t="n">
        <f aca="false">spmv_1!R$6/R107</f>
        <v>6.54539020642085</v>
      </c>
      <c r="T107" s="6" t="n">
        <f aca="false">S107/64</f>
        <v>0.102271721975326</v>
      </c>
    </row>
    <row r="108" customFormat="false" ht="15" hidden="false" customHeight="false" outlineLevel="0" collapsed="false">
      <c r="A108" s="1" t="s">
        <v>16</v>
      </c>
      <c r="B108" s="1" t="n">
        <v>39</v>
      </c>
      <c r="D108" s="1" t="n">
        <v>1732146</v>
      </c>
      <c r="E108" s="1" t="n">
        <v>0.133259</v>
      </c>
      <c r="G108" s="1" t="n">
        <v>0.026808739</v>
      </c>
      <c r="H108" s="1" t="n">
        <v>0.02613163</v>
      </c>
      <c r="I108" s="1" t="n">
        <v>0.025991678</v>
      </c>
      <c r="J108" s="1" t="n">
        <v>0.02633214</v>
      </c>
      <c r="K108" s="1" t="n">
        <v>0.025614738</v>
      </c>
      <c r="L108" s="1" t="n">
        <v>0.026222944</v>
      </c>
      <c r="M108" s="1" t="n">
        <v>0.025804996</v>
      </c>
      <c r="N108" s="1" t="n">
        <v>0.025665522</v>
      </c>
      <c r="O108" s="1" t="n">
        <v>0.025709391</v>
      </c>
      <c r="P108" s="1" t="n">
        <v>0.025684595</v>
      </c>
      <c r="R108" s="1" t="n">
        <f aca="false">PERCENTILE(G108:P108,0.9)</f>
        <v>0.0263797999</v>
      </c>
      <c r="S108" s="5" t="n">
        <f aca="false">spmv_1!R$6/R108</f>
        <v>6.37740283238464</v>
      </c>
      <c r="T108" s="6" t="n">
        <f aca="false">S108/64</f>
        <v>0.09964691925601</v>
      </c>
    </row>
    <row r="109" customFormat="false" ht="15" hidden="false" customHeight="false" outlineLevel="0" collapsed="false">
      <c r="A109" s="1" t="s">
        <v>16</v>
      </c>
      <c r="B109" s="1" t="n">
        <v>40</v>
      </c>
      <c r="D109" s="1" t="n">
        <v>1732844</v>
      </c>
      <c r="E109" s="1" t="n">
        <v>0.13967</v>
      </c>
      <c r="G109" s="1" t="n">
        <v>0.025673866</v>
      </c>
      <c r="H109" s="1" t="n">
        <v>0.024940252</v>
      </c>
      <c r="I109" s="1" t="n">
        <v>0.025009394</v>
      </c>
      <c r="J109" s="1" t="n">
        <v>0.025122404</v>
      </c>
      <c r="K109" s="1" t="n">
        <v>0.024360418</v>
      </c>
      <c r="L109" s="1" t="n">
        <v>0.025013924</v>
      </c>
      <c r="M109" s="1" t="n">
        <v>0.024609089</v>
      </c>
      <c r="N109" s="1" t="n">
        <v>0.02444911</v>
      </c>
      <c r="O109" s="1" t="n">
        <v>0.024476767</v>
      </c>
      <c r="P109" s="1" t="n">
        <v>0.024478197</v>
      </c>
      <c r="R109" s="1" t="n">
        <f aca="false">PERCENTILE(G109:P109,0.9)</f>
        <v>0.0251775502</v>
      </c>
      <c r="S109" s="5" t="n">
        <f aca="false">spmv_1!R$6/R109</f>
        <v>6.68192930859493</v>
      </c>
      <c r="T109" s="6" t="n">
        <f aca="false">S109/64</f>
        <v>0.104405145446796</v>
      </c>
    </row>
    <row r="110" customFormat="false" ht="15" hidden="false" customHeight="false" outlineLevel="0" collapsed="false">
      <c r="A110" s="1" t="s">
        <v>16</v>
      </c>
      <c r="B110" s="1" t="n">
        <v>41</v>
      </c>
      <c r="D110" s="1" t="n">
        <v>1732844</v>
      </c>
      <c r="E110" s="1" t="n">
        <v>0.131764</v>
      </c>
      <c r="G110" s="1" t="n">
        <v>0.027246952</v>
      </c>
      <c r="H110" s="1" t="n">
        <v>0.026406765</v>
      </c>
      <c r="I110" s="1" t="n">
        <v>0.026088953</v>
      </c>
      <c r="J110" s="1" t="n">
        <v>0.026562929</v>
      </c>
      <c r="K110" s="1" t="n">
        <v>0.025945902</v>
      </c>
      <c r="L110" s="1" t="n">
        <v>0.02660656</v>
      </c>
      <c r="M110" s="1" t="n">
        <v>0.026233435</v>
      </c>
      <c r="N110" s="1" t="n">
        <v>0.025949955</v>
      </c>
      <c r="O110" s="1" t="n">
        <v>0.026013374</v>
      </c>
      <c r="P110" s="1" t="n">
        <v>0.025968313</v>
      </c>
      <c r="R110" s="1" t="n">
        <f aca="false">PERCENTILE(G110:P110,0.9)</f>
        <v>0.0266705992</v>
      </c>
      <c r="S110" s="5" t="n">
        <f aca="false">spmv_1!R$6/R110</f>
        <v>6.30786767625378</v>
      </c>
      <c r="T110" s="6" t="n">
        <f aca="false">S110/64</f>
        <v>0.0985604324414654</v>
      </c>
    </row>
    <row r="111" customFormat="false" ht="15" hidden="false" customHeight="false" outlineLevel="0" collapsed="false">
      <c r="A111" s="1" t="s">
        <v>16</v>
      </c>
      <c r="B111" s="1" t="n">
        <v>42</v>
      </c>
      <c r="D111" s="1" t="n">
        <v>1732816</v>
      </c>
      <c r="E111" s="1" t="n">
        <v>0.142182</v>
      </c>
      <c r="G111" s="1" t="n">
        <v>0.025396347</v>
      </c>
      <c r="H111" s="1" t="n">
        <v>0.02449584</v>
      </c>
      <c r="I111" s="1" t="n">
        <v>0.024580956</v>
      </c>
      <c r="J111" s="1" t="n">
        <v>0.024589777</v>
      </c>
      <c r="K111" s="1" t="n">
        <v>0.024014711</v>
      </c>
      <c r="L111" s="1" t="n">
        <v>0.024544716</v>
      </c>
      <c r="M111" s="1" t="n">
        <v>0.024047613</v>
      </c>
      <c r="N111" s="1" t="n">
        <v>0.023986101</v>
      </c>
      <c r="O111" s="1" t="n">
        <v>0.024040222</v>
      </c>
      <c r="P111" s="1" t="n">
        <v>0.024049997</v>
      </c>
      <c r="R111" s="1" t="n">
        <f aca="false">PERCENTILE(G111:P111,0.9)</f>
        <v>0.024670434</v>
      </c>
      <c r="S111" s="5" t="n">
        <f aca="false">spmv_1!R$6/R111</f>
        <v>6.81928054447684</v>
      </c>
      <c r="T111" s="6" t="n">
        <f aca="false">S111/64</f>
        <v>0.106551258507451</v>
      </c>
    </row>
    <row r="112" customFormat="false" ht="15" hidden="false" customHeight="false" outlineLevel="0" collapsed="false">
      <c r="A112" s="1" t="s">
        <v>16</v>
      </c>
      <c r="B112" s="1" t="n">
        <v>43</v>
      </c>
      <c r="D112" s="1" t="n">
        <v>1732816</v>
      </c>
      <c r="E112" s="1" t="n">
        <v>0.145039</v>
      </c>
      <c r="G112" s="1" t="n">
        <v>0.025093317</v>
      </c>
      <c r="H112" s="1" t="n">
        <v>0.024045229</v>
      </c>
      <c r="I112" s="1" t="n">
        <v>0.023852825</v>
      </c>
      <c r="J112" s="1" t="n">
        <v>0.0240345</v>
      </c>
      <c r="K112" s="1" t="n">
        <v>0.023597956</v>
      </c>
      <c r="L112" s="1" t="n">
        <v>0.024133921</v>
      </c>
      <c r="M112" s="1" t="n">
        <v>0.023687601</v>
      </c>
      <c r="N112" s="1" t="n">
        <v>0.023500443</v>
      </c>
      <c r="O112" s="1" t="n">
        <v>0.02361393</v>
      </c>
      <c r="P112" s="1" t="n">
        <v>0.023384571</v>
      </c>
      <c r="R112" s="1" t="n">
        <f aca="false">PERCENTILE(G112:P112,0.9)</f>
        <v>0.0242298606</v>
      </c>
      <c r="S112" s="5" t="n">
        <f aca="false">spmv_1!R$6/R112</f>
        <v>6.94327604179448</v>
      </c>
      <c r="T112" s="6" t="n">
        <f aca="false">S112/64</f>
        <v>0.108488688153039</v>
      </c>
    </row>
    <row r="113" customFormat="false" ht="15" hidden="false" customHeight="false" outlineLevel="0" collapsed="false">
      <c r="A113" s="1" t="s">
        <v>16</v>
      </c>
      <c r="B113" s="1" t="n">
        <v>44</v>
      </c>
      <c r="D113" s="1" t="n">
        <v>1732896</v>
      </c>
      <c r="E113" s="1" t="n">
        <v>0.135127</v>
      </c>
      <c r="G113" s="1" t="n">
        <v>0.02680254</v>
      </c>
      <c r="H113" s="1" t="n">
        <v>0.025764942</v>
      </c>
      <c r="I113" s="1" t="n">
        <v>0.025151014</v>
      </c>
      <c r="J113" s="1" t="n">
        <v>0.02578187</v>
      </c>
      <c r="K113" s="1" t="n">
        <v>0.025396585</v>
      </c>
      <c r="L113" s="1" t="n">
        <v>0.025928736</v>
      </c>
      <c r="M113" s="1" t="n">
        <v>0.025727034</v>
      </c>
      <c r="N113" s="1" t="n">
        <v>0.025306463</v>
      </c>
      <c r="O113" s="1" t="n">
        <v>0.025458336</v>
      </c>
      <c r="P113" s="1" t="n">
        <v>0.025166035</v>
      </c>
      <c r="R113" s="1" t="n">
        <f aca="false">PERCENTILE(G113:P113,0.9)</f>
        <v>0.0260161164</v>
      </c>
      <c r="S113" s="5" t="n">
        <f aca="false">spmv_1!R$6/R113</f>
        <v>6.46655357830425</v>
      </c>
      <c r="T113" s="6" t="n">
        <f aca="false">S113/64</f>
        <v>0.101039899661004</v>
      </c>
    </row>
    <row r="114" customFormat="false" ht="15" hidden="false" customHeight="false" outlineLevel="0" collapsed="false">
      <c r="A114" s="1" t="s">
        <v>16</v>
      </c>
      <c r="B114" s="1" t="n">
        <v>45</v>
      </c>
      <c r="D114" s="1" t="n">
        <v>1732896</v>
      </c>
      <c r="E114" s="1" t="n">
        <v>0.140325</v>
      </c>
      <c r="G114" s="1" t="n">
        <v>0.02567482</v>
      </c>
      <c r="H114" s="1" t="n">
        <v>0.024899006</v>
      </c>
      <c r="I114" s="1" t="n">
        <v>0.024366617</v>
      </c>
      <c r="J114" s="1" t="n">
        <v>0.02482605</v>
      </c>
      <c r="K114" s="1" t="n">
        <v>0.024477243</v>
      </c>
      <c r="L114" s="1" t="n">
        <v>0.024916649</v>
      </c>
      <c r="M114" s="1" t="n">
        <v>0.024698734</v>
      </c>
      <c r="N114" s="1" t="n">
        <v>0.024365902</v>
      </c>
      <c r="O114" s="1" t="n">
        <v>0.024458647</v>
      </c>
      <c r="P114" s="1" t="n">
        <v>0.02429986</v>
      </c>
      <c r="R114" s="1" t="n">
        <f aca="false">PERCENTILE(G114:P114,0.9)</f>
        <v>0.0249924661</v>
      </c>
      <c r="S114" s="5" t="n">
        <f aca="false">spmv_1!R$6/R114</f>
        <v>6.7314129756887</v>
      </c>
      <c r="T114" s="6" t="n">
        <f aca="false">S114/64</f>
        <v>0.105178327745136</v>
      </c>
    </row>
    <row r="115" customFormat="false" ht="15" hidden="false" customHeight="false" outlineLevel="0" collapsed="false">
      <c r="A115" s="1" t="s">
        <v>16</v>
      </c>
      <c r="B115" s="1" t="n">
        <v>46</v>
      </c>
      <c r="D115" s="1" t="n">
        <v>1732782</v>
      </c>
      <c r="E115" s="1" t="n">
        <v>0.149966</v>
      </c>
      <c r="G115" s="1" t="n">
        <v>0.02426672</v>
      </c>
      <c r="H115" s="1" t="n">
        <v>0.023282528</v>
      </c>
      <c r="I115" s="1" t="n">
        <v>0.022903919</v>
      </c>
      <c r="J115" s="1" t="n">
        <v>0.023224831</v>
      </c>
      <c r="K115" s="1" t="n">
        <v>0.022803783</v>
      </c>
      <c r="L115" s="1" t="n">
        <v>0.023327351</v>
      </c>
      <c r="M115" s="1" t="n">
        <v>0.023091555</v>
      </c>
      <c r="N115" s="1" t="n">
        <v>0.022670507</v>
      </c>
      <c r="O115" s="1" t="n">
        <v>0.02290988</v>
      </c>
      <c r="P115" s="1" t="n">
        <v>0.02260828</v>
      </c>
      <c r="R115" s="1" t="n">
        <f aca="false">PERCENTILE(G115:P115,0.9)</f>
        <v>0.0234212879</v>
      </c>
      <c r="S115" s="5" t="n">
        <f aca="false">spmv_1!R$6/R115</f>
        <v>7.18297863543191</v>
      </c>
      <c r="T115" s="6" t="n">
        <f aca="false">S115/64</f>
        <v>0.112234041178624</v>
      </c>
    </row>
    <row r="116" customFormat="false" ht="15" hidden="false" customHeight="false" outlineLevel="0" collapsed="false">
      <c r="A116" s="1" t="s">
        <v>16</v>
      </c>
      <c r="B116" s="1" t="n">
        <v>47</v>
      </c>
      <c r="D116" s="1" t="n">
        <v>1732782</v>
      </c>
      <c r="E116" s="1" t="n">
        <v>0.142622</v>
      </c>
      <c r="G116" s="1" t="n">
        <v>0.025375843</v>
      </c>
      <c r="H116" s="1" t="n">
        <v>0.024479151</v>
      </c>
      <c r="I116" s="1" t="n">
        <v>0.024029493</v>
      </c>
      <c r="J116" s="1" t="n">
        <v>0.024402857</v>
      </c>
      <c r="K116" s="1" t="n">
        <v>0.024066925</v>
      </c>
      <c r="L116" s="1" t="n">
        <v>0.024546623</v>
      </c>
      <c r="M116" s="1" t="n">
        <v>0.02426362</v>
      </c>
      <c r="N116" s="1" t="n">
        <v>0.023906231</v>
      </c>
      <c r="O116" s="1" t="n">
        <v>0.024079561</v>
      </c>
      <c r="P116" s="1" t="n">
        <v>0.023839951</v>
      </c>
      <c r="R116" s="1" t="n">
        <f aca="false">PERCENTILE(G116:P116,0.9)</f>
        <v>0.024629545</v>
      </c>
      <c r="S116" s="5" t="n">
        <f aca="false">spmv_1!R$6/R116</f>
        <v>6.83060164530039</v>
      </c>
      <c r="T116" s="6" t="n">
        <f aca="false">S116/64</f>
        <v>0.106728150707819</v>
      </c>
    </row>
    <row r="117" customFormat="false" ht="15" hidden="false" customHeight="false" outlineLevel="0" collapsed="false">
      <c r="A117" s="1" t="s">
        <v>16</v>
      </c>
      <c r="B117" s="1" t="n">
        <v>48</v>
      </c>
      <c r="D117" s="1" t="n">
        <v>1732730</v>
      </c>
      <c r="E117" s="1" t="n">
        <v>0.144783</v>
      </c>
      <c r="G117" s="1" t="n">
        <v>0.025023699</v>
      </c>
      <c r="H117" s="1" t="n">
        <v>0.024073124</v>
      </c>
      <c r="I117" s="1" t="n">
        <v>0.023630381</v>
      </c>
      <c r="J117" s="1" t="n">
        <v>0.024065256</v>
      </c>
      <c r="K117" s="1" t="n">
        <v>0.023813248</v>
      </c>
      <c r="L117" s="1" t="n">
        <v>0.024091959</v>
      </c>
      <c r="M117" s="1" t="n">
        <v>0.023944616</v>
      </c>
      <c r="N117" s="1" t="n">
        <v>0.023476839</v>
      </c>
      <c r="O117" s="1" t="n">
        <v>0.023753643</v>
      </c>
      <c r="P117" s="1" t="n">
        <v>0.023482561</v>
      </c>
      <c r="R117" s="1" t="n">
        <f aca="false">PERCENTILE(G117:P117,0.9)</f>
        <v>0.024185133</v>
      </c>
      <c r="S117" s="5" t="n">
        <f aca="false">spmv_1!R$6/R117</f>
        <v>6.95611682598562</v>
      </c>
      <c r="T117" s="6" t="n">
        <f aca="false">S117/64</f>
        <v>0.108689325406025</v>
      </c>
    </row>
    <row r="118" customFormat="false" ht="15" hidden="false" customHeight="false" outlineLevel="0" collapsed="false">
      <c r="A118" s="1" t="s">
        <v>16</v>
      </c>
      <c r="B118" s="1" t="n">
        <v>49</v>
      </c>
      <c r="D118" s="1" t="n">
        <v>1732730</v>
      </c>
      <c r="E118" s="1" t="n">
        <v>0.143372</v>
      </c>
      <c r="G118" s="1" t="n">
        <v>0.025614738</v>
      </c>
      <c r="H118" s="1" t="n">
        <v>0.024077415</v>
      </c>
      <c r="I118" s="1" t="n">
        <v>0.023848295</v>
      </c>
      <c r="J118" s="1" t="n">
        <v>0.024127007</v>
      </c>
      <c r="K118" s="1" t="n">
        <v>0.024096966</v>
      </c>
      <c r="L118" s="1" t="n">
        <v>0.024350643</v>
      </c>
      <c r="M118" s="1" t="n">
        <v>0.024360657</v>
      </c>
      <c r="N118" s="1" t="n">
        <v>0.023694515</v>
      </c>
      <c r="O118" s="1" t="n">
        <v>0.023956537</v>
      </c>
      <c r="P118" s="1" t="n">
        <v>0.023584843</v>
      </c>
      <c r="R118" s="1" t="n">
        <f aca="false">PERCENTILE(G118:P118,0.9)</f>
        <v>0.0244860651</v>
      </c>
      <c r="S118" s="5" t="n">
        <f aca="false">spmv_1!R$6/R118</f>
        <v>6.87062661611563</v>
      </c>
      <c r="T118" s="6" t="n">
        <f aca="false">S118/64</f>
        <v>0.107353540876807</v>
      </c>
    </row>
    <row r="119" customFormat="false" ht="15" hidden="false" customHeight="false" outlineLevel="0" collapsed="false">
      <c r="A119" s="1" t="s">
        <v>16</v>
      </c>
      <c r="B119" s="1" t="n">
        <v>50</v>
      </c>
      <c r="D119" s="1" t="n">
        <v>1732352</v>
      </c>
      <c r="E119" s="1" t="n">
        <v>0.145858</v>
      </c>
      <c r="G119" s="1" t="n">
        <v>0.025214195</v>
      </c>
      <c r="H119" s="1" t="n">
        <v>0.023683071</v>
      </c>
      <c r="I119" s="1" t="n">
        <v>0.0234797</v>
      </c>
      <c r="J119" s="1" t="n">
        <v>0.023634434</v>
      </c>
      <c r="K119" s="1" t="n">
        <v>0.023803473</v>
      </c>
      <c r="L119" s="1" t="n">
        <v>0.023830175</v>
      </c>
      <c r="M119" s="1" t="n">
        <v>0.024064064</v>
      </c>
      <c r="N119" s="1" t="n">
        <v>0.023241758</v>
      </c>
      <c r="O119" s="1" t="n">
        <v>0.023574352</v>
      </c>
      <c r="P119" s="1" t="n">
        <v>0.023014307</v>
      </c>
      <c r="R119" s="1" t="n">
        <f aca="false">PERCENTILE(G119:P119,0.9)</f>
        <v>0.0241790771</v>
      </c>
      <c r="S119" s="5" t="n">
        <f aca="false">spmv_1!R$6/R119</f>
        <v>6.95785905740794</v>
      </c>
      <c r="T119" s="6" t="n">
        <f aca="false">S119/64</f>
        <v>0.108716547771999</v>
      </c>
    </row>
    <row r="120" customFormat="false" ht="15" hidden="false" customHeight="false" outlineLevel="0" collapsed="false">
      <c r="A120" s="1" t="s">
        <v>16</v>
      </c>
      <c r="B120" s="1" t="n">
        <v>51</v>
      </c>
      <c r="D120" s="1" t="n">
        <v>1732352</v>
      </c>
      <c r="E120" s="1" t="n">
        <v>0.161363</v>
      </c>
      <c r="G120" s="1" t="n">
        <v>0.022813082</v>
      </c>
      <c r="H120" s="1" t="n">
        <v>0.021357536</v>
      </c>
      <c r="I120" s="1" t="n">
        <v>0.021161795</v>
      </c>
      <c r="J120" s="1" t="n">
        <v>0.02174902</v>
      </c>
      <c r="K120" s="1" t="n">
        <v>0.021177769</v>
      </c>
      <c r="L120" s="1" t="n">
        <v>0.021601677</v>
      </c>
      <c r="M120" s="1" t="n">
        <v>0.021441698</v>
      </c>
      <c r="N120" s="1" t="n">
        <v>0.021057844</v>
      </c>
      <c r="O120" s="1" t="n">
        <v>0.021189451</v>
      </c>
      <c r="P120" s="1" t="n">
        <v>0.021165133</v>
      </c>
      <c r="R120" s="1" t="n">
        <f aca="false">PERCENTILE(G120:P120,0.9)</f>
        <v>0.0218554262</v>
      </c>
      <c r="S120" s="5" t="n">
        <f aca="false">spmv_1!R$6/R120</f>
        <v>7.69761289761533</v>
      </c>
      <c r="T120" s="6" t="n">
        <f aca="false">S120/64</f>
        <v>0.12027520152524</v>
      </c>
    </row>
    <row r="121" customFormat="false" ht="15" hidden="false" customHeight="false" outlineLevel="0" collapsed="false">
      <c r="A121" s="1" t="s">
        <v>16</v>
      </c>
      <c r="B121" s="1" t="n">
        <v>52</v>
      </c>
      <c r="D121" s="1" t="n">
        <v>1732200</v>
      </c>
      <c r="E121" s="1" t="n">
        <v>0.162126</v>
      </c>
      <c r="G121" s="1" t="n">
        <v>0.022539616</v>
      </c>
      <c r="H121" s="1" t="n">
        <v>0.021239996</v>
      </c>
      <c r="I121" s="1" t="n">
        <v>0.020717859</v>
      </c>
      <c r="J121" s="1" t="n">
        <v>0.021855116</v>
      </c>
      <c r="K121" s="1" t="n">
        <v>0.020904541</v>
      </c>
      <c r="L121" s="1" t="n">
        <v>0.02166152</v>
      </c>
      <c r="M121" s="1" t="n">
        <v>0.021269321</v>
      </c>
      <c r="N121" s="1" t="n">
        <v>0.021167994</v>
      </c>
      <c r="O121" s="1" t="n">
        <v>0.021053553</v>
      </c>
      <c r="P121" s="1" t="n">
        <v>0.021276712</v>
      </c>
      <c r="R121" s="1" t="n">
        <f aca="false">PERCENTILE(G121:P121,0.9)</f>
        <v>0.021923566</v>
      </c>
      <c r="S121" s="5" t="n">
        <f aca="false">spmv_1!R$6/R121</f>
        <v>7.67368824031638</v>
      </c>
      <c r="T121" s="6" t="n">
        <f aca="false">S121/64</f>
        <v>0.119901378754943</v>
      </c>
    </row>
    <row r="122" customFormat="false" ht="15" hidden="false" customHeight="false" outlineLevel="0" collapsed="false">
      <c r="A122" s="1" t="s">
        <v>16</v>
      </c>
      <c r="B122" s="1" t="n">
        <v>53</v>
      </c>
      <c r="D122" s="1" t="n">
        <v>1732200</v>
      </c>
      <c r="E122" s="1" t="n">
        <v>0.14603</v>
      </c>
      <c r="G122" s="1" t="n">
        <v>0.024131536</v>
      </c>
      <c r="H122" s="1" t="n">
        <v>0.023523331</v>
      </c>
      <c r="I122" s="1" t="n">
        <v>0.022773981</v>
      </c>
      <c r="J122" s="1" t="n">
        <v>0.024223804</v>
      </c>
      <c r="K122" s="1" t="n">
        <v>0.023396254</v>
      </c>
      <c r="L122" s="1" t="n">
        <v>0.024209499</v>
      </c>
      <c r="M122" s="1" t="n">
        <v>0.02399087</v>
      </c>
      <c r="N122" s="1" t="n">
        <v>0.023711681</v>
      </c>
      <c r="O122" s="1" t="n">
        <v>0.023592949</v>
      </c>
      <c r="P122" s="1" t="n">
        <v>0.023684263</v>
      </c>
      <c r="R122" s="1" t="n">
        <f aca="false">PERCENTILE(G122:P122,0.9)</f>
        <v>0.0242109295</v>
      </c>
      <c r="S122" s="5" t="n">
        <f aca="false">spmv_1!R$6/R122</f>
        <v>6.94870515400906</v>
      </c>
      <c r="T122" s="6" t="n">
        <f aca="false">S122/64</f>
        <v>0.108573518031392</v>
      </c>
    </row>
    <row r="123" customFormat="false" ht="15" hidden="false" customHeight="false" outlineLevel="0" collapsed="false">
      <c r="A123" s="1" t="s">
        <v>16</v>
      </c>
      <c r="B123" s="1" t="n">
        <v>54</v>
      </c>
      <c r="D123" s="1" t="n">
        <v>1732682</v>
      </c>
      <c r="E123" s="1" t="n">
        <v>0.149057</v>
      </c>
      <c r="G123" s="1" t="n">
        <v>0.023584366</v>
      </c>
      <c r="H123" s="1" t="n">
        <v>0.023051023</v>
      </c>
      <c r="I123" s="1" t="n">
        <v>0.022448063</v>
      </c>
      <c r="J123" s="1" t="n">
        <v>0.023903131</v>
      </c>
      <c r="K123" s="1" t="n">
        <v>0.022881746</v>
      </c>
      <c r="L123" s="1" t="n">
        <v>0.023715019</v>
      </c>
      <c r="M123" s="1" t="n">
        <v>0.023374796</v>
      </c>
      <c r="N123" s="1" t="n">
        <v>0.023179293</v>
      </c>
      <c r="O123" s="1" t="n">
        <v>0.023050308</v>
      </c>
      <c r="P123" s="1" t="n">
        <v>0.023298025</v>
      </c>
      <c r="R123" s="1" t="n">
        <f aca="false">PERCENTILE(G123:P123,0.9)</f>
        <v>0.0237338302</v>
      </c>
      <c r="S123" s="5" t="n">
        <f aca="false">spmv_1!R$6/R123</f>
        <v>7.08838856528096</v>
      </c>
      <c r="T123" s="6" t="n">
        <f aca="false">S123/64</f>
        <v>0.110756071332515</v>
      </c>
    </row>
    <row r="124" customFormat="false" ht="15" hidden="false" customHeight="false" outlineLevel="0" collapsed="false">
      <c r="A124" s="1" t="s">
        <v>16</v>
      </c>
      <c r="B124" s="1" t="n">
        <v>55</v>
      </c>
      <c r="D124" s="1" t="n">
        <v>1732682</v>
      </c>
      <c r="E124" s="1" t="n">
        <v>0.141965</v>
      </c>
      <c r="G124" s="1" t="n">
        <v>0.024943113</v>
      </c>
      <c r="H124" s="1" t="n">
        <v>0.024517059</v>
      </c>
      <c r="I124" s="1" t="n">
        <v>0.0235641</v>
      </c>
      <c r="J124" s="1" t="n">
        <v>0.02483058</v>
      </c>
      <c r="K124" s="1" t="n">
        <v>0.024173498</v>
      </c>
      <c r="L124" s="1" t="n">
        <v>0.0248456</v>
      </c>
      <c r="M124" s="1" t="n">
        <v>0.024522781</v>
      </c>
      <c r="N124" s="1" t="n">
        <v>0.02422595</v>
      </c>
      <c r="O124" s="1" t="n">
        <v>0.024239779</v>
      </c>
      <c r="P124" s="1" t="n">
        <v>0.024237394</v>
      </c>
      <c r="R124" s="1" t="n">
        <f aca="false">PERCENTILE(G124:P124,0.9)</f>
        <v>0.0248553513</v>
      </c>
      <c r="S124" s="5" t="n">
        <f aca="false">spmv_1!R$6/R124</f>
        <v>6.76854688430817</v>
      </c>
      <c r="T124" s="6" t="n">
        <f aca="false">S124/64</f>
        <v>0.105758545067315</v>
      </c>
    </row>
    <row r="125" customFormat="false" ht="15" hidden="false" customHeight="false" outlineLevel="0" collapsed="false">
      <c r="A125" s="1" t="s">
        <v>16</v>
      </c>
      <c r="B125" s="1" t="n">
        <v>56</v>
      </c>
      <c r="D125" s="1" t="n">
        <v>1732798</v>
      </c>
      <c r="E125" s="1" t="n">
        <v>0.145018</v>
      </c>
      <c r="G125" s="1" t="n">
        <v>0.024204731</v>
      </c>
      <c r="H125" s="1" t="n">
        <v>0.024050951</v>
      </c>
      <c r="I125" s="1" t="n">
        <v>0.023108006</v>
      </c>
      <c r="J125" s="1" t="n">
        <v>0.024411201</v>
      </c>
      <c r="K125" s="1" t="n">
        <v>0.023584843</v>
      </c>
      <c r="L125" s="1" t="n">
        <v>0.024379253</v>
      </c>
      <c r="M125" s="1" t="n">
        <v>0.023944855</v>
      </c>
      <c r="N125" s="1" t="n">
        <v>0.023769617</v>
      </c>
      <c r="O125" s="1" t="n">
        <v>0.023691893</v>
      </c>
      <c r="P125" s="1" t="n">
        <v>0.023831129</v>
      </c>
      <c r="R125" s="1" t="n">
        <f aca="false">PERCENTILE(G125:P125,0.9)</f>
        <v>0.0243824478</v>
      </c>
      <c r="S125" s="5" t="n">
        <f aca="false">spmv_1!R$6/R125</f>
        <v>6.89982449588183</v>
      </c>
      <c r="T125" s="6" t="n">
        <f aca="false">S125/64</f>
        <v>0.107809757748154</v>
      </c>
    </row>
    <row r="126" customFormat="false" ht="15" hidden="false" customHeight="false" outlineLevel="0" collapsed="false">
      <c r="A126" s="1" t="s">
        <v>16</v>
      </c>
      <c r="B126" s="1" t="n">
        <v>57</v>
      </c>
      <c r="D126" s="1" t="n">
        <v>1732798</v>
      </c>
      <c r="E126" s="1" t="n">
        <v>0.139204</v>
      </c>
      <c r="G126" s="1" t="n">
        <v>0.025569439</v>
      </c>
      <c r="H126" s="1" t="n">
        <v>0.024999142</v>
      </c>
      <c r="I126" s="1" t="n">
        <v>0.024035692</v>
      </c>
      <c r="J126" s="1" t="n">
        <v>0.025286913</v>
      </c>
      <c r="K126" s="1" t="n">
        <v>0.024535894</v>
      </c>
      <c r="L126" s="1" t="n">
        <v>0.025277615</v>
      </c>
      <c r="M126" s="1" t="n">
        <v>0.025120974</v>
      </c>
      <c r="N126" s="1" t="n">
        <v>0.024739742</v>
      </c>
      <c r="O126" s="1" t="n">
        <v>0.024653196</v>
      </c>
      <c r="P126" s="1" t="n">
        <v>0.024739265</v>
      </c>
      <c r="R126" s="1" t="n">
        <f aca="false">PERCENTILE(G126:P126,0.9)</f>
        <v>0.0253151656</v>
      </c>
      <c r="S126" s="5" t="n">
        <f aca="false">spmv_1!R$6/R126</f>
        <v>6.64560577079535</v>
      </c>
      <c r="T126" s="6" t="n">
        <f aca="false">S126/64</f>
        <v>0.103837590168677</v>
      </c>
    </row>
    <row r="127" customFormat="false" ht="15" hidden="false" customHeight="false" outlineLevel="0" collapsed="false">
      <c r="A127" s="1" t="s">
        <v>16</v>
      </c>
      <c r="B127" s="1" t="n">
        <v>58</v>
      </c>
      <c r="D127" s="1" t="n">
        <v>1732468</v>
      </c>
      <c r="E127" s="1" t="n">
        <v>0.142232</v>
      </c>
      <c r="G127" s="1" t="n">
        <v>0.024861813</v>
      </c>
      <c r="H127" s="1" t="n">
        <v>0.024497509</v>
      </c>
      <c r="I127" s="1" t="n">
        <v>0.023658276</v>
      </c>
      <c r="J127" s="1" t="n">
        <v>0.024790525</v>
      </c>
      <c r="K127" s="1" t="n">
        <v>0.024002552</v>
      </c>
      <c r="L127" s="1" t="n">
        <v>0.024747849</v>
      </c>
      <c r="M127" s="1" t="n">
        <v>0.024463892</v>
      </c>
      <c r="N127" s="1" t="n">
        <v>0.024175406</v>
      </c>
      <c r="O127" s="1" t="n">
        <v>0.024129152</v>
      </c>
      <c r="P127" s="1" t="n">
        <v>0.024284601</v>
      </c>
      <c r="R127" s="1" t="n">
        <f aca="false">PERCENTILE(G127:P127,0.9)</f>
        <v>0.0247976538</v>
      </c>
      <c r="S127" s="5" t="n">
        <f aca="false">spmv_1!R$6/R127</f>
        <v>6.78429548040549</v>
      </c>
      <c r="T127" s="6" t="n">
        <f aca="false">S127/64</f>
        <v>0.106004616881336</v>
      </c>
    </row>
    <row r="128" customFormat="false" ht="15" hidden="false" customHeight="false" outlineLevel="0" collapsed="false">
      <c r="A128" s="1" t="s">
        <v>16</v>
      </c>
      <c r="B128" s="1" t="n">
        <v>59</v>
      </c>
      <c r="D128" s="1" t="n">
        <v>1732468</v>
      </c>
      <c r="E128" s="1" t="n">
        <v>0.136299</v>
      </c>
      <c r="G128" s="1" t="n">
        <v>0.026157618</v>
      </c>
      <c r="H128" s="1" t="n">
        <v>0.025470495</v>
      </c>
      <c r="I128" s="1" t="n">
        <v>0.024478436</v>
      </c>
      <c r="J128" s="1" t="n">
        <v>0.025873184</v>
      </c>
      <c r="K128" s="1" t="n">
        <v>0.025099277</v>
      </c>
      <c r="L128" s="1" t="n">
        <v>0.025831699</v>
      </c>
      <c r="M128" s="1" t="n">
        <v>0.025593281</v>
      </c>
      <c r="N128" s="1" t="n">
        <v>0.025149345</v>
      </c>
      <c r="O128" s="1" t="n">
        <v>0.025093555</v>
      </c>
      <c r="P128" s="1" t="n">
        <v>0.025469303</v>
      </c>
      <c r="R128" s="1" t="n">
        <f aca="false">PERCENTILE(G128:P128,0.9)</f>
        <v>0.0259016274</v>
      </c>
      <c r="S128" s="5" t="n">
        <f aca="false">spmv_1!R$6/R128</f>
        <v>6.49513669554215</v>
      </c>
      <c r="T128" s="6" t="n">
        <f aca="false">S128/64</f>
        <v>0.101486510867846</v>
      </c>
    </row>
    <row r="129" customFormat="false" ht="15" hidden="false" customHeight="false" outlineLevel="0" collapsed="false">
      <c r="A129" s="1" t="s">
        <v>16</v>
      </c>
      <c r="B129" s="1" t="n">
        <v>60</v>
      </c>
      <c r="D129" s="1" t="n">
        <v>1732176</v>
      </c>
      <c r="E129" s="1" t="n">
        <v>0.140007</v>
      </c>
      <c r="G129" s="1" t="n">
        <v>0.025308132</v>
      </c>
      <c r="H129" s="1" t="n">
        <v>0.024886608</v>
      </c>
      <c r="I129" s="1" t="n">
        <v>0.024000645</v>
      </c>
      <c r="J129" s="1" t="n">
        <v>0.025188684</v>
      </c>
      <c r="K129" s="1" t="n">
        <v>0.024415731</v>
      </c>
      <c r="L129" s="1" t="n">
        <v>0.025104761</v>
      </c>
      <c r="M129" s="1" t="n">
        <v>0.024811506</v>
      </c>
      <c r="N129" s="1" t="n">
        <v>0.02448535</v>
      </c>
      <c r="O129" s="1" t="n">
        <v>0.024429321</v>
      </c>
      <c r="P129" s="1" t="n">
        <v>0.024810314</v>
      </c>
      <c r="R129" s="1" t="n">
        <f aca="false">PERCENTILE(G129:P129,0.9)</f>
        <v>0.0252006288</v>
      </c>
      <c r="S129" s="5" t="n">
        <f aca="false">spmv_1!R$6/R129</f>
        <v>6.67581003375598</v>
      </c>
      <c r="T129" s="6" t="n">
        <f aca="false">S129/64</f>
        <v>0.104309531777437</v>
      </c>
    </row>
    <row r="130" customFormat="false" ht="15" hidden="false" customHeight="false" outlineLevel="0" collapsed="false">
      <c r="A130" s="1" t="s">
        <v>16</v>
      </c>
      <c r="B130" s="1" t="n">
        <v>61</v>
      </c>
      <c r="D130" s="1" t="n">
        <v>1732176</v>
      </c>
      <c r="E130" s="1" t="n">
        <v>0.134309</v>
      </c>
      <c r="G130" s="1" t="n">
        <v>0.026483297</v>
      </c>
      <c r="H130" s="1" t="n">
        <v>0.025795937</v>
      </c>
      <c r="I130" s="1" t="n">
        <v>0.025104284</v>
      </c>
      <c r="J130" s="1" t="n">
        <v>0.026279211</v>
      </c>
      <c r="K130" s="1" t="n">
        <v>0.025421619</v>
      </c>
      <c r="L130" s="1" t="n">
        <v>0.026128054</v>
      </c>
      <c r="M130" s="1" t="n">
        <v>0.025852442</v>
      </c>
      <c r="N130" s="1" t="n">
        <v>0.025567532</v>
      </c>
      <c r="O130" s="1" t="n">
        <v>0.025471687</v>
      </c>
      <c r="P130" s="1" t="n">
        <v>0.025834084</v>
      </c>
      <c r="R130" s="1" t="n">
        <f aca="false">PERCENTILE(G130:P130,0.9)</f>
        <v>0.0262996196</v>
      </c>
      <c r="S130" s="5" t="n">
        <f aca="false">spmv_1!R$6/R130</f>
        <v>6.39684577795186</v>
      </c>
      <c r="T130" s="6" t="n">
        <f aca="false">S130/64</f>
        <v>0.0999507152804978</v>
      </c>
    </row>
    <row r="131" customFormat="false" ht="15" hidden="false" customHeight="false" outlineLevel="0" collapsed="false">
      <c r="A131" s="1" t="s">
        <v>16</v>
      </c>
      <c r="B131" s="1" t="n">
        <v>62</v>
      </c>
      <c r="D131" s="1" t="n">
        <v>1731528</v>
      </c>
      <c r="E131" s="1" t="n">
        <v>0.137996</v>
      </c>
      <c r="G131" s="1" t="n">
        <v>0.025584698</v>
      </c>
      <c r="H131" s="1" t="n">
        <v>0.025168657</v>
      </c>
      <c r="I131" s="1" t="n">
        <v>0.024553537</v>
      </c>
      <c r="J131" s="1" t="n">
        <v>0.025642395</v>
      </c>
      <c r="K131" s="1" t="n">
        <v>0.0247159</v>
      </c>
      <c r="L131" s="1" t="n">
        <v>0.025456667</v>
      </c>
      <c r="M131" s="1" t="n">
        <v>0.025080919</v>
      </c>
      <c r="N131" s="1" t="n">
        <v>0.024859667</v>
      </c>
      <c r="O131" s="1" t="n">
        <v>0.024736881</v>
      </c>
      <c r="P131" s="1" t="n">
        <v>0.025153399</v>
      </c>
      <c r="R131" s="1" t="n">
        <f aca="false">PERCENTILE(G131:P131,0.9)</f>
        <v>0.0255904677</v>
      </c>
      <c r="S131" s="5" t="n">
        <f aca="false">spmv_1!R$6/R131</f>
        <v>6.57411238326059</v>
      </c>
      <c r="T131" s="6" t="n">
        <f aca="false">S131/64</f>
        <v>0.102720505988447</v>
      </c>
    </row>
    <row r="132" customFormat="false" ht="15" hidden="false" customHeight="false" outlineLevel="0" collapsed="false">
      <c r="A132" s="1" t="s">
        <v>16</v>
      </c>
      <c r="B132" s="1" t="n">
        <v>63</v>
      </c>
      <c r="D132" s="1" t="n">
        <v>1731528</v>
      </c>
      <c r="E132" s="1" t="n">
        <v>0.13464</v>
      </c>
      <c r="G132" s="1" t="n">
        <v>0.026438236</v>
      </c>
      <c r="H132" s="1" t="n">
        <v>0.025694132</v>
      </c>
      <c r="I132" s="1" t="n">
        <v>0.025020361</v>
      </c>
      <c r="J132" s="1" t="n">
        <v>0.026223183</v>
      </c>
      <c r="K132" s="1" t="n">
        <v>0.025332451</v>
      </c>
      <c r="L132" s="1" t="n">
        <v>0.02606988</v>
      </c>
      <c r="M132" s="1" t="n">
        <v>0.025830746</v>
      </c>
      <c r="N132" s="1" t="n">
        <v>0.025487661</v>
      </c>
      <c r="O132" s="1" t="n">
        <v>0.025381804</v>
      </c>
      <c r="P132" s="1" t="n">
        <v>0.025730133</v>
      </c>
      <c r="R132" s="1" t="n">
        <f aca="false">PERCENTILE(G132:P132,0.9)</f>
        <v>0.0262446883</v>
      </c>
      <c r="S132" s="5" t="n">
        <f aca="false">spmv_1!R$6/R132</f>
        <v>6.41023466070275</v>
      </c>
      <c r="T132" s="6" t="n">
        <f aca="false">S132/64</f>
        <v>0.100159916573481</v>
      </c>
    </row>
    <row r="135" customFormat="false" ht="15" hidden="false" customHeight="false" outlineLevel="0" collapsed="false">
      <c r="A135" s="2" t="s">
        <v>0</v>
      </c>
      <c r="B135" s="2" t="s">
        <v>1</v>
      </c>
      <c r="C135" s="3"/>
      <c r="D135" s="2" t="s">
        <v>2</v>
      </c>
      <c r="E135" s="2" t="s">
        <v>3</v>
      </c>
      <c r="F135" s="3"/>
      <c r="G135" s="2" t="s">
        <v>4</v>
      </c>
      <c r="H135" s="2" t="s">
        <v>5</v>
      </c>
      <c r="I135" s="2" t="s">
        <v>6</v>
      </c>
      <c r="J135" s="2" t="s">
        <v>7</v>
      </c>
      <c r="K135" s="2" t="s">
        <v>8</v>
      </c>
      <c r="L135" s="2" t="s">
        <v>9</v>
      </c>
      <c r="M135" s="2" t="s">
        <v>10</v>
      </c>
      <c r="N135" s="2" t="s">
        <v>11</v>
      </c>
      <c r="O135" s="2" t="s">
        <v>12</v>
      </c>
      <c r="P135" s="2" t="s">
        <v>13</v>
      </c>
      <c r="R135" s="4" t="s">
        <v>14</v>
      </c>
      <c r="S135" s="7" t="s">
        <v>20</v>
      </c>
      <c r="T135" s="8" t="s">
        <v>21</v>
      </c>
    </row>
    <row r="136" customFormat="false" ht="15" hidden="false" customHeight="false" outlineLevel="0" collapsed="false">
      <c r="A136" s="1" t="s">
        <v>17</v>
      </c>
      <c r="B136" s="1" t="n">
        <v>0</v>
      </c>
      <c r="D136" s="1" t="n">
        <v>317855</v>
      </c>
      <c r="E136" s="1" t="n">
        <v>0.085983</v>
      </c>
      <c r="G136" s="1" t="n">
        <v>0.012802362</v>
      </c>
      <c r="H136" s="1" t="n">
        <v>0.010732412</v>
      </c>
      <c r="I136" s="1" t="n">
        <v>0.009154558</v>
      </c>
      <c r="J136" s="1" t="n">
        <v>0.006038189</v>
      </c>
      <c r="K136" s="1" t="n">
        <v>0.006092787</v>
      </c>
      <c r="L136" s="1" t="n">
        <v>0.006164312</v>
      </c>
      <c r="M136" s="1" t="n">
        <v>0.005855322</v>
      </c>
      <c r="N136" s="1" t="n">
        <v>0.005725861</v>
      </c>
      <c r="O136" s="1" t="n">
        <v>0.005696058</v>
      </c>
      <c r="P136" s="1" t="n">
        <v>0.005672693</v>
      </c>
      <c r="R136" s="1" t="n">
        <f aca="false">PERCENTILE(G136:P136,0.9)</f>
        <v>0.010939407</v>
      </c>
      <c r="S136" s="5" t="n">
        <f aca="false">spmv_1!R$10/R136</f>
        <v>3.20234216534772</v>
      </c>
      <c r="T136" s="6" t="n">
        <f aca="false">S136/64</f>
        <v>0.0500365963335581</v>
      </c>
    </row>
    <row r="137" customFormat="false" ht="15" hidden="false" customHeight="false" outlineLevel="0" collapsed="false">
      <c r="A137" s="1" t="s">
        <v>17</v>
      </c>
      <c r="B137" s="1" t="n">
        <v>1</v>
      </c>
      <c r="D137" s="1" t="n">
        <v>317884</v>
      </c>
      <c r="E137" s="1" t="n">
        <v>0.075271</v>
      </c>
      <c r="G137" s="1" t="n">
        <v>0.015212536</v>
      </c>
      <c r="H137" s="1" t="n">
        <v>0.011455774</v>
      </c>
      <c r="I137" s="1" t="n">
        <v>0.009997845</v>
      </c>
      <c r="J137" s="1" t="n">
        <v>0.007047892</v>
      </c>
      <c r="K137" s="1" t="n">
        <v>0.006984949</v>
      </c>
      <c r="L137" s="1" t="n">
        <v>0.006950378</v>
      </c>
      <c r="M137" s="1" t="n">
        <v>0.006773233</v>
      </c>
      <c r="N137" s="1" t="n">
        <v>0.006721258</v>
      </c>
      <c r="O137" s="1" t="n">
        <v>0.006671667</v>
      </c>
      <c r="P137" s="1" t="n">
        <v>0.006648302</v>
      </c>
      <c r="R137" s="1" t="n">
        <f aca="false">PERCENTILE(G137:P137,0.9)</f>
        <v>0.0118314502</v>
      </c>
      <c r="S137" s="5" t="n">
        <f aca="false">spmv_1!R$10/R137</f>
        <v>2.96089859719817</v>
      </c>
      <c r="T137" s="6" t="n">
        <f aca="false">S137/64</f>
        <v>0.0462640405812214</v>
      </c>
    </row>
    <row r="138" customFormat="false" ht="15" hidden="false" customHeight="false" outlineLevel="0" collapsed="false">
      <c r="A138" s="1" t="s">
        <v>17</v>
      </c>
      <c r="B138" s="1" t="n">
        <v>2</v>
      </c>
      <c r="D138" s="1" t="n">
        <v>317409</v>
      </c>
      <c r="E138" s="1" t="n">
        <v>0.080664</v>
      </c>
      <c r="G138" s="1" t="n">
        <v>0.016076803</v>
      </c>
      <c r="H138" s="1" t="n">
        <v>0.010893345</v>
      </c>
      <c r="I138" s="1" t="n">
        <v>0.009338856</v>
      </c>
      <c r="J138" s="1" t="n">
        <v>0.006071091</v>
      </c>
      <c r="K138" s="1" t="n">
        <v>0.006321192</v>
      </c>
      <c r="L138" s="1" t="n">
        <v>0.006443024</v>
      </c>
      <c r="M138" s="1" t="n">
        <v>0.005901575</v>
      </c>
      <c r="N138" s="1" t="n">
        <v>0.005931139</v>
      </c>
      <c r="O138" s="1" t="n">
        <v>0.005820751</v>
      </c>
      <c r="P138" s="1" t="n">
        <v>0.005901337</v>
      </c>
      <c r="R138" s="1" t="n">
        <f aca="false">PERCENTILE(G138:P138,0.9)</f>
        <v>0.0114116908</v>
      </c>
      <c r="S138" s="5" t="n">
        <f aca="false">spmv_1!R$10/R138</f>
        <v>3.06981015468803</v>
      </c>
      <c r="T138" s="6" t="n">
        <f aca="false">S138/64</f>
        <v>0.0479657836670005</v>
      </c>
    </row>
    <row r="139" customFormat="false" ht="15" hidden="false" customHeight="false" outlineLevel="0" collapsed="false">
      <c r="A139" s="1" t="s">
        <v>17</v>
      </c>
      <c r="B139" s="1" t="n">
        <v>3</v>
      </c>
      <c r="D139" s="1" t="n">
        <v>317812</v>
      </c>
      <c r="E139" s="1" t="n">
        <v>0.083605</v>
      </c>
      <c r="G139" s="1" t="n">
        <v>0.015812635</v>
      </c>
      <c r="H139" s="1" t="n">
        <v>0.010663986</v>
      </c>
      <c r="I139" s="1" t="n">
        <v>0.009089708</v>
      </c>
      <c r="J139" s="1" t="n">
        <v>0.00592947</v>
      </c>
      <c r="K139" s="1" t="n">
        <v>0.00601244</v>
      </c>
      <c r="L139" s="1" t="n">
        <v>0.006105185</v>
      </c>
      <c r="M139" s="1" t="n">
        <v>0.005679131</v>
      </c>
      <c r="N139" s="1" t="n">
        <v>0.00562644</v>
      </c>
      <c r="O139" s="1" t="n">
        <v>0.005509138</v>
      </c>
      <c r="P139" s="1" t="n">
        <v>0.005598545</v>
      </c>
      <c r="R139" s="1" t="n">
        <f aca="false">PERCENTILE(G139:P139,0.9)</f>
        <v>0.0111788509</v>
      </c>
      <c r="S139" s="5" t="n">
        <f aca="false">spmv_1!R$10/R139</f>
        <v>3.13375002613194</v>
      </c>
      <c r="T139" s="6" t="n">
        <f aca="false">S139/64</f>
        <v>0.0489648441583115</v>
      </c>
    </row>
    <row r="140" customFormat="false" ht="15" hidden="false" customHeight="false" outlineLevel="0" collapsed="false">
      <c r="A140" s="1" t="s">
        <v>17</v>
      </c>
      <c r="B140" s="1" t="n">
        <v>4</v>
      </c>
      <c r="D140" s="1" t="n">
        <v>315134</v>
      </c>
      <c r="E140" s="1" t="n">
        <v>0.073132</v>
      </c>
      <c r="G140" s="1" t="n">
        <v>0.017482996</v>
      </c>
      <c r="H140" s="1" t="n">
        <v>0.011400223</v>
      </c>
      <c r="I140" s="1" t="n">
        <v>0.009959459</v>
      </c>
      <c r="J140" s="1" t="n">
        <v>0.006936073</v>
      </c>
      <c r="K140" s="1" t="n">
        <v>0.006966114</v>
      </c>
      <c r="L140" s="1" t="n">
        <v>0.006889343</v>
      </c>
      <c r="M140" s="1" t="n">
        <v>0.006658077</v>
      </c>
      <c r="N140" s="1" t="n">
        <v>0.006681204</v>
      </c>
      <c r="O140" s="1" t="n">
        <v>0.00658989</v>
      </c>
      <c r="P140" s="1" t="n">
        <v>0.0066185</v>
      </c>
      <c r="R140" s="1" t="n">
        <f aca="false">PERCENTILE(G140:P140,0.9)</f>
        <v>0.0120085003</v>
      </c>
      <c r="S140" s="5" t="n">
        <f aca="false">spmv_1!R$10/R140</f>
        <v>2.91724390430336</v>
      </c>
      <c r="T140" s="6" t="n">
        <f aca="false">S140/64</f>
        <v>0.0455819360047399</v>
      </c>
    </row>
    <row r="141" customFormat="false" ht="15" hidden="false" customHeight="false" outlineLevel="0" collapsed="false">
      <c r="A141" s="1" t="s">
        <v>17</v>
      </c>
      <c r="B141" s="1" t="n">
        <v>5</v>
      </c>
      <c r="D141" s="1" t="n">
        <v>314865</v>
      </c>
      <c r="E141" s="1" t="n">
        <v>0.063401</v>
      </c>
      <c r="G141" s="1" t="n">
        <v>0.01886344</v>
      </c>
      <c r="H141" s="1" t="n">
        <v>0.012717485</v>
      </c>
      <c r="I141" s="1" t="n">
        <v>0.011137247</v>
      </c>
      <c r="J141" s="1" t="n">
        <v>0.008208036</v>
      </c>
      <c r="K141" s="1" t="n">
        <v>0.008244514</v>
      </c>
      <c r="L141" s="1" t="n">
        <v>0.008132696</v>
      </c>
      <c r="M141" s="1" t="n">
        <v>0.00809288</v>
      </c>
      <c r="N141" s="1" t="n">
        <v>0.008084297</v>
      </c>
      <c r="O141" s="1" t="n">
        <v>0.00788784</v>
      </c>
      <c r="P141" s="1" t="n">
        <v>0.007956028</v>
      </c>
      <c r="R141" s="1" t="n">
        <f aca="false">PERCENTILE(G141:P141,0.9)</f>
        <v>0.0133320805</v>
      </c>
      <c r="S141" s="5" t="n">
        <f aca="false">spmv_1!R$10/R141</f>
        <v>2.62762622082878</v>
      </c>
      <c r="T141" s="6" t="n">
        <f aca="false">S141/64</f>
        <v>0.0410566597004496</v>
      </c>
    </row>
    <row r="142" customFormat="false" ht="15" hidden="false" customHeight="false" outlineLevel="0" collapsed="false">
      <c r="A142" s="1" t="s">
        <v>17</v>
      </c>
      <c r="B142" s="1" t="n">
        <v>6</v>
      </c>
      <c r="D142" s="1" t="n">
        <v>314542</v>
      </c>
      <c r="E142" s="1" t="n">
        <v>0.072962</v>
      </c>
      <c r="G142" s="1" t="n">
        <v>0.017655134</v>
      </c>
      <c r="H142" s="1" t="n">
        <v>0.011337757</v>
      </c>
      <c r="I142" s="1" t="n">
        <v>0.009981155</v>
      </c>
      <c r="J142" s="1" t="n">
        <v>0.006938457</v>
      </c>
      <c r="K142" s="1" t="n">
        <v>0.006921768</v>
      </c>
      <c r="L142" s="1" t="n">
        <v>0.006881714</v>
      </c>
      <c r="M142" s="1" t="n">
        <v>0.006688833</v>
      </c>
      <c r="N142" s="1" t="n">
        <v>0.00666523</v>
      </c>
      <c r="O142" s="1" t="n">
        <v>0.006575108</v>
      </c>
      <c r="P142" s="1" t="n">
        <v>0.006575823</v>
      </c>
      <c r="R142" s="1" t="n">
        <f aca="false">PERCENTILE(G142:P142,0.9)</f>
        <v>0.0119694947</v>
      </c>
      <c r="S142" s="5" t="n">
        <f aca="false">spmv_1!R$10/R142</f>
        <v>2.92675047510569</v>
      </c>
      <c r="T142" s="6" t="n">
        <f aca="false">S142/64</f>
        <v>0.0457304761735264</v>
      </c>
    </row>
    <row r="143" customFormat="false" ht="15" hidden="false" customHeight="false" outlineLevel="0" collapsed="false">
      <c r="A143" s="1" t="s">
        <v>17</v>
      </c>
      <c r="B143" s="1" t="n">
        <v>7</v>
      </c>
      <c r="D143" s="1" t="n">
        <v>314910</v>
      </c>
      <c r="E143" s="1" t="n">
        <v>0.063824</v>
      </c>
      <c r="G143" s="1" t="n">
        <v>0.018736362</v>
      </c>
      <c r="H143" s="1" t="n">
        <v>0.012664557</v>
      </c>
      <c r="I143" s="1" t="n">
        <v>0.011116982</v>
      </c>
      <c r="J143" s="1" t="n">
        <v>0.008172512</v>
      </c>
      <c r="K143" s="1" t="n">
        <v>0.008127213</v>
      </c>
      <c r="L143" s="1" t="n">
        <v>0.008080006</v>
      </c>
      <c r="M143" s="1" t="n">
        <v>0.008066654</v>
      </c>
      <c r="N143" s="1" t="n">
        <v>0.008018732</v>
      </c>
      <c r="O143" s="1" t="n">
        <v>0.007811785</v>
      </c>
      <c r="P143" s="1" t="n">
        <v>0.007886171</v>
      </c>
      <c r="R143" s="1" t="n">
        <f aca="false">PERCENTILE(G143:P143,0.9)</f>
        <v>0.0132717375</v>
      </c>
      <c r="S143" s="5" t="n">
        <f aca="false">spmv_1!R$10/R143</f>
        <v>2.63957332640131</v>
      </c>
      <c r="T143" s="6" t="n">
        <f aca="false">S143/64</f>
        <v>0.0412433332250205</v>
      </c>
    </row>
    <row r="144" customFormat="false" ht="15" hidden="false" customHeight="false" outlineLevel="0" collapsed="false">
      <c r="A144" s="1" t="s">
        <v>17</v>
      </c>
      <c r="B144" s="1" t="n">
        <v>8</v>
      </c>
      <c r="D144" s="1" t="n">
        <v>316949</v>
      </c>
      <c r="E144" s="1" t="n">
        <v>0.073795</v>
      </c>
      <c r="G144" s="1" t="n">
        <v>0.017774582</v>
      </c>
      <c r="H144" s="1" t="n">
        <v>0.011296272</v>
      </c>
      <c r="I144" s="1" t="n">
        <v>0.009963989</v>
      </c>
      <c r="J144" s="1" t="n">
        <v>0.006787777</v>
      </c>
      <c r="K144" s="1" t="n">
        <v>0.006882191</v>
      </c>
      <c r="L144" s="1" t="n">
        <v>0.006866217</v>
      </c>
      <c r="M144" s="1" t="n">
        <v>0.006638527</v>
      </c>
      <c r="N144" s="1" t="n">
        <v>0.006542921</v>
      </c>
      <c r="O144" s="1" t="n">
        <v>0.006593943</v>
      </c>
      <c r="P144" s="1" t="n">
        <v>0.006553888</v>
      </c>
      <c r="R144" s="1" t="n">
        <f aca="false">PERCENTILE(G144:P144,0.9)</f>
        <v>0.011944103</v>
      </c>
      <c r="S144" s="5" t="n">
        <f aca="false">spmv_1!R$10/R144</f>
        <v>2.93297238813162</v>
      </c>
      <c r="T144" s="6" t="n">
        <f aca="false">S144/64</f>
        <v>0.0458276935645565</v>
      </c>
    </row>
    <row r="145" customFormat="false" ht="15" hidden="false" customHeight="false" outlineLevel="0" collapsed="false">
      <c r="A145" s="1" t="s">
        <v>17</v>
      </c>
      <c r="B145" s="1" t="n">
        <v>9</v>
      </c>
      <c r="D145" s="1" t="n">
        <v>317303</v>
      </c>
      <c r="E145" s="1" t="n">
        <v>0.082081</v>
      </c>
      <c r="G145" s="1" t="n">
        <v>0.016778469</v>
      </c>
      <c r="H145" s="1" t="n">
        <v>0.010595322</v>
      </c>
      <c r="I145" s="1" t="n">
        <v>0.009260893</v>
      </c>
      <c r="J145" s="1" t="n">
        <v>0.005795479</v>
      </c>
      <c r="K145" s="1" t="n">
        <v>0.006061792</v>
      </c>
      <c r="L145" s="1" t="n">
        <v>0.006158829</v>
      </c>
      <c r="M145" s="1" t="n">
        <v>0.005705357</v>
      </c>
      <c r="N145" s="1" t="n">
        <v>0.00562644</v>
      </c>
      <c r="O145" s="1" t="n">
        <v>0.005674124</v>
      </c>
      <c r="P145" s="1" t="n">
        <v>0.005657673</v>
      </c>
      <c r="R145" s="1" t="n">
        <f aca="false">PERCENTILE(G145:P145,0.9)</f>
        <v>0.0112136367</v>
      </c>
      <c r="S145" s="5" t="n">
        <f aca="false">spmv_1!R$10/R145</f>
        <v>3.12402882643773</v>
      </c>
      <c r="T145" s="6" t="n">
        <f aca="false">S145/64</f>
        <v>0.0488129504130895</v>
      </c>
    </row>
    <row r="146" customFormat="false" ht="15" hidden="false" customHeight="false" outlineLevel="0" collapsed="false">
      <c r="A146" s="1" t="s">
        <v>17</v>
      </c>
      <c r="B146" s="1" t="n">
        <v>10</v>
      </c>
      <c r="D146" s="1" t="n">
        <v>316274</v>
      </c>
      <c r="E146" s="1" t="n">
        <v>0.064447</v>
      </c>
      <c r="G146" s="1" t="n">
        <v>0.018962622</v>
      </c>
      <c r="H146" s="1" t="n">
        <v>0.012582541</v>
      </c>
      <c r="I146" s="1" t="n">
        <v>0.01108861</v>
      </c>
      <c r="J146" s="1" t="n">
        <v>0.008096695</v>
      </c>
      <c r="K146" s="1" t="n">
        <v>0.008037329</v>
      </c>
      <c r="L146" s="1" t="n">
        <v>0.00797534</v>
      </c>
      <c r="M146" s="1" t="n">
        <v>0.007946014</v>
      </c>
      <c r="N146" s="1" t="n">
        <v>0.007921219</v>
      </c>
      <c r="O146" s="1" t="n">
        <v>0.007745028</v>
      </c>
      <c r="P146" s="1" t="n">
        <v>0.007794142</v>
      </c>
      <c r="R146" s="1" t="n">
        <f aca="false">PERCENTILE(G146:P146,0.9)</f>
        <v>0.0132205491</v>
      </c>
      <c r="S146" s="5" t="n">
        <f aca="false">spmv_1!R$10/R146</f>
        <v>2.64979344163549</v>
      </c>
      <c r="T146" s="6" t="n">
        <f aca="false">S146/64</f>
        <v>0.0414030225255546</v>
      </c>
    </row>
    <row r="147" customFormat="false" ht="15" hidden="false" customHeight="false" outlineLevel="0" collapsed="false">
      <c r="A147" s="1" t="s">
        <v>17</v>
      </c>
      <c r="B147" s="1" t="n">
        <v>11</v>
      </c>
      <c r="D147" s="1" t="n">
        <v>316678</v>
      </c>
      <c r="E147" s="1" t="n">
        <v>0.074481</v>
      </c>
      <c r="G147" s="1" t="n">
        <v>0.017893076</v>
      </c>
      <c r="H147" s="1" t="n">
        <v>0.011249065</v>
      </c>
      <c r="I147" s="1" t="n">
        <v>0.00996089</v>
      </c>
      <c r="J147" s="1" t="n">
        <v>0.006642103</v>
      </c>
      <c r="K147" s="1" t="n">
        <v>0.006690979</v>
      </c>
      <c r="L147" s="1" t="n">
        <v>0.006741047</v>
      </c>
      <c r="M147" s="1" t="n">
        <v>0.006534576</v>
      </c>
      <c r="N147" s="1" t="n">
        <v>0.006432772</v>
      </c>
      <c r="O147" s="1" t="n">
        <v>0.006432056</v>
      </c>
      <c r="P147" s="1" t="n">
        <v>0.006459713</v>
      </c>
      <c r="R147" s="1" t="n">
        <f aca="false">PERCENTILE(G147:P147,0.9)</f>
        <v>0.0119134661</v>
      </c>
      <c r="S147" s="5" t="n">
        <f aca="false">spmv_1!R$10/R147</f>
        <v>2.94051487669067</v>
      </c>
      <c r="T147" s="6" t="n">
        <f aca="false">S147/64</f>
        <v>0.0459455449482918</v>
      </c>
    </row>
    <row r="148" customFormat="false" ht="15" hidden="false" customHeight="false" outlineLevel="0" collapsed="false">
      <c r="A148" s="1" t="s">
        <v>17</v>
      </c>
      <c r="B148" s="1" t="n">
        <v>12</v>
      </c>
      <c r="D148" s="1" t="n">
        <v>314346</v>
      </c>
      <c r="E148" s="1" t="n">
        <v>0.085984</v>
      </c>
      <c r="G148" s="1" t="n">
        <v>0.016572237</v>
      </c>
      <c r="H148" s="1" t="n">
        <v>0.010118961</v>
      </c>
      <c r="I148" s="1" t="n">
        <v>0.008902311</v>
      </c>
      <c r="J148" s="1" t="n">
        <v>0.005453825</v>
      </c>
      <c r="K148" s="1" t="n">
        <v>0.005506992</v>
      </c>
      <c r="L148" s="1" t="n">
        <v>0.005620718</v>
      </c>
      <c r="M148" s="1" t="n">
        <v>0.005264521</v>
      </c>
      <c r="N148" s="1" t="n">
        <v>0.00521946</v>
      </c>
      <c r="O148" s="1" t="n">
        <v>0.005230188</v>
      </c>
      <c r="P148" s="1" t="n">
        <v>0.005228043</v>
      </c>
      <c r="R148" s="1" t="n">
        <f aca="false">PERCENTILE(G148:P148,0.9)</f>
        <v>0.0107642886</v>
      </c>
      <c r="S148" s="5" t="n">
        <f aca="false">spmv_1!R$10/R148</f>
        <v>3.25443934121202</v>
      </c>
      <c r="T148" s="6" t="n">
        <f aca="false">S148/64</f>
        <v>0.0508506147064377</v>
      </c>
    </row>
    <row r="149" customFormat="false" ht="15" hidden="false" customHeight="false" outlineLevel="0" collapsed="false">
      <c r="A149" s="1" t="s">
        <v>17</v>
      </c>
      <c r="B149" s="1" t="n">
        <v>13</v>
      </c>
      <c r="D149" s="1" t="n">
        <v>314596</v>
      </c>
      <c r="E149" s="1" t="n">
        <v>0.064327</v>
      </c>
      <c r="G149" s="1" t="n">
        <v>0.019035339</v>
      </c>
      <c r="H149" s="1" t="n">
        <v>0.012547731</v>
      </c>
      <c r="I149" s="1" t="n">
        <v>0.011070728</v>
      </c>
      <c r="J149" s="1" t="n">
        <v>0.007998705</v>
      </c>
      <c r="K149" s="1" t="n">
        <v>0.007951975</v>
      </c>
      <c r="L149" s="1" t="n">
        <v>0.007950544</v>
      </c>
      <c r="M149" s="1" t="n">
        <v>0.007895947</v>
      </c>
      <c r="N149" s="1" t="n">
        <v>0.007873774</v>
      </c>
      <c r="O149" s="1" t="n">
        <v>0.007737875</v>
      </c>
      <c r="P149" s="1" t="n">
        <v>0.007748842</v>
      </c>
      <c r="R149" s="1" t="n">
        <f aca="false">PERCENTILE(G149:P149,0.9)</f>
        <v>0.0131964918</v>
      </c>
      <c r="S149" s="5" t="n">
        <f aca="false">spmv_1!R$10/R149</f>
        <v>2.65462403424522</v>
      </c>
      <c r="T149" s="6" t="n">
        <f aca="false">S149/64</f>
        <v>0.0414785005350816</v>
      </c>
    </row>
    <row r="150" customFormat="false" ht="15" hidden="false" customHeight="false" outlineLevel="0" collapsed="false">
      <c r="A150" s="1" t="s">
        <v>17</v>
      </c>
      <c r="B150" s="1" t="n">
        <v>14</v>
      </c>
      <c r="D150" s="1" t="n">
        <v>314603</v>
      </c>
      <c r="E150" s="1" t="n">
        <v>0.086473</v>
      </c>
      <c r="G150" s="1" t="n">
        <v>0.016561985</v>
      </c>
      <c r="H150" s="1" t="n">
        <v>0.010005713</v>
      </c>
      <c r="I150" s="1" t="n">
        <v>0.008851767</v>
      </c>
      <c r="J150" s="1" t="n">
        <v>0.00592947</v>
      </c>
      <c r="K150" s="1" t="n">
        <v>0.005398989</v>
      </c>
      <c r="L150" s="1" t="n">
        <v>0.005415201</v>
      </c>
      <c r="M150" s="1" t="n">
        <v>0.005123377</v>
      </c>
      <c r="N150" s="1" t="n">
        <v>0.005150318</v>
      </c>
      <c r="O150" s="1" t="n">
        <v>0.005181313</v>
      </c>
      <c r="P150" s="1" t="n">
        <v>0.005145311</v>
      </c>
      <c r="R150" s="1" t="n">
        <f aca="false">PERCENTILE(G150:P150,0.9)</f>
        <v>0.0106613402</v>
      </c>
      <c r="S150" s="5" t="n">
        <f aca="false">spmv_1!R$10/R150</f>
        <v>3.28586497033459</v>
      </c>
      <c r="T150" s="6" t="n">
        <f aca="false">S150/64</f>
        <v>0.051341640161478</v>
      </c>
    </row>
    <row r="151" customFormat="false" ht="15" hidden="false" customHeight="false" outlineLevel="0" collapsed="false">
      <c r="A151" s="1" t="s">
        <v>17</v>
      </c>
      <c r="B151" s="1" t="n">
        <v>15</v>
      </c>
      <c r="D151" s="1" t="n">
        <v>315110</v>
      </c>
      <c r="E151" s="1" t="n">
        <v>0.087148</v>
      </c>
      <c r="G151" s="1" t="n">
        <v>0.016539097</v>
      </c>
      <c r="H151" s="1" t="n">
        <v>0.009954929</v>
      </c>
      <c r="I151" s="1" t="n">
        <v>0.008806944</v>
      </c>
      <c r="J151" s="1" t="n">
        <v>0.005923033</v>
      </c>
      <c r="K151" s="1" t="n">
        <v>0.005293131</v>
      </c>
      <c r="L151" s="1" t="n">
        <v>0.005363941</v>
      </c>
      <c r="M151" s="1" t="n">
        <v>0.005083323</v>
      </c>
      <c r="N151" s="1" t="n">
        <v>0.00509572</v>
      </c>
      <c r="O151" s="1" t="n">
        <v>0.005153418</v>
      </c>
      <c r="P151" s="1" t="n">
        <v>0.005102396</v>
      </c>
      <c r="R151" s="1" t="n">
        <f aca="false">PERCENTILE(G151:P151,0.9)</f>
        <v>0.0106133458</v>
      </c>
      <c r="S151" s="5" t="n">
        <f aca="false">spmv_1!R$10/R151</f>
        <v>3.30072391497882</v>
      </c>
      <c r="T151" s="6" t="n">
        <f aca="false">S151/64</f>
        <v>0.0515738111715441</v>
      </c>
    </row>
    <row r="152" customFormat="false" ht="15" hidden="false" customHeight="false" outlineLevel="0" collapsed="false">
      <c r="A152" s="1" t="s">
        <v>17</v>
      </c>
      <c r="B152" s="1" t="n">
        <v>16</v>
      </c>
      <c r="D152" s="1" t="n">
        <v>317236</v>
      </c>
      <c r="E152" s="1" t="n">
        <v>0.084986</v>
      </c>
      <c r="G152" s="1" t="n">
        <v>0.01678586</v>
      </c>
      <c r="H152" s="1" t="n">
        <v>0.01030159</v>
      </c>
      <c r="I152" s="1" t="n">
        <v>0.009130716</v>
      </c>
      <c r="J152" s="1" t="n">
        <v>0.00611043</v>
      </c>
      <c r="K152" s="1" t="n">
        <v>0.005409479</v>
      </c>
      <c r="L152" s="1" t="n">
        <v>0.005583525</v>
      </c>
      <c r="M152" s="1" t="n">
        <v>0.005280495</v>
      </c>
      <c r="N152" s="1" t="n">
        <v>0.005309105</v>
      </c>
      <c r="O152" s="1" t="n">
        <v>0.005407095</v>
      </c>
      <c r="P152" s="1" t="n">
        <v>0.005337954</v>
      </c>
      <c r="R152" s="1" t="n">
        <f aca="false">PERCENTILE(G152:P152,0.9)</f>
        <v>0.010950017</v>
      </c>
      <c r="S152" s="5" t="n">
        <f aca="false">spmv_1!R$10/R152</f>
        <v>3.19923926145503</v>
      </c>
      <c r="T152" s="6" t="n">
        <f aca="false">S152/64</f>
        <v>0.0499881134602348</v>
      </c>
    </row>
    <row r="153" customFormat="false" ht="15" hidden="false" customHeight="false" outlineLevel="0" collapsed="false">
      <c r="A153" s="1" t="s">
        <v>17</v>
      </c>
      <c r="B153" s="1" t="n">
        <v>17</v>
      </c>
      <c r="D153" s="1" t="n">
        <v>317938</v>
      </c>
      <c r="E153" s="1" t="n">
        <v>0.076675</v>
      </c>
      <c r="G153" s="1" t="n">
        <v>0.017902374</v>
      </c>
      <c r="H153" s="1" t="n">
        <v>0.010976553</v>
      </c>
      <c r="I153" s="1" t="n">
        <v>0.009828568</v>
      </c>
      <c r="J153" s="1" t="n">
        <v>0.007089376</v>
      </c>
      <c r="K153" s="1" t="n">
        <v>0.006148815</v>
      </c>
      <c r="L153" s="1" t="n">
        <v>0.00623703</v>
      </c>
      <c r="M153" s="1" t="n">
        <v>0.006154776</v>
      </c>
      <c r="N153" s="1" t="n">
        <v>0.006167173</v>
      </c>
      <c r="O153" s="1" t="n">
        <v>0.006248236</v>
      </c>
      <c r="P153" s="1" t="n">
        <v>0.006178617</v>
      </c>
      <c r="R153" s="1" t="n">
        <f aca="false">PERCENTILE(G153:P153,0.9)</f>
        <v>0.0116691351</v>
      </c>
      <c r="S153" s="5" t="n">
        <f aca="false">spmv_1!R$10/R153</f>
        <v>3.00208404477209</v>
      </c>
      <c r="T153" s="6" t="n">
        <f aca="false">S153/64</f>
        <v>0.046907563199564</v>
      </c>
    </row>
    <row r="154" customFormat="false" ht="15" hidden="false" customHeight="false" outlineLevel="0" collapsed="false">
      <c r="A154" s="1" t="s">
        <v>17</v>
      </c>
      <c r="B154" s="1" t="n">
        <v>18</v>
      </c>
      <c r="D154" s="1" t="n">
        <v>317431</v>
      </c>
      <c r="E154" s="1" t="n">
        <v>0.077329</v>
      </c>
      <c r="G154" s="1" t="n">
        <v>0.017681837</v>
      </c>
      <c r="H154" s="1" t="n">
        <v>0.010874748</v>
      </c>
      <c r="I154" s="1" t="n">
        <v>0.009714842</v>
      </c>
      <c r="J154" s="1" t="n">
        <v>0.007069349</v>
      </c>
      <c r="K154" s="1" t="n">
        <v>0.006122112</v>
      </c>
      <c r="L154" s="1" t="n">
        <v>0.005946159</v>
      </c>
      <c r="M154" s="1" t="n">
        <v>0.006101608</v>
      </c>
      <c r="N154" s="1" t="n">
        <v>0.006162643</v>
      </c>
      <c r="O154" s="1" t="n">
        <v>0.006263018</v>
      </c>
      <c r="P154" s="1" t="n">
        <v>0.006162643</v>
      </c>
      <c r="R154" s="1" t="n">
        <f aca="false">PERCENTILE(G154:P154,0.9)</f>
        <v>0.0115554569</v>
      </c>
      <c r="S154" s="5" t="n">
        <f aca="false">spmv_1!R$10/R154</f>
        <v>3.03161740839516</v>
      </c>
      <c r="T154" s="6" t="n">
        <f aca="false">S154/64</f>
        <v>0.0473690220061744</v>
      </c>
    </row>
    <row r="155" customFormat="false" ht="15" hidden="false" customHeight="false" outlineLevel="0" collapsed="false">
      <c r="A155" s="1" t="s">
        <v>17</v>
      </c>
      <c r="B155" s="1" t="n">
        <v>19</v>
      </c>
      <c r="D155" s="1" t="n">
        <v>318160</v>
      </c>
      <c r="E155" s="1" t="n">
        <v>0.08599</v>
      </c>
      <c r="G155" s="1" t="n">
        <v>0.016756773</v>
      </c>
      <c r="H155" s="1" t="n">
        <v>0.010270119</v>
      </c>
      <c r="I155" s="1" t="n">
        <v>0.008970737</v>
      </c>
      <c r="J155" s="1" t="n">
        <v>0.006143808</v>
      </c>
      <c r="K155" s="1" t="n">
        <v>0.005407333</v>
      </c>
      <c r="L155" s="1" t="n">
        <v>0.005227089</v>
      </c>
      <c r="M155" s="1" t="n">
        <v>0.005278349</v>
      </c>
      <c r="N155" s="1" t="n">
        <v>0.005300283</v>
      </c>
      <c r="O155" s="1" t="n">
        <v>0.005336046</v>
      </c>
      <c r="P155" s="1" t="n">
        <v>0.00530839</v>
      </c>
      <c r="R155" s="1" t="n">
        <f aca="false">PERCENTILE(G155:P155,0.9)</f>
        <v>0.0109187844</v>
      </c>
      <c r="S155" s="5" t="n">
        <f aca="false">spmv_1!R$10/R155</f>
        <v>3.2083905146071</v>
      </c>
      <c r="T155" s="6" t="n">
        <f aca="false">S155/64</f>
        <v>0.050131101790736</v>
      </c>
    </row>
    <row r="156" customFormat="false" ht="15" hidden="false" customHeight="false" outlineLevel="0" collapsed="false">
      <c r="A156" s="1" t="s">
        <v>17</v>
      </c>
      <c r="B156" s="1" t="n">
        <v>20</v>
      </c>
      <c r="D156" s="1" t="n">
        <v>315892</v>
      </c>
      <c r="E156" s="1" t="n">
        <v>0.064868</v>
      </c>
      <c r="G156" s="1" t="n">
        <v>0.018910885</v>
      </c>
      <c r="H156" s="1" t="n">
        <v>0.012462139</v>
      </c>
      <c r="I156" s="1" t="n">
        <v>0.010920525</v>
      </c>
      <c r="J156" s="1" t="n">
        <v>0.008518457</v>
      </c>
      <c r="K156" s="1" t="n">
        <v>0.007778645</v>
      </c>
      <c r="L156" s="1" t="n">
        <v>0.00755477</v>
      </c>
      <c r="M156" s="1" t="n">
        <v>0.007831335</v>
      </c>
      <c r="N156" s="1" t="n">
        <v>0.007848501</v>
      </c>
      <c r="O156" s="1" t="n">
        <v>0.007664204</v>
      </c>
      <c r="P156" s="1" t="n">
        <v>0.007906437</v>
      </c>
      <c r="R156" s="1" t="n">
        <f aca="false">PERCENTILE(G156:P156,0.9)</f>
        <v>0.0131070136</v>
      </c>
      <c r="S156" s="5" t="n">
        <f aca="false">spmv_1!R$10/R156</f>
        <v>2.67274646758587</v>
      </c>
      <c r="T156" s="6" t="n">
        <f aca="false">S156/64</f>
        <v>0.0417616635560293</v>
      </c>
    </row>
    <row r="157" customFormat="false" ht="15" hidden="false" customHeight="false" outlineLevel="0" collapsed="false">
      <c r="A157" s="1" t="s">
        <v>17</v>
      </c>
      <c r="B157" s="1" t="n">
        <v>21</v>
      </c>
      <c r="D157" s="1" t="n">
        <v>315777</v>
      </c>
      <c r="E157" s="1" t="n">
        <v>0.063927</v>
      </c>
      <c r="G157" s="1" t="n">
        <v>0.019114017</v>
      </c>
      <c r="H157" s="1" t="n">
        <v>0.012478352</v>
      </c>
      <c r="I157" s="1" t="n">
        <v>0.010899544</v>
      </c>
      <c r="J157" s="1" t="n">
        <v>0.008553743</v>
      </c>
      <c r="K157" s="1" t="n">
        <v>0.008051872</v>
      </c>
      <c r="L157" s="1" t="n">
        <v>0.007718563</v>
      </c>
      <c r="M157" s="1" t="n">
        <v>0.008071423</v>
      </c>
      <c r="N157" s="1" t="n">
        <v>0.008028746</v>
      </c>
      <c r="O157" s="1" t="n">
        <v>0.007791996</v>
      </c>
      <c r="P157" s="1" t="n">
        <v>0.008085012</v>
      </c>
      <c r="R157" s="1" t="n">
        <f aca="false">PERCENTILE(G157:P157,0.9)</f>
        <v>0.0131419185</v>
      </c>
      <c r="S157" s="5" t="n">
        <f aca="false">spmv_1!R$10/R157</f>
        <v>2.66564766019512</v>
      </c>
      <c r="T157" s="6" t="n">
        <f aca="false">S157/64</f>
        <v>0.0416507446905488</v>
      </c>
    </row>
    <row r="158" customFormat="false" ht="15" hidden="false" customHeight="false" outlineLevel="0" collapsed="false">
      <c r="A158" s="1" t="s">
        <v>17</v>
      </c>
      <c r="B158" s="1" t="n">
        <v>22</v>
      </c>
      <c r="D158" s="1" t="n">
        <v>314789</v>
      </c>
      <c r="E158" s="1" t="n">
        <v>0.074615</v>
      </c>
      <c r="G158" s="1" t="n">
        <v>0.017983198</v>
      </c>
      <c r="H158" s="1" t="n">
        <v>0.011003971</v>
      </c>
      <c r="I158" s="1" t="n">
        <v>0.009414911</v>
      </c>
      <c r="J158" s="1" t="n">
        <v>0.007300854</v>
      </c>
      <c r="K158" s="1" t="n">
        <v>0.006529331</v>
      </c>
      <c r="L158" s="1" t="n">
        <v>0.006155491</v>
      </c>
      <c r="M158" s="1" t="n">
        <v>0.006556511</v>
      </c>
      <c r="N158" s="1" t="n">
        <v>0.006555796</v>
      </c>
      <c r="O158" s="1" t="n">
        <v>0.006378651</v>
      </c>
      <c r="P158" s="1" t="n">
        <v>0.006498575</v>
      </c>
      <c r="R158" s="1" t="n">
        <f aca="false">PERCENTILE(G158:P158,0.9)</f>
        <v>0.0117018937</v>
      </c>
      <c r="S158" s="5" t="n">
        <f aca="false">spmv_1!R$10/R158</f>
        <v>2.99367992891612</v>
      </c>
      <c r="T158" s="6" t="n">
        <f aca="false">S158/64</f>
        <v>0.0467762488893144</v>
      </c>
    </row>
    <row r="159" customFormat="false" ht="15" hidden="false" customHeight="false" outlineLevel="0" collapsed="false">
      <c r="A159" s="1" t="s">
        <v>17</v>
      </c>
      <c r="B159" s="1" t="n">
        <v>23</v>
      </c>
      <c r="D159" s="1" t="n">
        <v>314960</v>
      </c>
      <c r="E159" s="1" t="n">
        <v>0.063193</v>
      </c>
      <c r="G159" s="1" t="n">
        <v>0.019178391</v>
      </c>
      <c r="H159" s="1" t="n">
        <v>0.012447834</v>
      </c>
      <c r="I159" s="1" t="n">
        <v>0.010747671</v>
      </c>
      <c r="J159" s="1" t="n">
        <v>0.008499861</v>
      </c>
      <c r="K159" s="1" t="n">
        <v>0.008265257</v>
      </c>
      <c r="L159" s="1" t="n">
        <v>0.008004904</v>
      </c>
      <c r="M159" s="1" t="n">
        <v>0.008184433</v>
      </c>
      <c r="N159" s="1" t="n">
        <v>0.00822854</v>
      </c>
      <c r="O159" s="1" t="n">
        <v>0.008012295</v>
      </c>
      <c r="P159" s="1" t="n">
        <v>0.008113384</v>
      </c>
      <c r="R159" s="1" t="n">
        <f aca="false">PERCENTILE(G159:P159,0.9)</f>
        <v>0.0131208897</v>
      </c>
      <c r="S159" s="5" t="n">
        <f aca="false">spmv_1!R$10/R159</f>
        <v>2.6699198835579</v>
      </c>
      <c r="T159" s="6" t="n">
        <f aca="false">S159/64</f>
        <v>0.0417174981805921</v>
      </c>
    </row>
    <row r="160" customFormat="false" ht="15" hidden="false" customHeight="false" outlineLevel="0" collapsed="false">
      <c r="A160" s="1" t="s">
        <v>17</v>
      </c>
      <c r="B160" s="1" t="n">
        <v>24</v>
      </c>
      <c r="D160" s="1" t="n">
        <v>317347</v>
      </c>
      <c r="E160" s="1" t="n">
        <v>0.073553</v>
      </c>
      <c r="G160" s="1" t="n">
        <v>0.017773867</v>
      </c>
      <c r="H160" s="1" t="n">
        <v>0.010924816</v>
      </c>
      <c r="I160" s="1" t="n">
        <v>0.009189129</v>
      </c>
      <c r="J160" s="1" t="n">
        <v>0.007317305</v>
      </c>
      <c r="K160" s="1" t="n">
        <v>0.007020712</v>
      </c>
      <c r="L160" s="1" t="n">
        <v>0.006625414</v>
      </c>
      <c r="M160" s="1" t="n">
        <v>0.006847858</v>
      </c>
      <c r="N160" s="1" t="n">
        <v>0.00692749</v>
      </c>
      <c r="O160" s="1" t="n">
        <v>0.006799936</v>
      </c>
      <c r="P160" s="1" t="n">
        <v>0.006864071</v>
      </c>
      <c r="R160" s="1" t="n">
        <f aca="false">PERCENTILE(G160:P160,0.9)</f>
        <v>0.0116097211</v>
      </c>
      <c r="S160" s="5" t="n">
        <f aca="false">spmv_1!R$10/R160</f>
        <v>3.01744753368796</v>
      </c>
      <c r="T160" s="6" t="n">
        <f aca="false">S160/64</f>
        <v>0.0471476177138743</v>
      </c>
    </row>
    <row r="161" customFormat="false" ht="15" hidden="false" customHeight="false" outlineLevel="0" collapsed="false">
      <c r="A161" s="1" t="s">
        <v>17</v>
      </c>
      <c r="B161" s="1" t="n">
        <v>25</v>
      </c>
      <c r="D161" s="1" t="n">
        <v>318168</v>
      </c>
      <c r="E161" s="1" t="n">
        <v>0.063285</v>
      </c>
      <c r="G161" s="1" t="n">
        <v>0.019088745</v>
      </c>
      <c r="H161" s="1" t="n">
        <v>0.012427568</v>
      </c>
      <c r="I161" s="1" t="n">
        <v>0.010722399</v>
      </c>
      <c r="J161" s="1" t="n">
        <v>0.00874114</v>
      </c>
      <c r="K161" s="1" t="n">
        <v>0.008342028</v>
      </c>
      <c r="L161" s="1" t="n">
        <v>0.008185387</v>
      </c>
      <c r="M161" s="1" t="n">
        <v>0.008393049</v>
      </c>
      <c r="N161" s="1" t="n">
        <v>0.008223057</v>
      </c>
      <c r="O161" s="1" t="n">
        <v>0.008094311</v>
      </c>
      <c r="P161" s="1" t="n">
        <v>0.008333683</v>
      </c>
      <c r="R161" s="1" t="n">
        <f aca="false">PERCENTILE(G161:P161,0.9)</f>
        <v>0.0130936857</v>
      </c>
      <c r="S161" s="5" t="n">
        <f aca="false">spmv_1!R$10/R161</f>
        <v>2.67546702300942</v>
      </c>
      <c r="T161" s="6" t="n">
        <f aca="false">S161/64</f>
        <v>0.0418041722345222</v>
      </c>
    </row>
    <row r="162" customFormat="false" ht="15" hidden="false" customHeight="false" outlineLevel="0" collapsed="false">
      <c r="A162" s="1" t="s">
        <v>17</v>
      </c>
      <c r="B162" s="1" t="n">
        <v>26</v>
      </c>
      <c r="D162" s="1" t="n">
        <v>317615</v>
      </c>
      <c r="E162" s="1" t="n">
        <v>0.078315</v>
      </c>
      <c r="G162" s="1" t="n">
        <v>0.016625166</v>
      </c>
      <c r="H162" s="1" t="n">
        <v>0.010239124</v>
      </c>
      <c r="I162" s="1" t="n">
        <v>0.008654356</v>
      </c>
      <c r="J162" s="1" t="n">
        <v>0.00708437</v>
      </c>
      <c r="K162" s="1" t="n">
        <v>0.006559134</v>
      </c>
      <c r="L162" s="1" t="n">
        <v>0.006385326</v>
      </c>
      <c r="M162" s="1" t="n">
        <v>0.006625891</v>
      </c>
      <c r="N162" s="1" t="n">
        <v>0.006317616</v>
      </c>
      <c r="O162" s="1" t="n">
        <v>0.006310701</v>
      </c>
      <c r="P162" s="1" t="n">
        <v>0.00631094</v>
      </c>
      <c r="R162" s="1" t="n">
        <f aca="false">PERCENTILE(G162:P162,0.9)</f>
        <v>0.0108777282</v>
      </c>
      <c r="S162" s="5" t="n">
        <f aca="false">spmv_1!R$10/R162</f>
        <v>3.22050005809117</v>
      </c>
      <c r="T162" s="6" t="n">
        <f aca="false">S162/64</f>
        <v>0.0503203134076746</v>
      </c>
    </row>
    <row r="163" customFormat="false" ht="15" hidden="false" customHeight="false" outlineLevel="0" collapsed="false">
      <c r="A163" s="1" t="s">
        <v>17</v>
      </c>
      <c r="B163" s="1" t="n">
        <v>27</v>
      </c>
      <c r="D163" s="1" t="n">
        <v>317584</v>
      </c>
      <c r="E163" s="1" t="n">
        <v>0.078384</v>
      </c>
      <c r="G163" s="1" t="n">
        <v>0.016752243</v>
      </c>
      <c r="H163" s="1" t="n">
        <v>0.010194778</v>
      </c>
      <c r="I163" s="1" t="n">
        <v>0.008620501</v>
      </c>
      <c r="J163" s="1" t="n">
        <v>0.007071972</v>
      </c>
      <c r="K163" s="1" t="n">
        <v>0.006537199</v>
      </c>
      <c r="L163" s="1" t="n">
        <v>0.006367445</v>
      </c>
      <c r="M163" s="1" t="n">
        <v>0.006608248</v>
      </c>
      <c r="N163" s="1" t="n">
        <v>0.006283998</v>
      </c>
      <c r="O163" s="1" t="n">
        <v>0.00630188</v>
      </c>
      <c r="P163" s="1" t="n">
        <v>0.006294727</v>
      </c>
      <c r="R163" s="1" t="n">
        <f aca="false">PERCENTILE(G163:P163,0.9)</f>
        <v>0.0108505245</v>
      </c>
      <c r="S163" s="5" t="n">
        <f aca="false">spmv_1!R$10/R163</f>
        <v>3.22857427767662</v>
      </c>
      <c r="T163" s="6" t="n">
        <f aca="false">S163/64</f>
        <v>0.0504464730886973</v>
      </c>
    </row>
    <row r="164" customFormat="false" ht="15" hidden="false" customHeight="false" outlineLevel="0" collapsed="false">
      <c r="A164" s="1" t="s">
        <v>17</v>
      </c>
      <c r="B164" s="1" t="n">
        <v>28</v>
      </c>
      <c r="D164" s="1" t="n">
        <v>314807</v>
      </c>
      <c r="E164" s="1" t="n">
        <v>0.078096</v>
      </c>
      <c r="G164" s="1" t="n">
        <v>0.016672134</v>
      </c>
      <c r="H164" s="1" t="n">
        <v>0.010118008</v>
      </c>
      <c r="I164" s="1" t="n">
        <v>0.008578539</v>
      </c>
      <c r="J164" s="1" t="n">
        <v>0.007041931</v>
      </c>
      <c r="K164" s="1" t="n">
        <v>0.006501675</v>
      </c>
      <c r="L164" s="1" t="n">
        <v>0.006328583</v>
      </c>
      <c r="M164" s="1" t="n">
        <v>0.006571531</v>
      </c>
      <c r="N164" s="1" t="n">
        <v>0.006265163</v>
      </c>
      <c r="O164" s="1" t="n">
        <v>0.006276846</v>
      </c>
      <c r="P164" s="1" t="n">
        <v>0.006266356</v>
      </c>
      <c r="R164" s="1" t="n">
        <f aca="false">PERCENTILE(G164:P164,0.9)</f>
        <v>0.0107734206</v>
      </c>
      <c r="S164" s="5" t="n">
        <f aca="false">spmv_1!R$10/R164</f>
        <v>3.25168074288309</v>
      </c>
      <c r="T164" s="6" t="n">
        <f aca="false">S164/64</f>
        <v>0.0508075116075483</v>
      </c>
    </row>
    <row r="165" customFormat="false" ht="15" hidden="false" customHeight="false" outlineLevel="0" collapsed="false">
      <c r="A165" s="1" t="s">
        <v>17</v>
      </c>
      <c r="B165" s="1" t="n">
        <v>29</v>
      </c>
      <c r="D165" s="1" t="n">
        <v>315241</v>
      </c>
      <c r="E165" s="1" t="n">
        <v>0.078222</v>
      </c>
      <c r="G165" s="1" t="n">
        <v>0.016879082</v>
      </c>
      <c r="H165" s="1" t="n">
        <v>0.010125637</v>
      </c>
      <c r="I165" s="1" t="n">
        <v>0.00855875</v>
      </c>
      <c r="J165" s="1" t="n">
        <v>0.006988287</v>
      </c>
      <c r="K165" s="1" t="n">
        <v>0.006481171</v>
      </c>
      <c r="L165" s="1" t="n">
        <v>0.006296158</v>
      </c>
      <c r="M165" s="1" t="n">
        <v>0.006540298</v>
      </c>
      <c r="N165" s="1" t="n">
        <v>0.006227255</v>
      </c>
      <c r="O165" s="1" t="n">
        <v>0.006254196</v>
      </c>
      <c r="P165" s="1" t="n">
        <v>0.006250381</v>
      </c>
      <c r="R165" s="1" t="n">
        <f aca="false">PERCENTILE(G165:P165,0.9)</f>
        <v>0.0108009815</v>
      </c>
      <c r="S165" s="5" t="n">
        <f aca="false">spmv_1!R$10/R165</f>
        <v>3.24338341844211</v>
      </c>
      <c r="T165" s="6" t="n">
        <f aca="false">S165/64</f>
        <v>0.050677865913158</v>
      </c>
    </row>
    <row r="166" customFormat="false" ht="15" hidden="false" customHeight="false" outlineLevel="0" collapsed="false">
      <c r="A166" s="1" t="s">
        <v>17</v>
      </c>
      <c r="B166" s="1" t="n">
        <v>30</v>
      </c>
      <c r="D166" s="1" t="n">
        <v>313772</v>
      </c>
      <c r="E166" s="1" t="n">
        <v>0.072538</v>
      </c>
      <c r="G166" s="1" t="n">
        <v>0.017941952</v>
      </c>
      <c r="H166" s="1" t="n">
        <v>0.010638237</v>
      </c>
      <c r="I166" s="1" t="n">
        <v>0.008885384</v>
      </c>
      <c r="J166" s="1" t="n">
        <v>0.007520437</v>
      </c>
      <c r="K166" s="1" t="n">
        <v>0.007045031</v>
      </c>
      <c r="L166" s="1" t="n">
        <v>0.006891727</v>
      </c>
      <c r="M166" s="1" t="n">
        <v>0.007043362</v>
      </c>
      <c r="N166" s="1" t="n">
        <v>0.00686264</v>
      </c>
      <c r="O166" s="1" t="n">
        <v>0.006851912</v>
      </c>
      <c r="P166" s="1" t="n">
        <v>0.006831884</v>
      </c>
      <c r="R166" s="1" t="n">
        <f aca="false">PERCENTILE(G166:P166,0.9)</f>
        <v>0.0113686085</v>
      </c>
      <c r="S166" s="5" t="n">
        <f aca="false">spmv_1!R$10/R166</f>
        <v>3.08144345897741</v>
      </c>
      <c r="T166" s="6" t="n">
        <f aca="false">S166/64</f>
        <v>0.0481475540465221</v>
      </c>
    </row>
    <row r="167" customFormat="false" ht="15" hidden="false" customHeight="false" outlineLevel="0" collapsed="false">
      <c r="A167" s="1" t="s">
        <v>17</v>
      </c>
      <c r="B167" s="1" t="n">
        <v>31</v>
      </c>
      <c r="D167" s="1" t="n">
        <v>313928</v>
      </c>
      <c r="E167" s="1" t="n">
        <v>0.078055</v>
      </c>
      <c r="G167" s="1" t="n">
        <v>0.017023563</v>
      </c>
      <c r="H167" s="1" t="n">
        <v>0.010050058</v>
      </c>
      <c r="I167" s="1" t="n">
        <v>0.008466959</v>
      </c>
      <c r="J167" s="1" t="n">
        <v>0.006978273</v>
      </c>
      <c r="K167" s="1" t="n">
        <v>0.006440163</v>
      </c>
      <c r="L167" s="1" t="n">
        <v>0.006289482</v>
      </c>
      <c r="M167" s="1" t="n">
        <v>0.006513834</v>
      </c>
      <c r="N167" s="1" t="n">
        <v>0.006201267</v>
      </c>
      <c r="O167" s="1" t="n">
        <v>0.006244659</v>
      </c>
      <c r="P167" s="1" t="n">
        <v>0.006229162</v>
      </c>
      <c r="R167" s="1" t="n">
        <f aca="false">PERCENTILE(G167:P167,0.9)</f>
        <v>0.0107474085</v>
      </c>
      <c r="S167" s="5" t="n">
        <f aca="false">spmv_1!R$10/R167</f>
        <v>3.25955083032342</v>
      </c>
      <c r="T167" s="6" t="n">
        <f aca="false">S167/64</f>
        <v>0.0509304817238035</v>
      </c>
    </row>
    <row r="168" customFormat="false" ht="15" hidden="false" customHeight="false" outlineLevel="0" collapsed="false">
      <c r="A168" s="1" t="s">
        <v>17</v>
      </c>
      <c r="B168" s="1" t="n">
        <v>32</v>
      </c>
      <c r="D168" s="1" t="n">
        <v>315807</v>
      </c>
      <c r="E168" s="1" t="n">
        <v>0.08025</v>
      </c>
      <c r="G168" s="1" t="n">
        <v>0.016640425</v>
      </c>
      <c r="H168" s="1" t="n">
        <v>0.011018515</v>
      </c>
      <c r="I168" s="1" t="n">
        <v>0.00813055</v>
      </c>
      <c r="J168" s="1" t="n">
        <v>0.006781101</v>
      </c>
      <c r="K168" s="1" t="n">
        <v>0.006110191</v>
      </c>
      <c r="L168" s="1" t="n">
        <v>0.006112814</v>
      </c>
      <c r="M168" s="1" t="n">
        <v>0.006254911</v>
      </c>
      <c r="N168" s="1" t="n">
        <v>0.005874157</v>
      </c>
      <c r="O168" s="1" t="n">
        <v>0.005904675</v>
      </c>
      <c r="P168" s="1" t="n">
        <v>0.00587821</v>
      </c>
      <c r="R168" s="1" t="n">
        <f aca="false">PERCENTILE(G168:P168,0.9)</f>
        <v>0.011580706</v>
      </c>
      <c r="S168" s="5" t="n">
        <f aca="false">spmv_1!R$10/R168</f>
        <v>3.02500765497371</v>
      </c>
      <c r="T168" s="6" t="n">
        <f aca="false">S168/64</f>
        <v>0.0472657446089643</v>
      </c>
    </row>
    <row r="169" customFormat="false" ht="15" hidden="false" customHeight="false" outlineLevel="0" collapsed="false">
      <c r="A169" s="1" t="s">
        <v>17</v>
      </c>
      <c r="B169" s="1" t="n">
        <v>33</v>
      </c>
      <c r="D169" s="1" t="n">
        <v>315788</v>
      </c>
      <c r="E169" s="1" t="n">
        <v>0.07112</v>
      </c>
      <c r="G169" s="1" t="n">
        <v>0.016700983</v>
      </c>
      <c r="H169" s="1" t="n">
        <v>0.01207757</v>
      </c>
      <c r="I169" s="1" t="n">
        <v>0.008639574</v>
      </c>
      <c r="J169" s="1" t="n">
        <v>0.007759571</v>
      </c>
      <c r="K169" s="1" t="n">
        <v>0.007437944</v>
      </c>
      <c r="L169" s="1" t="n">
        <v>0.007462978</v>
      </c>
      <c r="M169" s="1" t="n">
        <v>0.007371902</v>
      </c>
      <c r="N169" s="1" t="n">
        <v>0.007134199</v>
      </c>
      <c r="O169" s="1" t="n">
        <v>0.007136345</v>
      </c>
      <c r="P169" s="1" t="n">
        <v>0.007083416</v>
      </c>
      <c r="R169" s="1" t="n">
        <f aca="false">PERCENTILE(G169:P169,0.9)</f>
        <v>0.0125399113</v>
      </c>
      <c r="S169" s="5" t="n">
        <f aca="false">spmv_1!R$10/R169</f>
        <v>2.79361818930888</v>
      </c>
      <c r="T169" s="6" t="n">
        <f aca="false">S169/64</f>
        <v>0.0436502842079513</v>
      </c>
    </row>
    <row r="170" customFormat="false" ht="15" hidden="false" customHeight="false" outlineLevel="0" collapsed="false">
      <c r="A170" s="1" t="s">
        <v>17</v>
      </c>
      <c r="B170" s="1" t="n">
        <v>34</v>
      </c>
      <c r="D170" s="1" t="n">
        <v>315365</v>
      </c>
      <c r="E170" s="1" t="n">
        <v>0.071317</v>
      </c>
      <c r="G170" s="1" t="n">
        <v>0.016635418</v>
      </c>
      <c r="H170" s="1" t="n">
        <v>0.01204133</v>
      </c>
      <c r="I170" s="1" t="n">
        <v>0.008520842</v>
      </c>
      <c r="J170" s="1" t="n">
        <v>0.007745743</v>
      </c>
      <c r="K170" s="1" t="n">
        <v>0.007358551</v>
      </c>
      <c r="L170" s="1" t="n">
        <v>0.007475138</v>
      </c>
      <c r="M170" s="1" t="n">
        <v>0.007369041</v>
      </c>
      <c r="N170" s="1" t="n">
        <v>0.007113934</v>
      </c>
      <c r="O170" s="1" t="n">
        <v>0.007096052</v>
      </c>
      <c r="P170" s="1" t="n">
        <v>0.007084846</v>
      </c>
      <c r="R170" s="1" t="n">
        <f aca="false">PERCENTILE(G170:P170,0.9)</f>
        <v>0.0125007388</v>
      </c>
      <c r="S170" s="5" t="n">
        <f aca="false">spmv_1!R$10/R170</f>
        <v>2.80237231258684</v>
      </c>
      <c r="T170" s="6" t="n">
        <f aca="false">S170/64</f>
        <v>0.0437870673841693</v>
      </c>
    </row>
    <row r="171" customFormat="false" ht="15" hidden="false" customHeight="false" outlineLevel="0" collapsed="false">
      <c r="A171" s="1" t="s">
        <v>17</v>
      </c>
      <c r="B171" s="1" t="n">
        <v>35</v>
      </c>
      <c r="D171" s="1" t="n">
        <v>315843</v>
      </c>
      <c r="E171" s="1" t="n">
        <v>0.071588</v>
      </c>
      <c r="G171" s="1" t="n">
        <v>0.016495943</v>
      </c>
      <c r="H171" s="1" t="n">
        <v>0.012089729</v>
      </c>
      <c r="I171" s="1" t="n">
        <v>0.008486271</v>
      </c>
      <c r="J171" s="1" t="n">
        <v>0.007728577</v>
      </c>
      <c r="K171" s="1" t="n">
        <v>0.007355452</v>
      </c>
      <c r="L171" s="1" t="n">
        <v>0.0074687</v>
      </c>
      <c r="M171" s="1" t="n">
        <v>0.007334471</v>
      </c>
      <c r="N171" s="1" t="n">
        <v>0.007107258</v>
      </c>
      <c r="O171" s="1" t="n">
        <v>0.007107496</v>
      </c>
      <c r="P171" s="1" t="n">
        <v>0.007065296</v>
      </c>
      <c r="R171" s="1" t="n">
        <f aca="false">PERCENTILE(G171:P171,0.9)</f>
        <v>0.0125303504</v>
      </c>
      <c r="S171" s="5" t="n">
        <f aca="false">spmv_1!R$10/R171</f>
        <v>2.79574977408453</v>
      </c>
      <c r="T171" s="6" t="n">
        <f aca="false">S171/64</f>
        <v>0.0436835902200708</v>
      </c>
    </row>
    <row r="172" customFormat="false" ht="15" hidden="false" customHeight="false" outlineLevel="0" collapsed="false">
      <c r="A172" s="1" t="s">
        <v>17</v>
      </c>
      <c r="B172" s="1" t="n">
        <v>36</v>
      </c>
      <c r="D172" s="1" t="n">
        <v>314019</v>
      </c>
      <c r="E172" s="1" t="n">
        <v>0.080937</v>
      </c>
      <c r="G172" s="1" t="n">
        <v>0.016287565</v>
      </c>
      <c r="H172" s="1" t="n">
        <v>0.01107049</v>
      </c>
      <c r="I172" s="1" t="n">
        <v>0.007909536</v>
      </c>
      <c r="J172" s="1" t="n">
        <v>0.006729841</v>
      </c>
      <c r="K172" s="1" t="n">
        <v>0.00601244</v>
      </c>
      <c r="L172" s="1" t="n">
        <v>0.006069899</v>
      </c>
      <c r="M172" s="1" t="n">
        <v>0.006151199</v>
      </c>
      <c r="N172" s="1" t="n">
        <v>0.005757332</v>
      </c>
      <c r="O172" s="1" t="n">
        <v>0.00581789</v>
      </c>
      <c r="P172" s="1" t="n">
        <v>0.005789995</v>
      </c>
      <c r="R172" s="1" t="n">
        <f aca="false">PERCENTILE(G172:P172,0.9)</f>
        <v>0.0115921975</v>
      </c>
      <c r="S172" s="5" t="n">
        <f aca="false">spmv_1!R$10/R172</f>
        <v>3.02200892453739</v>
      </c>
      <c r="T172" s="6" t="n">
        <f aca="false">S172/64</f>
        <v>0.0472188894458967</v>
      </c>
    </row>
    <row r="173" customFormat="false" ht="15" hidden="false" customHeight="false" outlineLevel="0" collapsed="false">
      <c r="A173" s="1" t="s">
        <v>17</v>
      </c>
      <c r="B173" s="1" t="n">
        <v>37</v>
      </c>
      <c r="D173" s="1" t="n">
        <v>315070</v>
      </c>
      <c r="E173" s="1" t="n">
        <v>0.072026</v>
      </c>
      <c r="G173" s="1" t="n">
        <v>0.016289234</v>
      </c>
      <c r="H173" s="1" t="n">
        <v>0.0119102</v>
      </c>
      <c r="I173" s="1" t="n">
        <v>0.008401871</v>
      </c>
      <c r="J173" s="1" t="n">
        <v>0.00772357</v>
      </c>
      <c r="K173" s="1" t="n">
        <v>0.00725913</v>
      </c>
      <c r="L173" s="1" t="n">
        <v>0.007418633</v>
      </c>
      <c r="M173" s="1" t="n">
        <v>0.007329226</v>
      </c>
      <c r="N173" s="1" t="n">
        <v>0.007052422</v>
      </c>
      <c r="O173" s="1" t="n">
        <v>0.007070541</v>
      </c>
      <c r="P173" s="1" t="n">
        <v>0.007032633</v>
      </c>
      <c r="R173" s="1" t="n">
        <f aca="false">PERCENTILE(G173:P173,0.9)</f>
        <v>0.0123481034</v>
      </c>
      <c r="S173" s="5" t="n">
        <f aca="false">spmv_1!R$10/R173</f>
        <v>2.83701254882592</v>
      </c>
      <c r="T173" s="6" t="n">
        <f aca="false">S173/64</f>
        <v>0.044328321075405</v>
      </c>
    </row>
    <row r="174" customFormat="false" ht="15" hidden="false" customHeight="false" outlineLevel="0" collapsed="false">
      <c r="A174" s="1" t="s">
        <v>17</v>
      </c>
      <c r="B174" s="1" t="n">
        <v>38</v>
      </c>
      <c r="D174" s="1" t="n">
        <v>315104</v>
      </c>
      <c r="E174" s="1" t="n">
        <v>0.07503</v>
      </c>
      <c r="G174" s="1" t="n">
        <v>0.0163517</v>
      </c>
      <c r="H174" s="1" t="n">
        <v>0.012229204</v>
      </c>
      <c r="I174" s="1" t="n">
        <v>0.008252621</v>
      </c>
      <c r="J174" s="1" t="n">
        <v>0.007379293</v>
      </c>
      <c r="K174" s="1" t="n">
        <v>0.006787777</v>
      </c>
      <c r="L174" s="1" t="n">
        <v>0.006759167</v>
      </c>
      <c r="M174" s="1" t="n">
        <v>0.00688386</v>
      </c>
      <c r="N174" s="1" t="n">
        <v>0.006546736</v>
      </c>
      <c r="O174" s="1" t="n">
        <v>0.006323099</v>
      </c>
      <c r="P174" s="1" t="n">
        <v>0.006481171</v>
      </c>
      <c r="R174" s="1" t="n">
        <f aca="false">PERCENTILE(G174:P174,0.9)</f>
        <v>0.0126414536</v>
      </c>
      <c r="S174" s="5" t="n">
        <f aca="false">spmv_1!R$10/R174</f>
        <v>2.77117849010655</v>
      </c>
      <c r="T174" s="6" t="n">
        <f aca="false">S174/64</f>
        <v>0.0432996639079148</v>
      </c>
    </row>
    <row r="175" customFormat="false" ht="15" hidden="false" customHeight="false" outlineLevel="0" collapsed="false">
      <c r="A175" s="1" t="s">
        <v>17</v>
      </c>
      <c r="B175" s="1" t="n">
        <v>39</v>
      </c>
      <c r="D175" s="1" t="n">
        <v>315656</v>
      </c>
      <c r="E175" s="1" t="n">
        <v>0.077538</v>
      </c>
      <c r="G175" s="1" t="n">
        <v>0.016023397</v>
      </c>
      <c r="H175" s="1" t="n">
        <v>0.012179136</v>
      </c>
      <c r="I175" s="1" t="n">
        <v>0.008069992</v>
      </c>
      <c r="J175" s="1" t="n">
        <v>0.007006168</v>
      </c>
      <c r="K175" s="1" t="n">
        <v>0.006388664</v>
      </c>
      <c r="L175" s="1" t="n">
        <v>0.006541491</v>
      </c>
      <c r="M175" s="1" t="n">
        <v>0.006555557</v>
      </c>
      <c r="N175" s="1" t="n">
        <v>0.006182909</v>
      </c>
      <c r="O175" s="1" t="n">
        <v>0.006237507</v>
      </c>
      <c r="P175" s="1" t="n">
        <v>0.006235361</v>
      </c>
      <c r="R175" s="1" t="n">
        <f aca="false">PERCENTILE(G175:P175,0.9)</f>
        <v>0.0125635621</v>
      </c>
      <c r="S175" s="5" t="n">
        <f aca="false">spmv_1!R$10/R175</f>
        <v>2.78835922656044</v>
      </c>
      <c r="T175" s="6" t="n">
        <f aca="false">S175/64</f>
        <v>0.0435681129150068</v>
      </c>
    </row>
    <row r="176" customFormat="false" ht="15" hidden="false" customHeight="false" outlineLevel="0" collapsed="false">
      <c r="A176" s="1" t="s">
        <v>17</v>
      </c>
      <c r="B176" s="1" t="n">
        <v>40</v>
      </c>
      <c r="D176" s="1" t="n">
        <v>317049</v>
      </c>
      <c r="E176" s="1" t="n">
        <v>0.072434</v>
      </c>
      <c r="G176" s="1" t="n">
        <v>0.016115665</v>
      </c>
      <c r="H176" s="1" t="n">
        <v>0.012706518</v>
      </c>
      <c r="I176" s="1" t="n">
        <v>0.008060694</v>
      </c>
      <c r="J176" s="1" t="n">
        <v>0.0076437</v>
      </c>
      <c r="K176" s="1" t="n">
        <v>0.007211447</v>
      </c>
      <c r="L176" s="1" t="n">
        <v>0.007450342</v>
      </c>
      <c r="M176" s="1" t="n">
        <v>0.007302046</v>
      </c>
      <c r="N176" s="1" t="n">
        <v>0.006992102</v>
      </c>
      <c r="O176" s="1" t="n">
        <v>0.00705409</v>
      </c>
      <c r="P176" s="1" t="n">
        <v>0.007005215</v>
      </c>
      <c r="R176" s="1" t="n">
        <f aca="false">PERCENTILE(G176:P176,0.9)</f>
        <v>0.0130474327</v>
      </c>
      <c r="S176" s="5" t="n">
        <f aca="false">spmv_1!R$10/R176</f>
        <v>2.6849515230686</v>
      </c>
      <c r="T176" s="6" t="n">
        <f aca="false">S176/64</f>
        <v>0.0419523675479468</v>
      </c>
    </row>
    <row r="177" customFormat="false" ht="15" hidden="false" customHeight="false" outlineLevel="0" collapsed="false">
      <c r="A177" s="1" t="s">
        <v>17</v>
      </c>
      <c r="B177" s="1" t="n">
        <v>41</v>
      </c>
      <c r="D177" s="1" t="n">
        <v>317675</v>
      </c>
      <c r="E177" s="1" t="n">
        <v>0.075741</v>
      </c>
      <c r="G177" s="1" t="n">
        <v>0.016100645</v>
      </c>
      <c r="H177" s="1" t="n">
        <v>0.01246047</v>
      </c>
      <c r="I177" s="1" t="n">
        <v>0.008851528</v>
      </c>
      <c r="J177" s="1" t="n">
        <v>0.007276773</v>
      </c>
      <c r="K177" s="1" t="n">
        <v>0.006732464</v>
      </c>
      <c r="L177" s="1" t="n">
        <v>0.006751776</v>
      </c>
      <c r="M177" s="1" t="n">
        <v>0.006752491</v>
      </c>
      <c r="N177" s="1" t="n">
        <v>0.006403685</v>
      </c>
      <c r="O177" s="1" t="n">
        <v>0.006207705</v>
      </c>
      <c r="P177" s="1" t="n">
        <v>0.006346703</v>
      </c>
      <c r="R177" s="1" t="n">
        <f aca="false">PERCENTILE(G177:P177,0.9)</f>
        <v>0.0128244875</v>
      </c>
      <c r="S177" s="5" t="n">
        <f aca="false">spmv_1!R$10/R177</f>
        <v>2.73162762254632</v>
      </c>
      <c r="T177" s="6" t="n">
        <f aca="false">S177/64</f>
        <v>0.0426816816022863</v>
      </c>
    </row>
    <row r="178" customFormat="false" ht="15" hidden="false" customHeight="false" outlineLevel="0" collapsed="false">
      <c r="A178" s="1" t="s">
        <v>17</v>
      </c>
      <c r="B178" s="1" t="n">
        <v>42</v>
      </c>
      <c r="D178" s="1" t="n">
        <v>317484</v>
      </c>
      <c r="E178" s="1" t="n">
        <v>0.077375</v>
      </c>
      <c r="G178" s="1" t="n">
        <v>0.015918016</v>
      </c>
      <c r="H178" s="1" t="n">
        <v>0.012345314</v>
      </c>
      <c r="I178" s="1" t="n">
        <v>0.008733034</v>
      </c>
      <c r="J178" s="1" t="n">
        <v>0.006961346</v>
      </c>
      <c r="K178" s="1" t="n">
        <v>0.006473303</v>
      </c>
      <c r="L178" s="1" t="n">
        <v>0.006584167</v>
      </c>
      <c r="M178" s="1" t="n">
        <v>0.006469011</v>
      </c>
      <c r="N178" s="1" t="n">
        <v>0.006204844</v>
      </c>
      <c r="O178" s="1" t="n">
        <v>0.006192923</v>
      </c>
      <c r="P178" s="1" t="n">
        <v>0.006181955</v>
      </c>
      <c r="R178" s="1" t="n">
        <f aca="false">PERCENTILE(G178:P178,0.9)</f>
        <v>0.0127025842</v>
      </c>
      <c r="S178" s="5" t="n">
        <f aca="false">spmv_1!R$10/R178</f>
        <v>2.75784232156477</v>
      </c>
      <c r="T178" s="6" t="n">
        <f aca="false">S178/64</f>
        <v>0.0430912862744496</v>
      </c>
    </row>
    <row r="179" customFormat="false" ht="15" hidden="false" customHeight="false" outlineLevel="0" collapsed="false">
      <c r="A179" s="1" t="s">
        <v>17</v>
      </c>
      <c r="B179" s="1" t="n">
        <v>43</v>
      </c>
      <c r="D179" s="1" t="n">
        <v>317915</v>
      </c>
      <c r="E179" s="1" t="n">
        <v>0.07583</v>
      </c>
      <c r="G179" s="1" t="n">
        <v>0.015906811</v>
      </c>
      <c r="H179" s="1" t="n">
        <v>0.012619972</v>
      </c>
      <c r="I179" s="1" t="n">
        <v>0.008841515</v>
      </c>
      <c r="J179" s="1" t="n">
        <v>0.007302761</v>
      </c>
      <c r="K179" s="1" t="n">
        <v>0.006746292</v>
      </c>
      <c r="L179" s="1" t="n">
        <v>0.006762266</v>
      </c>
      <c r="M179" s="1" t="n">
        <v>0.006724834</v>
      </c>
      <c r="N179" s="1" t="n">
        <v>0.006495714</v>
      </c>
      <c r="O179" s="1" t="n">
        <v>0.006185293</v>
      </c>
      <c r="P179" s="1" t="n">
        <v>0.006264448</v>
      </c>
      <c r="R179" s="1" t="n">
        <f aca="false">PERCENTILE(G179:P179,0.9)</f>
        <v>0.0129486559</v>
      </c>
      <c r="S179" s="5" t="n">
        <f aca="false">spmv_1!R$10/R179</f>
        <v>2.70543325658998</v>
      </c>
      <c r="T179" s="6" t="n">
        <f aca="false">S179/64</f>
        <v>0.0422723946342184</v>
      </c>
    </row>
    <row r="180" customFormat="false" ht="15" hidden="false" customHeight="false" outlineLevel="0" collapsed="false">
      <c r="A180" s="1" t="s">
        <v>17</v>
      </c>
      <c r="B180" s="1" t="n">
        <v>44</v>
      </c>
      <c r="D180" s="1" t="n">
        <v>315699</v>
      </c>
      <c r="E180" s="1" t="n">
        <v>0.08054</v>
      </c>
      <c r="G180" s="1" t="n">
        <v>0.015566111</v>
      </c>
      <c r="H180" s="1" t="n">
        <v>0.012063026</v>
      </c>
      <c r="I180" s="1" t="n">
        <v>0.00923562</v>
      </c>
      <c r="J180" s="1" t="n">
        <v>0.00647974</v>
      </c>
      <c r="K180" s="1" t="n">
        <v>0.006039619</v>
      </c>
      <c r="L180" s="1" t="n">
        <v>0.006086349</v>
      </c>
      <c r="M180" s="1" t="n">
        <v>0.005922556</v>
      </c>
      <c r="N180" s="1" t="n">
        <v>0.005770445</v>
      </c>
      <c r="O180" s="1" t="n">
        <v>0.005605698</v>
      </c>
      <c r="P180" s="1" t="n">
        <v>0.005626202</v>
      </c>
      <c r="R180" s="1" t="n">
        <f aca="false">PERCENTILE(G180:P180,0.9)</f>
        <v>0.0124133345</v>
      </c>
      <c r="S180" s="5" t="n">
        <f aca="false">spmv_1!R$10/R180</f>
        <v>2.82210427021039</v>
      </c>
      <c r="T180" s="6" t="n">
        <f aca="false">S180/64</f>
        <v>0.0440953792220374</v>
      </c>
    </row>
    <row r="181" customFormat="false" ht="15" hidden="false" customHeight="false" outlineLevel="0" collapsed="false">
      <c r="A181" s="1" t="s">
        <v>17</v>
      </c>
      <c r="B181" s="1" t="n">
        <v>45</v>
      </c>
      <c r="D181" s="1" t="n">
        <v>315731</v>
      </c>
      <c r="E181" s="1" t="n">
        <v>0.075196</v>
      </c>
      <c r="G181" s="1" t="n">
        <v>0.015608072</v>
      </c>
      <c r="H181" s="1" t="n">
        <v>0.012570143</v>
      </c>
      <c r="I181" s="1" t="n">
        <v>0.009773254</v>
      </c>
      <c r="J181" s="1" t="n">
        <v>0.007197142</v>
      </c>
      <c r="K181" s="1" t="n">
        <v>0.006738186</v>
      </c>
      <c r="L181" s="1" t="n">
        <v>0.006718159</v>
      </c>
      <c r="M181" s="1" t="n">
        <v>0.006612539</v>
      </c>
      <c r="N181" s="1" t="n">
        <v>0.006467581</v>
      </c>
      <c r="O181" s="1" t="n">
        <v>0.006064653</v>
      </c>
      <c r="P181" s="1" t="n">
        <v>0.006225586</v>
      </c>
      <c r="R181" s="1" t="n">
        <f aca="false">PERCENTILE(G181:P181,0.9)</f>
        <v>0.0128739359</v>
      </c>
      <c r="S181" s="5" t="n">
        <f aca="false">spmv_1!R$10/R181</f>
        <v>2.72113552313089</v>
      </c>
      <c r="T181" s="6" t="n">
        <f aca="false">S181/64</f>
        <v>0.0425177425489201</v>
      </c>
    </row>
    <row r="182" customFormat="false" ht="15" hidden="false" customHeight="false" outlineLevel="0" collapsed="false">
      <c r="A182" s="1" t="s">
        <v>17</v>
      </c>
      <c r="B182" s="1" t="n">
        <v>46</v>
      </c>
      <c r="D182" s="1" t="n">
        <v>315326</v>
      </c>
      <c r="E182" s="1" t="n">
        <v>0.070927</v>
      </c>
      <c r="G182" s="1" t="n">
        <v>0.01543045</v>
      </c>
      <c r="H182" s="1" t="n">
        <v>0.01281786</v>
      </c>
      <c r="I182" s="1" t="n">
        <v>0.010220289</v>
      </c>
      <c r="J182" s="1" t="n">
        <v>0.007546186</v>
      </c>
      <c r="K182" s="1" t="n">
        <v>0.007399082</v>
      </c>
      <c r="L182" s="1" t="n">
        <v>0.007438898</v>
      </c>
      <c r="M182" s="1" t="n">
        <v>0.00714469</v>
      </c>
      <c r="N182" s="1" t="n">
        <v>0.007050753</v>
      </c>
      <c r="O182" s="1" t="n">
        <v>0.006935358</v>
      </c>
      <c r="P182" s="1" t="n">
        <v>0.00693202</v>
      </c>
      <c r="R182" s="1" t="n">
        <f aca="false">PERCENTILE(G182:P182,0.9)</f>
        <v>0.013079119</v>
      </c>
      <c r="S182" s="5" t="n">
        <f aca="false">spmv_1!R$10/R182</f>
        <v>2.67844678987935</v>
      </c>
      <c r="T182" s="6" t="n">
        <f aca="false">S182/64</f>
        <v>0.0418507310918648</v>
      </c>
    </row>
    <row r="183" customFormat="false" ht="15" hidden="false" customHeight="false" outlineLevel="0" collapsed="false">
      <c r="A183" s="1" t="s">
        <v>17</v>
      </c>
      <c r="B183" s="1" t="n">
        <v>47</v>
      </c>
      <c r="D183" s="1" t="n">
        <v>315821</v>
      </c>
      <c r="E183" s="1" t="n">
        <v>0.074965</v>
      </c>
      <c r="G183" s="1" t="n">
        <v>0.015358448</v>
      </c>
      <c r="H183" s="1" t="n">
        <v>0.012661695</v>
      </c>
      <c r="I183" s="1" t="n">
        <v>0.00993371</v>
      </c>
      <c r="J183" s="1" t="n">
        <v>0.007214785</v>
      </c>
      <c r="K183" s="1" t="n">
        <v>0.006845713</v>
      </c>
      <c r="L183" s="1" t="n">
        <v>0.006775141</v>
      </c>
      <c r="M183" s="1" t="n">
        <v>0.006631374</v>
      </c>
      <c r="N183" s="1" t="n">
        <v>0.006565571</v>
      </c>
      <c r="O183" s="1" t="n">
        <v>0.006044865</v>
      </c>
      <c r="P183" s="1" t="n">
        <v>0.006227493</v>
      </c>
      <c r="R183" s="1" t="n">
        <f aca="false">PERCENTILE(G183:P183,0.9)</f>
        <v>0.0129313703</v>
      </c>
      <c r="S183" s="5" t="n">
        <f aca="false">spmv_1!R$10/R183</f>
        <v>2.7090496588749</v>
      </c>
      <c r="T183" s="6" t="n">
        <f aca="false">S183/64</f>
        <v>0.0423289009199203</v>
      </c>
    </row>
    <row r="184" customFormat="false" ht="15" hidden="false" customHeight="false" outlineLevel="0" collapsed="false">
      <c r="A184" s="1" t="s">
        <v>17</v>
      </c>
      <c r="B184" s="1" t="n">
        <v>48</v>
      </c>
      <c r="D184" s="1" t="n">
        <v>317097</v>
      </c>
      <c r="E184" s="1" t="n">
        <v>0.075969</v>
      </c>
      <c r="G184" s="1" t="n">
        <v>0.015231848</v>
      </c>
      <c r="H184" s="1" t="n">
        <v>0.012589693</v>
      </c>
      <c r="I184" s="1" t="n">
        <v>0.009884834</v>
      </c>
      <c r="J184" s="1" t="n">
        <v>0.007136583</v>
      </c>
      <c r="K184" s="1" t="n">
        <v>0.006769419</v>
      </c>
      <c r="L184" s="1" t="n">
        <v>0.00673461</v>
      </c>
      <c r="M184" s="1" t="n">
        <v>0.00652647</v>
      </c>
      <c r="N184" s="1" t="n">
        <v>0.00652957</v>
      </c>
      <c r="O184" s="1" t="n">
        <v>0.00593996</v>
      </c>
      <c r="P184" s="1" t="n">
        <v>0.006137371</v>
      </c>
      <c r="R184" s="1" t="n">
        <f aca="false">PERCENTILE(G184:P184,0.9)</f>
        <v>0.0128539085</v>
      </c>
      <c r="S184" s="5" t="n">
        <f aca="false">spmv_1!R$10/R184</f>
        <v>2.72537526620794</v>
      </c>
      <c r="T184" s="6" t="n">
        <f aca="false">S184/64</f>
        <v>0.0425839885344991</v>
      </c>
    </row>
    <row r="185" customFormat="false" ht="15" hidden="false" customHeight="false" outlineLevel="0" collapsed="false">
      <c r="A185" s="1" t="s">
        <v>17</v>
      </c>
      <c r="B185" s="1" t="n">
        <v>49</v>
      </c>
      <c r="D185" s="1" t="n">
        <v>317339</v>
      </c>
      <c r="E185" s="1" t="n">
        <v>0.071734</v>
      </c>
      <c r="G185" s="1" t="n">
        <v>0.01501298</v>
      </c>
      <c r="H185" s="1" t="n">
        <v>0.01283145</v>
      </c>
      <c r="I185" s="1" t="n">
        <v>0.010208368</v>
      </c>
      <c r="J185" s="1" t="n">
        <v>0.007537842</v>
      </c>
      <c r="K185" s="1" t="n">
        <v>0.007469416</v>
      </c>
      <c r="L185" s="1" t="n">
        <v>0.007446766</v>
      </c>
      <c r="M185" s="1" t="n">
        <v>0.007091284</v>
      </c>
      <c r="N185" s="1" t="n">
        <v>0.007118464</v>
      </c>
      <c r="O185" s="1" t="n">
        <v>0.006858826</v>
      </c>
      <c r="P185" s="1" t="n">
        <v>0.006901026</v>
      </c>
      <c r="R185" s="1" t="n">
        <f aca="false">PERCENTILE(G185:P185,0.9)</f>
        <v>0.013049603</v>
      </c>
      <c r="S185" s="5" t="n">
        <f aca="false">spmv_1!R$10/R185</f>
        <v>2.68450498455777</v>
      </c>
      <c r="T185" s="6" t="n">
        <f aca="false">S185/64</f>
        <v>0.0419453903837151</v>
      </c>
    </row>
    <row r="186" customFormat="false" ht="15" hidden="false" customHeight="false" outlineLevel="0" collapsed="false">
      <c r="A186" s="1" t="s">
        <v>17</v>
      </c>
      <c r="B186" s="1" t="n">
        <v>50</v>
      </c>
      <c r="D186" s="1" t="n">
        <v>316049</v>
      </c>
      <c r="E186" s="1" t="n">
        <v>0.071627</v>
      </c>
      <c r="G186" s="1" t="n">
        <v>0.014964819</v>
      </c>
      <c r="H186" s="1" t="n">
        <v>0.012820005</v>
      </c>
      <c r="I186" s="1" t="n">
        <v>0.010199547</v>
      </c>
      <c r="J186" s="1" t="n">
        <v>0.007516623</v>
      </c>
      <c r="K186" s="1" t="n">
        <v>0.007474422</v>
      </c>
      <c r="L186" s="1" t="n">
        <v>0.007408381</v>
      </c>
      <c r="M186" s="1" t="n">
        <v>0.007102013</v>
      </c>
      <c r="N186" s="1" t="n">
        <v>0.007068396</v>
      </c>
      <c r="O186" s="1" t="n">
        <v>0.00684166</v>
      </c>
      <c r="P186" s="1" t="n">
        <v>0.00685215</v>
      </c>
      <c r="R186" s="1" t="n">
        <f aca="false">PERCENTILE(G186:P186,0.9)</f>
        <v>0.0130344864</v>
      </c>
      <c r="S186" s="5" t="n">
        <f aca="false">spmv_1!R$10/R186</f>
        <v>2.68761830922621</v>
      </c>
      <c r="T186" s="6" t="n">
        <f aca="false">S186/64</f>
        <v>0.0419940360816595</v>
      </c>
    </row>
    <row r="187" customFormat="false" ht="15" hidden="false" customHeight="false" outlineLevel="0" collapsed="false">
      <c r="A187" s="1" t="s">
        <v>17</v>
      </c>
      <c r="B187" s="1" t="n">
        <v>51</v>
      </c>
      <c r="D187" s="1" t="n">
        <v>316924</v>
      </c>
      <c r="E187" s="1" t="n">
        <v>0.077545</v>
      </c>
      <c r="G187" s="1" t="n">
        <v>0.014783621</v>
      </c>
      <c r="H187" s="1" t="n">
        <v>0.012376785</v>
      </c>
      <c r="I187" s="1" t="n">
        <v>0.009918928</v>
      </c>
      <c r="J187" s="1" t="n">
        <v>0.006718874</v>
      </c>
      <c r="K187" s="1" t="n">
        <v>0.006671667</v>
      </c>
      <c r="L187" s="1" t="n">
        <v>0.006631613</v>
      </c>
      <c r="M187" s="1" t="n">
        <v>0.006265879</v>
      </c>
      <c r="N187" s="1" t="n">
        <v>0.006304026</v>
      </c>
      <c r="O187" s="1" t="n">
        <v>0.006052971</v>
      </c>
      <c r="P187" s="1" t="n">
        <v>0.006014824</v>
      </c>
      <c r="R187" s="1" t="n">
        <f aca="false">PERCENTILE(G187:P187,0.9)</f>
        <v>0.0126174686</v>
      </c>
      <c r="S187" s="5" t="n">
        <f aca="false">spmv_1!R$10/R187</f>
        <v>2.77644632299699</v>
      </c>
      <c r="T187" s="6" t="n">
        <f aca="false">S187/64</f>
        <v>0.043381973796828</v>
      </c>
    </row>
    <row r="188" customFormat="false" ht="15" hidden="false" customHeight="false" outlineLevel="0" collapsed="false">
      <c r="A188" s="1" t="s">
        <v>17</v>
      </c>
      <c r="B188" s="1" t="n">
        <v>52</v>
      </c>
      <c r="D188" s="1" t="n">
        <v>315246</v>
      </c>
      <c r="E188" s="1" t="n">
        <v>0.077338</v>
      </c>
      <c r="G188" s="1" t="n">
        <v>0.014683247</v>
      </c>
      <c r="H188" s="1" t="n">
        <v>0.012364626</v>
      </c>
      <c r="I188" s="1" t="n">
        <v>0.009862661</v>
      </c>
      <c r="J188" s="1" t="n">
        <v>0.006672621</v>
      </c>
      <c r="K188" s="1" t="n">
        <v>0.006651878</v>
      </c>
      <c r="L188" s="1" t="n">
        <v>0.006639242</v>
      </c>
      <c r="M188" s="1" t="n">
        <v>0.006250143</v>
      </c>
      <c r="N188" s="1" t="n">
        <v>0.006306171</v>
      </c>
      <c r="O188" s="1" t="n">
        <v>0.006065369</v>
      </c>
      <c r="P188" s="1" t="n">
        <v>0.006028175</v>
      </c>
      <c r="R188" s="1" t="n">
        <f aca="false">PERCENTILE(G188:P188,0.9)</f>
        <v>0.0125964881</v>
      </c>
      <c r="S188" s="5" t="n">
        <f aca="false">spmv_1!R$10/R188</f>
        <v>2.78107072557787</v>
      </c>
      <c r="T188" s="6" t="n">
        <f aca="false">S188/64</f>
        <v>0.0434542300871542</v>
      </c>
    </row>
    <row r="189" customFormat="false" ht="15" hidden="false" customHeight="false" outlineLevel="0" collapsed="false">
      <c r="A189" s="1" t="s">
        <v>17</v>
      </c>
      <c r="B189" s="1" t="n">
        <v>53</v>
      </c>
      <c r="D189" s="1" t="n">
        <v>315735</v>
      </c>
      <c r="E189" s="1" t="n">
        <v>0.071801</v>
      </c>
      <c r="G189" s="1" t="n">
        <v>0.014504671</v>
      </c>
      <c r="H189" s="1" t="n">
        <v>0.012792826</v>
      </c>
      <c r="I189" s="1" t="n">
        <v>0.01013422</v>
      </c>
      <c r="J189" s="1" t="n">
        <v>0.007430077</v>
      </c>
      <c r="K189" s="1" t="n">
        <v>0.007503033</v>
      </c>
      <c r="L189" s="1" t="n">
        <v>0.007491589</v>
      </c>
      <c r="M189" s="1" t="n">
        <v>0.007132292</v>
      </c>
      <c r="N189" s="1" t="n">
        <v>0.0071311</v>
      </c>
      <c r="O189" s="1" t="n">
        <v>0.006940126</v>
      </c>
      <c r="P189" s="1" t="n">
        <v>0.006886959</v>
      </c>
      <c r="R189" s="1" t="n">
        <f aca="false">PERCENTILE(G189:P189,0.9)</f>
        <v>0.0129640105</v>
      </c>
      <c r="S189" s="5" t="n">
        <f aca="false">spmv_1!R$10/R189</f>
        <v>2.70222893602254</v>
      </c>
      <c r="T189" s="6" t="n">
        <f aca="false">S189/64</f>
        <v>0.0422223271253522</v>
      </c>
    </row>
    <row r="190" customFormat="false" ht="15" hidden="false" customHeight="false" outlineLevel="0" collapsed="false">
      <c r="A190" s="1" t="s">
        <v>17</v>
      </c>
      <c r="B190" s="1" t="n">
        <v>54</v>
      </c>
      <c r="D190" s="1" t="n">
        <v>316051</v>
      </c>
      <c r="E190" s="1" t="n">
        <v>0.071855</v>
      </c>
      <c r="G190" s="1" t="n">
        <v>0.014602661</v>
      </c>
      <c r="H190" s="1" t="n">
        <v>0.012763262</v>
      </c>
      <c r="I190" s="1" t="n">
        <v>0.010123968</v>
      </c>
      <c r="J190" s="1" t="n">
        <v>0.007413387</v>
      </c>
      <c r="K190" s="1" t="n">
        <v>0.00749445</v>
      </c>
      <c r="L190" s="1" t="n">
        <v>0.007482767</v>
      </c>
      <c r="M190" s="1" t="n">
        <v>0.007116795</v>
      </c>
      <c r="N190" s="1" t="n">
        <v>0.007137299</v>
      </c>
      <c r="O190" s="1" t="n">
        <v>0.006929636</v>
      </c>
      <c r="P190" s="1" t="n">
        <v>0.00690484</v>
      </c>
      <c r="R190" s="1" t="n">
        <f aca="false">PERCENTILE(G190:P190,0.9)</f>
        <v>0.0129472019</v>
      </c>
      <c r="S190" s="5" t="n">
        <f aca="false">spmv_1!R$10/R190</f>
        <v>2.70573708285186</v>
      </c>
      <c r="T190" s="6" t="n">
        <f aca="false">S190/64</f>
        <v>0.0422771419195603</v>
      </c>
    </row>
    <row r="191" customFormat="false" ht="15" hidden="false" customHeight="false" outlineLevel="0" collapsed="false">
      <c r="A191" s="1" t="s">
        <v>17</v>
      </c>
      <c r="B191" s="1" t="n">
        <v>55</v>
      </c>
      <c r="D191" s="1" t="n">
        <v>316564</v>
      </c>
      <c r="E191" s="1" t="n">
        <v>0.072038</v>
      </c>
      <c r="G191" s="1" t="n">
        <v>0.014521599</v>
      </c>
      <c r="H191" s="1" t="n">
        <v>0.012742996</v>
      </c>
      <c r="I191" s="1" t="n">
        <v>0.010131359</v>
      </c>
      <c r="J191" s="1" t="n">
        <v>0.007428408</v>
      </c>
      <c r="K191" s="1" t="n">
        <v>0.007502079</v>
      </c>
      <c r="L191" s="1" t="n">
        <v>0.007483959</v>
      </c>
      <c r="M191" s="1" t="n">
        <v>0.007115364</v>
      </c>
      <c r="N191" s="1" t="n">
        <v>0.00711751</v>
      </c>
      <c r="O191" s="1" t="n">
        <v>0.00693059</v>
      </c>
      <c r="P191" s="1" t="n">
        <v>0.0069139</v>
      </c>
      <c r="R191" s="1" t="n">
        <f aca="false">PERCENTILE(G191:P191,0.9)</f>
        <v>0.0129208563</v>
      </c>
      <c r="S191" s="5" t="n">
        <f aca="false">spmv_1!R$10/R191</f>
        <v>2.71125407532007</v>
      </c>
      <c r="T191" s="6" t="n">
        <f aca="false">S191/64</f>
        <v>0.0423633449268761</v>
      </c>
    </row>
    <row r="192" customFormat="false" ht="15" hidden="false" customHeight="false" outlineLevel="0" collapsed="false">
      <c r="A192" s="1" t="s">
        <v>17</v>
      </c>
      <c r="B192" s="1" t="n">
        <v>56</v>
      </c>
      <c r="D192" s="1" t="n">
        <v>318102</v>
      </c>
      <c r="E192" s="1" t="n">
        <v>0.072492</v>
      </c>
      <c r="G192" s="1" t="n">
        <v>0.014364481</v>
      </c>
      <c r="H192" s="1" t="n">
        <v>0.012737513</v>
      </c>
      <c r="I192" s="1" t="n">
        <v>0.010132551</v>
      </c>
      <c r="J192" s="1" t="n">
        <v>0.007433414</v>
      </c>
      <c r="K192" s="1" t="n">
        <v>0.007497787</v>
      </c>
      <c r="L192" s="1" t="n">
        <v>0.007472038</v>
      </c>
      <c r="M192" s="1" t="n">
        <v>0.007099867</v>
      </c>
      <c r="N192" s="1" t="n">
        <v>0.00714612</v>
      </c>
      <c r="O192" s="1" t="n">
        <v>0.006954432</v>
      </c>
      <c r="P192" s="1" t="n">
        <v>0.006923676</v>
      </c>
      <c r="R192" s="1" t="n">
        <f aca="false">PERCENTILE(G192:P192,0.9)</f>
        <v>0.0129002098</v>
      </c>
      <c r="S192" s="5" t="n">
        <f aca="false">spmv_1!R$10/R192</f>
        <v>2.71559337740383</v>
      </c>
      <c r="T192" s="6" t="n">
        <f aca="false">S192/64</f>
        <v>0.0424311465219349</v>
      </c>
    </row>
    <row r="193" customFormat="false" ht="15" hidden="false" customHeight="false" outlineLevel="0" collapsed="false">
      <c r="A193" s="1" t="s">
        <v>17</v>
      </c>
      <c r="B193" s="1" t="n">
        <v>57</v>
      </c>
      <c r="D193" s="1" t="n">
        <v>318450</v>
      </c>
      <c r="E193" s="1" t="n">
        <v>0.077784</v>
      </c>
      <c r="G193" s="1" t="n">
        <v>0.014045</v>
      </c>
      <c r="H193" s="1" t="n">
        <v>0.012387514</v>
      </c>
      <c r="I193" s="1" t="n">
        <v>0.009736538</v>
      </c>
      <c r="J193" s="1" t="n">
        <v>0.006915808</v>
      </c>
      <c r="K193" s="1" t="n">
        <v>0.006896496</v>
      </c>
      <c r="L193" s="1" t="n">
        <v>0.006741285</v>
      </c>
      <c r="M193" s="1" t="n">
        <v>0.006522655</v>
      </c>
      <c r="N193" s="1" t="n">
        <v>0.00649333</v>
      </c>
      <c r="O193" s="1" t="n">
        <v>0.00599885</v>
      </c>
      <c r="P193" s="1" t="n">
        <v>0.006143093</v>
      </c>
      <c r="R193" s="1" t="n">
        <f aca="false">PERCENTILE(G193:P193,0.9)</f>
        <v>0.0125532626</v>
      </c>
      <c r="S193" s="5" t="n">
        <f aca="false">spmv_1!R$10/R193</f>
        <v>2.79064697491471</v>
      </c>
      <c r="T193" s="6" t="n">
        <f aca="false">S193/64</f>
        <v>0.0436038589830424</v>
      </c>
    </row>
    <row r="194" customFormat="false" ht="15" hidden="false" customHeight="false" outlineLevel="0" collapsed="false">
      <c r="A194" s="1" t="s">
        <v>17</v>
      </c>
      <c r="B194" s="1" t="n">
        <v>58</v>
      </c>
      <c r="D194" s="1" t="n">
        <v>318196</v>
      </c>
      <c r="E194" s="1" t="n">
        <v>0.079247</v>
      </c>
      <c r="G194" s="1" t="n">
        <v>0.013992548</v>
      </c>
      <c r="H194" s="1" t="n">
        <v>0.012142181</v>
      </c>
      <c r="I194" s="1" t="n">
        <v>0.009757757</v>
      </c>
      <c r="J194" s="1" t="n">
        <v>0.006547928</v>
      </c>
      <c r="K194" s="1" t="n">
        <v>0.006706476</v>
      </c>
      <c r="L194" s="1" t="n">
        <v>0.006602049</v>
      </c>
      <c r="M194" s="1" t="n">
        <v>0.006235123</v>
      </c>
      <c r="N194" s="1" t="n">
        <v>0.006204844</v>
      </c>
      <c r="O194" s="1" t="n">
        <v>0.006058216</v>
      </c>
      <c r="P194" s="1" t="n">
        <v>0.006057739</v>
      </c>
      <c r="R194" s="1" t="n">
        <f aca="false">PERCENTILE(G194:P194,0.9)</f>
        <v>0.0123272177</v>
      </c>
      <c r="S194" s="5" t="n">
        <f aca="false">spmv_1!R$10/R194</f>
        <v>2.84181922900575</v>
      </c>
      <c r="T194" s="6" t="n">
        <f aca="false">S194/64</f>
        <v>0.0444034254532148</v>
      </c>
    </row>
    <row r="195" customFormat="false" ht="15" hidden="false" customHeight="false" outlineLevel="0" collapsed="false">
      <c r="A195" s="1" t="s">
        <v>17</v>
      </c>
      <c r="B195" s="1" t="n">
        <v>59</v>
      </c>
      <c r="D195" s="1" t="n">
        <v>318855</v>
      </c>
      <c r="E195" s="1" t="n">
        <v>0.083568</v>
      </c>
      <c r="G195" s="1" t="n">
        <v>0.013680458</v>
      </c>
      <c r="H195" s="1" t="n">
        <v>0.011739492</v>
      </c>
      <c r="I195" s="1" t="n">
        <v>0.009439468</v>
      </c>
      <c r="J195" s="1" t="n">
        <v>0.00606513</v>
      </c>
      <c r="K195" s="1" t="n">
        <v>0.006365538</v>
      </c>
      <c r="L195" s="1" t="n">
        <v>0.006178379</v>
      </c>
      <c r="M195" s="1" t="n">
        <v>0.005839348</v>
      </c>
      <c r="N195" s="1" t="n">
        <v>0.005815744</v>
      </c>
      <c r="O195" s="1" t="n">
        <v>0.005586386</v>
      </c>
      <c r="P195" s="1" t="n">
        <v>0.005600691</v>
      </c>
      <c r="R195" s="1" t="n">
        <f aca="false">PERCENTILE(G195:P195,0.9)</f>
        <v>0.0119335886</v>
      </c>
      <c r="S195" s="5" t="n">
        <f aca="false">spmv_1!R$10/R195</f>
        <v>2.93555656007783</v>
      </c>
      <c r="T195" s="6" t="n">
        <f aca="false">S195/64</f>
        <v>0.0458680712512161</v>
      </c>
    </row>
    <row r="196" customFormat="false" ht="15" hidden="false" customHeight="false" outlineLevel="0" collapsed="false">
      <c r="A196" s="1" t="s">
        <v>17</v>
      </c>
      <c r="B196" s="1" t="n">
        <v>60</v>
      </c>
      <c r="D196" s="1" t="n">
        <v>316130</v>
      </c>
      <c r="E196" s="1" t="n">
        <v>0.073378</v>
      </c>
      <c r="G196" s="1" t="n">
        <v>0.013702154</v>
      </c>
      <c r="H196" s="1" t="n">
        <v>0.012394667</v>
      </c>
      <c r="I196" s="1" t="n">
        <v>0.009940624</v>
      </c>
      <c r="J196" s="1" t="n">
        <v>0.007259607</v>
      </c>
      <c r="K196" s="1" t="n">
        <v>0.0074687</v>
      </c>
      <c r="L196" s="1" t="n">
        <v>0.007442951</v>
      </c>
      <c r="M196" s="1" t="n">
        <v>0.007119417</v>
      </c>
      <c r="N196" s="1" t="n">
        <v>0.007023096</v>
      </c>
      <c r="O196" s="1" t="n">
        <v>0.006915569</v>
      </c>
      <c r="P196" s="1" t="n">
        <v>0.006897688</v>
      </c>
      <c r="R196" s="1" t="n">
        <f aca="false">PERCENTILE(G196:P196,0.9)</f>
        <v>0.0125254157</v>
      </c>
      <c r="S196" s="5" t="n">
        <f aca="false">spmv_1!R$10/R196</f>
        <v>2.7968512294566</v>
      </c>
      <c r="T196" s="6" t="n">
        <f aca="false">S196/64</f>
        <v>0.0437008004602594</v>
      </c>
    </row>
    <row r="197" customFormat="false" ht="15" hidden="false" customHeight="false" outlineLevel="0" collapsed="false">
      <c r="A197" s="1" t="s">
        <v>17</v>
      </c>
      <c r="B197" s="1" t="n">
        <v>61</v>
      </c>
      <c r="D197" s="1" t="n">
        <v>316232</v>
      </c>
      <c r="E197" s="1" t="n">
        <v>0.073821</v>
      </c>
      <c r="G197" s="1" t="n">
        <v>0.013649225</v>
      </c>
      <c r="H197" s="1" t="n">
        <v>0.012238979</v>
      </c>
      <c r="I197" s="1" t="n">
        <v>0.009901524</v>
      </c>
      <c r="J197" s="1" t="n">
        <v>0.007169008</v>
      </c>
      <c r="K197" s="1" t="n">
        <v>0.007448435</v>
      </c>
      <c r="L197" s="1" t="n">
        <v>0.007372618</v>
      </c>
      <c r="M197" s="1" t="n">
        <v>0.00711441</v>
      </c>
      <c r="N197" s="1" t="n">
        <v>0.006984234</v>
      </c>
      <c r="O197" s="1" t="n">
        <v>0.006902933</v>
      </c>
      <c r="P197" s="1" t="n">
        <v>0.006893635</v>
      </c>
      <c r="R197" s="1" t="n">
        <f aca="false">PERCENTILE(G197:P197,0.9)</f>
        <v>0.0123800036</v>
      </c>
      <c r="S197" s="5" t="n">
        <f aca="false">spmv_1!R$10/R197</f>
        <v>2.82970227084587</v>
      </c>
      <c r="T197" s="6" t="n">
        <f aca="false">S197/64</f>
        <v>0.0442140979819667</v>
      </c>
    </row>
    <row r="198" customFormat="false" ht="15" hidden="false" customHeight="false" outlineLevel="0" collapsed="false">
      <c r="A198" s="1" t="s">
        <v>17</v>
      </c>
      <c r="B198" s="1" t="n">
        <v>62</v>
      </c>
      <c r="D198" s="1" t="n">
        <v>315847</v>
      </c>
      <c r="E198" s="1" t="n">
        <v>0.074438</v>
      </c>
      <c r="G198" s="1" t="n">
        <v>0.013377666</v>
      </c>
      <c r="H198" s="1" t="n">
        <v>0.012028933</v>
      </c>
      <c r="I198" s="1" t="n">
        <v>0.009835005</v>
      </c>
      <c r="J198" s="1" t="n">
        <v>0.007092237</v>
      </c>
      <c r="K198" s="1" t="n">
        <v>0.007443905</v>
      </c>
      <c r="L198" s="1" t="n">
        <v>0.007320642</v>
      </c>
      <c r="M198" s="1" t="n">
        <v>0.00706768</v>
      </c>
      <c r="N198" s="1" t="n">
        <v>0.006937027</v>
      </c>
      <c r="O198" s="1" t="n">
        <v>0.006857395</v>
      </c>
      <c r="P198" s="1" t="n">
        <v>0.006901741</v>
      </c>
      <c r="R198" s="1" t="n">
        <f aca="false">PERCENTILE(G198:P198,0.9)</f>
        <v>0.0121638063</v>
      </c>
      <c r="S198" s="5" t="n">
        <f aca="false">spmv_1!R$10/R198</f>
        <v>2.87999688880281</v>
      </c>
      <c r="T198" s="6" t="n">
        <f aca="false">S198/64</f>
        <v>0.0449999513875439</v>
      </c>
    </row>
    <row r="199" customFormat="false" ht="15" hidden="false" customHeight="false" outlineLevel="0" collapsed="false">
      <c r="A199" s="1" t="s">
        <v>17</v>
      </c>
      <c r="B199" s="1" t="n">
        <v>63</v>
      </c>
      <c r="D199" s="1" t="n">
        <v>315851</v>
      </c>
      <c r="E199" s="1" t="n">
        <v>0.081451</v>
      </c>
      <c r="G199" s="1" t="n">
        <v>0.013269901</v>
      </c>
      <c r="H199" s="1" t="n">
        <v>0.01099205</v>
      </c>
      <c r="I199" s="1" t="n">
        <v>0.009521246</v>
      </c>
      <c r="J199" s="1" t="n">
        <v>0.006380796</v>
      </c>
      <c r="K199" s="1" t="n">
        <v>0.006585121</v>
      </c>
      <c r="L199" s="1" t="n">
        <v>0.006495237</v>
      </c>
      <c r="M199" s="1" t="n">
        <v>0.006138802</v>
      </c>
      <c r="N199" s="1" t="n">
        <v>0.006141186</v>
      </c>
      <c r="O199" s="1" t="n">
        <v>0.006033897</v>
      </c>
      <c r="P199" s="1" t="n">
        <v>0.005997419</v>
      </c>
      <c r="R199" s="1" t="n">
        <f aca="false">PERCENTILE(G199:P199,0.9)</f>
        <v>0.0112198351</v>
      </c>
      <c r="S199" s="5" t="n">
        <f aca="false">spmv_1!R$10/R199</f>
        <v>3.12230295612812</v>
      </c>
      <c r="T199" s="6" t="n">
        <f aca="false">S199/64</f>
        <v>0.0487859836895018</v>
      </c>
    </row>
    <row r="202" customFormat="false" ht="15" hidden="false" customHeight="false" outlineLevel="0" collapsed="false">
      <c r="A202" s="2" t="s">
        <v>0</v>
      </c>
      <c r="B202" s="2" t="s">
        <v>1</v>
      </c>
      <c r="C202" s="3"/>
      <c r="D202" s="2" t="s">
        <v>2</v>
      </c>
      <c r="E202" s="2" t="s">
        <v>3</v>
      </c>
      <c r="F202" s="3"/>
      <c r="G202" s="2" t="s">
        <v>4</v>
      </c>
      <c r="H202" s="2" t="s">
        <v>5</v>
      </c>
      <c r="I202" s="2" t="s">
        <v>6</v>
      </c>
      <c r="J202" s="2" t="s">
        <v>7</v>
      </c>
      <c r="K202" s="2" t="s">
        <v>8</v>
      </c>
      <c r="L202" s="2" t="s">
        <v>9</v>
      </c>
      <c r="M202" s="2" t="s">
        <v>10</v>
      </c>
      <c r="N202" s="2" t="s">
        <v>11</v>
      </c>
      <c r="O202" s="2" t="s">
        <v>12</v>
      </c>
      <c r="P202" s="2" t="s">
        <v>13</v>
      </c>
      <c r="R202" s="4" t="s">
        <v>14</v>
      </c>
      <c r="S202" s="7" t="s">
        <v>20</v>
      </c>
      <c r="T202" s="8" t="s">
        <v>21</v>
      </c>
    </row>
    <row r="203" customFormat="false" ht="15" hidden="false" customHeight="false" outlineLevel="0" collapsed="false">
      <c r="A203" s="1" t="s">
        <v>18</v>
      </c>
      <c r="B203" s="1" t="n">
        <v>0</v>
      </c>
      <c r="D203" s="1" t="n">
        <v>12099164</v>
      </c>
      <c r="E203" s="1" t="n">
        <v>0.07588</v>
      </c>
      <c r="G203" s="1" t="n">
        <v>0.31692791</v>
      </c>
      <c r="H203" s="1" t="n">
        <v>0.312966824</v>
      </c>
      <c r="I203" s="1" t="n">
        <v>0.319562197</v>
      </c>
      <c r="J203" s="1" t="n">
        <v>0.316722155</v>
      </c>
      <c r="K203" s="1" t="n">
        <v>0.318796635</v>
      </c>
      <c r="L203" s="1" t="n">
        <v>0.319197416</v>
      </c>
      <c r="M203" s="1" t="n">
        <v>0.321030855</v>
      </c>
      <c r="N203" s="1" t="n">
        <v>0.314859629</v>
      </c>
      <c r="O203" s="1" t="n">
        <v>0.328406811</v>
      </c>
      <c r="P203" s="1" t="n">
        <v>0.320561409</v>
      </c>
      <c r="R203" s="1" t="n">
        <f aca="false">PERCENTILE(G203:P203,0.9)</f>
        <v>0.3217684506</v>
      </c>
      <c r="S203" s="5" t="n">
        <f aca="false">spmv_1!R$14/R203</f>
        <v>3.43272984234583</v>
      </c>
      <c r="T203" s="6" t="n">
        <f aca="false">S203/64</f>
        <v>0.0536364037866536</v>
      </c>
    </row>
    <row r="204" customFormat="false" ht="15" hidden="false" customHeight="false" outlineLevel="0" collapsed="false">
      <c r="A204" s="1" t="s">
        <v>18</v>
      </c>
      <c r="B204" s="1" t="n">
        <v>1</v>
      </c>
      <c r="D204" s="1" t="n">
        <v>12103470</v>
      </c>
      <c r="E204" s="1" t="n">
        <v>0.073512</v>
      </c>
      <c r="G204" s="1" t="n">
        <v>0.329931974</v>
      </c>
      <c r="H204" s="1" t="n">
        <v>0.32467556</v>
      </c>
      <c r="I204" s="1" t="n">
        <v>0.326992512</v>
      </c>
      <c r="J204" s="1" t="n">
        <v>0.325766563</v>
      </c>
      <c r="K204" s="1" t="n">
        <v>0.329415083</v>
      </c>
      <c r="L204" s="1" t="n">
        <v>0.330654621</v>
      </c>
      <c r="M204" s="1" t="n">
        <v>0.330507278</v>
      </c>
      <c r="N204" s="1" t="n">
        <v>0.326176643</v>
      </c>
      <c r="O204" s="1" t="n">
        <v>0.338423014</v>
      </c>
      <c r="P204" s="1" t="n">
        <v>0.330366135</v>
      </c>
      <c r="R204" s="1" t="n">
        <f aca="false">PERCENTILE(G204:P204,0.9)</f>
        <v>0.3314314603</v>
      </c>
      <c r="S204" s="5" t="n">
        <f aca="false">spmv_1!R$14/R204</f>
        <v>3.33264730421248</v>
      </c>
      <c r="T204" s="6" t="n">
        <f aca="false">S204/64</f>
        <v>0.05207261412832</v>
      </c>
    </row>
    <row r="205" customFormat="false" ht="15" hidden="false" customHeight="false" outlineLevel="0" collapsed="false">
      <c r="A205" s="1" t="s">
        <v>18</v>
      </c>
      <c r="B205" s="1" t="n">
        <v>2</v>
      </c>
      <c r="D205" s="1" t="n">
        <v>12105624</v>
      </c>
      <c r="E205" s="1" t="n">
        <v>0.077346</v>
      </c>
      <c r="G205" s="1" t="n">
        <v>0.31217289</v>
      </c>
      <c r="H205" s="1" t="n">
        <v>0.30816102</v>
      </c>
      <c r="I205" s="1" t="n">
        <v>0.309411764</v>
      </c>
      <c r="J205" s="1" t="n">
        <v>0.309206724</v>
      </c>
      <c r="K205" s="1" t="n">
        <v>0.312889576</v>
      </c>
      <c r="L205" s="1" t="n">
        <v>0.313534498</v>
      </c>
      <c r="M205" s="1" t="n">
        <v>0.313362837</v>
      </c>
      <c r="N205" s="1" t="n">
        <v>0.3110466</v>
      </c>
      <c r="O205" s="1" t="n">
        <v>0.32519269</v>
      </c>
      <c r="P205" s="1" t="n">
        <v>0.315260172</v>
      </c>
      <c r="R205" s="1" t="n">
        <f aca="false">PERCENTILE(G205:P205,0.9)</f>
        <v>0.3162534238</v>
      </c>
      <c r="S205" s="5" t="n">
        <f aca="false">spmv_1!R$14/R205</f>
        <v>3.4925919518219</v>
      </c>
      <c r="T205" s="6" t="n">
        <f aca="false">S205/64</f>
        <v>0.0545717492472172</v>
      </c>
    </row>
    <row r="206" customFormat="false" ht="15" hidden="false" customHeight="false" outlineLevel="0" collapsed="false">
      <c r="A206" s="1" t="s">
        <v>18</v>
      </c>
      <c r="B206" s="1" t="n">
        <v>3</v>
      </c>
      <c r="D206" s="1" t="n">
        <v>12105624</v>
      </c>
      <c r="E206" s="1" t="n">
        <v>0.078342</v>
      </c>
      <c r="G206" s="1" t="n">
        <v>0.308599234</v>
      </c>
      <c r="H206" s="1" t="n">
        <v>0.304256678</v>
      </c>
      <c r="I206" s="1" t="n">
        <v>0.305077791</v>
      </c>
      <c r="J206" s="1" t="n">
        <v>0.3052876</v>
      </c>
      <c r="K206" s="1" t="n">
        <v>0.30779314</v>
      </c>
      <c r="L206" s="1" t="n">
        <v>0.309506893</v>
      </c>
      <c r="M206" s="1" t="n">
        <v>0.309615612</v>
      </c>
      <c r="N206" s="1" t="n">
        <v>0.307252645</v>
      </c>
      <c r="O206" s="1" t="n">
        <v>0.321572542</v>
      </c>
      <c r="P206" s="1" t="n">
        <v>0.311503887</v>
      </c>
      <c r="R206" s="1" t="n">
        <f aca="false">PERCENTILE(G206:P206,0.9)</f>
        <v>0.3125107525</v>
      </c>
      <c r="S206" s="5" t="n">
        <f aca="false">spmv_1!R$14/R206</f>
        <v>3.53441970832668</v>
      </c>
      <c r="T206" s="6" t="n">
        <f aca="false">S206/64</f>
        <v>0.0552253079426043</v>
      </c>
    </row>
    <row r="207" customFormat="false" ht="15" hidden="false" customHeight="false" outlineLevel="0" collapsed="false">
      <c r="A207" s="1" t="s">
        <v>18</v>
      </c>
      <c r="B207" s="1" t="n">
        <v>4</v>
      </c>
      <c r="D207" s="1" t="n">
        <v>12103470</v>
      </c>
      <c r="E207" s="1" t="n">
        <v>0.074949</v>
      </c>
      <c r="G207" s="1" t="n">
        <v>0.322802782</v>
      </c>
      <c r="H207" s="1" t="n">
        <v>0.318704128</v>
      </c>
      <c r="I207" s="1" t="n">
        <v>0.32115221</v>
      </c>
      <c r="J207" s="1" t="n">
        <v>0.319315672</v>
      </c>
      <c r="K207" s="1" t="n">
        <v>0.322195292</v>
      </c>
      <c r="L207" s="1" t="n">
        <v>0.324686527</v>
      </c>
      <c r="M207" s="1" t="n">
        <v>0.324106455</v>
      </c>
      <c r="N207" s="1" t="n">
        <v>0.320263386</v>
      </c>
      <c r="O207" s="1" t="n">
        <v>0.332215548</v>
      </c>
      <c r="P207" s="1" t="n">
        <v>0.324337959</v>
      </c>
      <c r="R207" s="1" t="n">
        <f aca="false">PERCENTILE(G207:P207,0.9)</f>
        <v>0.3254394291</v>
      </c>
      <c r="S207" s="5" t="n">
        <f aca="false">spmv_1!R$14/R207</f>
        <v>3.39400842041362</v>
      </c>
      <c r="T207" s="6" t="n">
        <f aca="false">S207/64</f>
        <v>0.0530313815689628</v>
      </c>
    </row>
    <row r="208" customFormat="false" ht="15" hidden="false" customHeight="false" outlineLevel="0" collapsed="false">
      <c r="A208" s="1" t="s">
        <v>18</v>
      </c>
      <c r="B208" s="1" t="n">
        <v>5</v>
      </c>
      <c r="D208" s="1" t="n">
        <v>12101316</v>
      </c>
      <c r="E208" s="1" t="n">
        <v>0.075551</v>
      </c>
      <c r="G208" s="1" t="n">
        <v>0.320566654</v>
      </c>
      <c r="H208" s="1" t="n">
        <v>0.316171408</v>
      </c>
      <c r="I208" s="1" t="n">
        <v>0.317683458</v>
      </c>
      <c r="J208" s="1" t="n">
        <v>0.316337109</v>
      </c>
      <c r="K208" s="1" t="n">
        <v>0.320086956</v>
      </c>
      <c r="L208" s="1" t="n">
        <v>0.321752787</v>
      </c>
      <c r="M208" s="1" t="n">
        <v>0.321224213</v>
      </c>
      <c r="N208" s="1" t="n">
        <v>0.318202972</v>
      </c>
      <c r="O208" s="1" t="n">
        <v>0.33016181</v>
      </c>
      <c r="P208" s="1" t="n">
        <v>0.3212955</v>
      </c>
      <c r="R208" s="1" t="n">
        <f aca="false">PERCENTILE(G208:P208,0.9)</f>
        <v>0.3225936893</v>
      </c>
      <c r="S208" s="5" t="n">
        <f aca="false">spmv_1!R$14/R208</f>
        <v>3.42394845074857</v>
      </c>
      <c r="T208" s="6" t="n">
        <f aca="false">S208/64</f>
        <v>0.0534991945429464</v>
      </c>
    </row>
    <row r="209" customFormat="false" ht="15" hidden="false" customHeight="false" outlineLevel="0" collapsed="false">
      <c r="A209" s="1" t="s">
        <v>18</v>
      </c>
      <c r="B209" s="1" t="n">
        <v>6</v>
      </c>
      <c r="D209" s="1" t="n">
        <v>12099162</v>
      </c>
      <c r="E209" s="1" t="n">
        <v>0.075981</v>
      </c>
      <c r="G209" s="1" t="n">
        <v>0.318943739</v>
      </c>
      <c r="H209" s="1" t="n">
        <v>0.314392328</v>
      </c>
      <c r="I209" s="1" t="n">
        <v>0.315973043</v>
      </c>
      <c r="J209" s="1" t="n">
        <v>0.314616203</v>
      </c>
      <c r="K209" s="1" t="n">
        <v>0.31850934</v>
      </c>
      <c r="L209" s="1" t="n">
        <v>0.320014954</v>
      </c>
      <c r="M209" s="1" t="n">
        <v>0.319526196</v>
      </c>
      <c r="N209" s="1" t="n">
        <v>0.316621065</v>
      </c>
      <c r="O209" s="1" t="n">
        <v>0.32756424</v>
      </c>
      <c r="P209" s="1" t="n">
        <v>0.318606377</v>
      </c>
      <c r="R209" s="1" t="n">
        <f aca="false">PERCENTILE(G209:P209,0.9)</f>
        <v>0.3207698826</v>
      </c>
      <c r="S209" s="5" t="n">
        <f aca="false">spmv_1!R$14/R209</f>
        <v>3.44341605186596</v>
      </c>
      <c r="T209" s="6" t="n">
        <f aca="false">S209/64</f>
        <v>0.0538033758104057</v>
      </c>
    </row>
    <row r="210" customFormat="false" ht="15" hidden="false" customHeight="false" outlineLevel="0" collapsed="false">
      <c r="A210" s="1" t="s">
        <v>18</v>
      </c>
      <c r="B210" s="1" t="n">
        <v>7</v>
      </c>
      <c r="D210" s="1" t="n">
        <v>12099162</v>
      </c>
      <c r="E210" s="1" t="n">
        <v>0.080755</v>
      </c>
      <c r="G210" s="1" t="n">
        <v>0.298723459</v>
      </c>
      <c r="H210" s="1" t="n">
        <v>0.294296026</v>
      </c>
      <c r="I210" s="1" t="n">
        <v>0.298352718</v>
      </c>
      <c r="J210" s="1" t="n">
        <v>0.296373844</v>
      </c>
      <c r="K210" s="1" t="n">
        <v>0.298951149</v>
      </c>
      <c r="L210" s="1" t="n">
        <v>0.29996419</v>
      </c>
      <c r="M210" s="1" t="n">
        <v>0.302032232</v>
      </c>
      <c r="N210" s="1" t="n">
        <v>0.297267675</v>
      </c>
      <c r="O210" s="1" t="n">
        <v>0.309268951</v>
      </c>
      <c r="P210" s="1" t="n">
        <v>0.30128932</v>
      </c>
      <c r="R210" s="1" t="n">
        <f aca="false">PERCENTILE(G210:P210,0.9)</f>
        <v>0.3027559039</v>
      </c>
      <c r="S210" s="5" t="n">
        <f aca="false">spmv_1!R$14/R210</f>
        <v>3.64829933445271</v>
      </c>
      <c r="T210" s="6" t="n">
        <f aca="false">S210/64</f>
        <v>0.0570046771008237</v>
      </c>
    </row>
    <row r="211" customFormat="false" ht="15" hidden="false" customHeight="false" outlineLevel="0" collapsed="false">
      <c r="A211" s="1" t="s">
        <v>18</v>
      </c>
      <c r="B211" s="1" t="n">
        <v>8</v>
      </c>
      <c r="D211" s="1" t="n">
        <v>12101316</v>
      </c>
      <c r="E211" s="1" t="n">
        <v>0.078024</v>
      </c>
      <c r="G211" s="1" t="n">
        <v>0.312009573</v>
      </c>
      <c r="H211" s="1" t="n">
        <v>0.303959608</v>
      </c>
      <c r="I211" s="1" t="n">
        <v>0.305392504</v>
      </c>
      <c r="J211" s="1" t="n">
        <v>0.30680275</v>
      </c>
      <c r="K211" s="1" t="n">
        <v>0.308239937</v>
      </c>
      <c r="L211" s="1" t="n">
        <v>0.313261271</v>
      </c>
      <c r="M211" s="1" t="n">
        <v>0.310651064</v>
      </c>
      <c r="N211" s="1" t="n">
        <v>0.308143854</v>
      </c>
      <c r="O211" s="1" t="n">
        <v>0.322203875</v>
      </c>
      <c r="P211" s="1" t="n">
        <v>0.31129241</v>
      </c>
      <c r="R211" s="1" t="n">
        <f aca="false">PERCENTILE(G211:P211,0.9)</f>
        <v>0.3141555314</v>
      </c>
      <c r="S211" s="5" t="n">
        <f aca="false">spmv_1!R$14/R211</f>
        <v>3.51591505576145</v>
      </c>
      <c r="T211" s="6" t="n">
        <f aca="false">S211/64</f>
        <v>0.0549361727462727</v>
      </c>
    </row>
    <row r="212" customFormat="false" ht="15" hidden="false" customHeight="false" outlineLevel="0" collapsed="false">
      <c r="A212" s="1" t="s">
        <v>18</v>
      </c>
      <c r="B212" s="1" t="n">
        <v>9</v>
      </c>
      <c r="D212" s="1" t="n">
        <v>12103470</v>
      </c>
      <c r="E212" s="1" t="n">
        <v>0.083183</v>
      </c>
      <c r="G212" s="1" t="n">
        <v>0.29340148</v>
      </c>
      <c r="H212" s="1" t="n">
        <v>0.286551476</v>
      </c>
      <c r="I212" s="1" t="n">
        <v>0.286330462</v>
      </c>
      <c r="J212" s="1" t="n">
        <v>0.286030293</v>
      </c>
      <c r="K212" s="1" t="n">
        <v>0.28832221</v>
      </c>
      <c r="L212" s="1" t="n">
        <v>0.290990114</v>
      </c>
      <c r="M212" s="1" t="n">
        <v>0.291507006</v>
      </c>
      <c r="N212" s="1" t="n">
        <v>0.290618896</v>
      </c>
      <c r="O212" s="1" t="n">
        <v>0.304141283</v>
      </c>
      <c r="P212" s="1" t="n">
        <v>0.292177916</v>
      </c>
      <c r="R212" s="1" t="n">
        <f aca="false">PERCENTILE(G212:P212,0.9)</f>
        <v>0.2944754603</v>
      </c>
      <c r="S212" s="5" t="n">
        <f aca="false">spmv_1!R$14/R212</f>
        <v>3.75088695531619</v>
      </c>
      <c r="T212" s="6" t="n">
        <f aca="false">S212/64</f>
        <v>0.0586076086768154</v>
      </c>
    </row>
    <row r="213" customFormat="false" ht="15" hidden="false" customHeight="false" outlineLevel="0" collapsed="false">
      <c r="A213" s="1" t="s">
        <v>18</v>
      </c>
      <c r="B213" s="1" t="n">
        <v>10</v>
      </c>
      <c r="D213" s="1" t="n">
        <v>12105624</v>
      </c>
      <c r="E213" s="1" t="n">
        <v>0.079097</v>
      </c>
      <c r="G213" s="1" t="n">
        <v>0.308692932</v>
      </c>
      <c r="H213" s="1" t="n">
        <v>0.300024748</v>
      </c>
      <c r="I213" s="1" t="n">
        <v>0.301803589</v>
      </c>
      <c r="J213" s="1" t="n">
        <v>0.301682234</v>
      </c>
      <c r="K213" s="1" t="n">
        <v>0.304670334</v>
      </c>
      <c r="L213" s="1" t="n">
        <v>0.309312344</v>
      </c>
      <c r="M213" s="1" t="n">
        <v>0.307267427</v>
      </c>
      <c r="N213" s="1" t="n">
        <v>0.304532051</v>
      </c>
      <c r="O213" s="1" t="n">
        <v>0.317239761</v>
      </c>
      <c r="P213" s="1" t="n">
        <v>0.305740118</v>
      </c>
      <c r="R213" s="1" t="n">
        <f aca="false">PERCENTILE(G213:P213,0.9)</f>
        <v>0.3101050857</v>
      </c>
      <c r="S213" s="5" t="n">
        <f aca="false">spmv_1!R$14/R213</f>
        <v>3.56183827236085</v>
      </c>
      <c r="T213" s="6" t="n">
        <f aca="false">S213/64</f>
        <v>0.0556537230056382</v>
      </c>
    </row>
    <row r="214" customFormat="false" ht="15" hidden="false" customHeight="false" outlineLevel="0" collapsed="false">
      <c r="A214" s="1" t="s">
        <v>18</v>
      </c>
      <c r="B214" s="1" t="n">
        <v>11</v>
      </c>
      <c r="D214" s="1" t="n">
        <v>12105624</v>
      </c>
      <c r="E214" s="1" t="n">
        <v>0.080089</v>
      </c>
      <c r="G214" s="1" t="n">
        <v>0.305141449</v>
      </c>
      <c r="H214" s="1" t="n">
        <v>0.29617691</v>
      </c>
      <c r="I214" s="1" t="n">
        <v>0.301639557</v>
      </c>
      <c r="J214" s="1" t="n">
        <v>0.296770096</v>
      </c>
      <c r="K214" s="1" t="n">
        <v>0.300868273</v>
      </c>
      <c r="L214" s="1" t="n">
        <v>0.304379225</v>
      </c>
      <c r="M214" s="1" t="n">
        <v>0.302544594</v>
      </c>
      <c r="N214" s="1" t="n">
        <v>0.30028367</v>
      </c>
      <c r="O214" s="1" t="n">
        <v>0.312580824</v>
      </c>
      <c r="P214" s="1" t="n">
        <v>0.302656889</v>
      </c>
      <c r="R214" s="1" t="n">
        <f aca="false">PERCENTILE(G214:P214,0.9)</f>
        <v>0.3058853865</v>
      </c>
      <c r="S214" s="5" t="n">
        <f aca="false">spmv_1!R$14/R214</f>
        <v>3.61097395118613</v>
      </c>
      <c r="T214" s="6" t="n">
        <f aca="false">S214/64</f>
        <v>0.0564214679872832</v>
      </c>
    </row>
    <row r="215" customFormat="false" ht="15" hidden="false" customHeight="false" outlineLevel="0" collapsed="false">
      <c r="A215" s="1" t="s">
        <v>18</v>
      </c>
      <c r="B215" s="1" t="n">
        <v>12</v>
      </c>
      <c r="D215" s="1" t="n">
        <v>12103470</v>
      </c>
      <c r="E215" s="1" t="n">
        <v>0.076074</v>
      </c>
      <c r="G215" s="1" t="n">
        <v>0.316185474</v>
      </c>
      <c r="H215" s="1" t="n">
        <v>0.314043283</v>
      </c>
      <c r="I215" s="1" t="n">
        <v>0.319407701</v>
      </c>
      <c r="J215" s="1" t="n">
        <v>0.314693213</v>
      </c>
      <c r="K215" s="1" t="n">
        <v>0.319135904</v>
      </c>
      <c r="L215" s="1" t="n">
        <v>0.321357489</v>
      </c>
      <c r="M215" s="1" t="n">
        <v>0.317782164</v>
      </c>
      <c r="N215" s="1" t="n">
        <v>0.316915751</v>
      </c>
      <c r="O215" s="1" t="n">
        <v>0.322199106</v>
      </c>
      <c r="P215" s="1" t="n">
        <v>0.320307255</v>
      </c>
      <c r="R215" s="1" t="n">
        <f aca="false">PERCENTILE(G215:P215,0.9)</f>
        <v>0.3214416507</v>
      </c>
      <c r="S215" s="5" t="n">
        <f aca="false">spmv_1!R$14/R215</f>
        <v>3.43621979384018</v>
      </c>
      <c r="T215" s="6" t="n">
        <f aca="false">S215/64</f>
        <v>0.0536909342787528</v>
      </c>
    </row>
    <row r="216" customFormat="false" ht="15" hidden="false" customHeight="false" outlineLevel="0" collapsed="false">
      <c r="A216" s="1" t="s">
        <v>18</v>
      </c>
      <c r="B216" s="1" t="n">
        <v>13</v>
      </c>
      <c r="D216" s="1" t="n">
        <v>12101316</v>
      </c>
      <c r="E216" s="1" t="n">
        <v>0.078785</v>
      </c>
      <c r="G216" s="1" t="n">
        <v>0.300113678</v>
      </c>
      <c r="H216" s="1" t="n">
        <v>0.303958654</v>
      </c>
      <c r="I216" s="1" t="n">
        <v>0.311450005</v>
      </c>
      <c r="J216" s="1" t="n">
        <v>0.305325031</v>
      </c>
      <c r="K216" s="1" t="n">
        <v>0.310412407</v>
      </c>
      <c r="L216" s="1" t="n">
        <v>0.31167531</v>
      </c>
      <c r="M216" s="1" t="n">
        <v>0.308086634</v>
      </c>
      <c r="N216" s="1" t="n">
        <v>0.306478977</v>
      </c>
      <c r="O216" s="1" t="n">
        <v>0.30492115</v>
      </c>
      <c r="P216" s="1" t="n">
        <v>0.309557676</v>
      </c>
      <c r="R216" s="1" t="n">
        <f aca="false">PERCENTILE(G216:P216,0.9)</f>
        <v>0.3114725355</v>
      </c>
      <c r="S216" s="5" t="n">
        <f aca="false">spmv_1!R$14/R216</f>
        <v>3.54620082610783</v>
      </c>
      <c r="T216" s="6" t="n">
        <f aca="false">S216/64</f>
        <v>0.0554093879079348</v>
      </c>
    </row>
    <row r="217" customFormat="false" ht="15" hidden="false" customHeight="false" outlineLevel="0" collapsed="false">
      <c r="A217" s="1" t="s">
        <v>18</v>
      </c>
      <c r="B217" s="1" t="n">
        <v>14</v>
      </c>
      <c r="D217" s="1" t="n">
        <v>12099880</v>
      </c>
      <c r="E217" s="1" t="n">
        <v>0.078482</v>
      </c>
      <c r="G217" s="1" t="n">
        <v>0.299182177</v>
      </c>
      <c r="H217" s="1" t="n">
        <v>0.304055214</v>
      </c>
      <c r="I217" s="1" t="n">
        <v>0.311542749</v>
      </c>
      <c r="J217" s="1" t="n">
        <v>0.30848527</v>
      </c>
      <c r="K217" s="1" t="n">
        <v>0.310890198</v>
      </c>
      <c r="L217" s="1" t="n">
        <v>0.313768864</v>
      </c>
      <c r="M217" s="1" t="n">
        <v>0.309724569</v>
      </c>
      <c r="N217" s="1" t="n">
        <v>0.307995796</v>
      </c>
      <c r="O217" s="1" t="n">
        <v>0.305446625</v>
      </c>
      <c r="P217" s="1" t="n">
        <v>0.312384605</v>
      </c>
      <c r="R217" s="1" t="n">
        <f aca="false">PERCENTILE(G217:P217,0.9)</f>
        <v>0.3125230309</v>
      </c>
      <c r="S217" s="5" t="n">
        <f aca="false">spmv_1!R$14/R217</f>
        <v>3.53428084809989</v>
      </c>
      <c r="T217" s="6" t="n">
        <f aca="false">S217/64</f>
        <v>0.0552231382515608</v>
      </c>
    </row>
    <row r="218" customFormat="false" ht="15" hidden="false" customHeight="false" outlineLevel="0" collapsed="false">
      <c r="A218" s="1" t="s">
        <v>18</v>
      </c>
      <c r="B218" s="1" t="n">
        <v>15</v>
      </c>
      <c r="D218" s="1" t="n">
        <v>12099878</v>
      </c>
      <c r="E218" s="1" t="n">
        <v>0.080877</v>
      </c>
      <c r="G218" s="1" t="n">
        <v>0.283825636</v>
      </c>
      <c r="H218" s="1" t="n">
        <v>0.295403957</v>
      </c>
      <c r="I218" s="1" t="n">
        <v>0.307373047</v>
      </c>
      <c r="J218" s="1" t="n">
        <v>0.300464869</v>
      </c>
      <c r="K218" s="1" t="n">
        <v>0.301972151</v>
      </c>
      <c r="L218" s="1" t="n">
        <v>0.30246973</v>
      </c>
      <c r="M218" s="1" t="n">
        <v>0.301777363</v>
      </c>
      <c r="N218" s="1" t="n">
        <v>0.298873663</v>
      </c>
      <c r="O218" s="1" t="n">
        <v>0.294444084</v>
      </c>
      <c r="P218" s="1" t="n">
        <v>0.305561543</v>
      </c>
      <c r="R218" s="1" t="n">
        <f aca="false">PERCENTILE(G218:P218,0.9)</f>
        <v>0.3057426934</v>
      </c>
      <c r="S218" s="5" t="n">
        <f aca="false">spmv_1!R$14/R218</f>
        <v>3.61265922798337</v>
      </c>
      <c r="T218" s="6" t="n">
        <f aca="false">S218/64</f>
        <v>0.0564478004372402</v>
      </c>
    </row>
    <row r="219" customFormat="false" ht="15" hidden="false" customHeight="false" outlineLevel="0" collapsed="false">
      <c r="A219" s="1" t="s">
        <v>18</v>
      </c>
      <c r="B219" s="1" t="n">
        <v>16</v>
      </c>
      <c r="D219" s="1" t="n">
        <v>12101306</v>
      </c>
      <c r="E219" s="1" t="n">
        <v>0.077025</v>
      </c>
      <c r="G219" s="1" t="n">
        <v>0.302463055</v>
      </c>
      <c r="H219" s="1" t="n">
        <v>0.308867216</v>
      </c>
      <c r="I219" s="1" t="n">
        <v>0.317850828</v>
      </c>
      <c r="J219" s="1" t="n">
        <v>0.31564188</v>
      </c>
      <c r="K219" s="1" t="n">
        <v>0.316243887</v>
      </c>
      <c r="L219" s="1" t="n">
        <v>0.32046628</v>
      </c>
      <c r="M219" s="1" t="n">
        <v>0.31470418</v>
      </c>
      <c r="N219" s="1" t="n">
        <v>0.313657522</v>
      </c>
      <c r="O219" s="1" t="n">
        <v>0.312930822</v>
      </c>
      <c r="P219" s="1" t="n">
        <v>0.319344282</v>
      </c>
      <c r="R219" s="1" t="n">
        <f aca="false">PERCENTILE(G219:P219,0.9)</f>
        <v>0.3194564818</v>
      </c>
      <c r="S219" s="5" t="n">
        <f aca="false">spmv_1!R$14/R219</f>
        <v>3.45757317702984</v>
      </c>
      <c r="T219" s="6" t="n">
        <f aca="false">S219/64</f>
        <v>0.0540245808910912</v>
      </c>
    </row>
    <row r="220" customFormat="false" ht="15" hidden="false" customHeight="false" outlineLevel="0" collapsed="false">
      <c r="A220" s="1" t="s">
        <v>18</v>
      </c>
      <c r="B220" s="1" t="n">
        <v>17</v>
      </c>
      <c r="D220" s="1" t="n">
        <v>12103458</v>
      </c>
      <c r="E220" s="1" t="n">
        <v>0.077838</v>
      </c>
      <c r="G220" s="1" t="n">
        <v>0.28843379</v>
      </c>
      <c r="H220" s="1" t="n">
        <v>0.299823999</v>
      </c>
      <c r="I220" s="1" t="n">
        <v>0.313034058</v>
      </c>
      <c r="J220" s="1" t="n">
        <v>0.305615425</v>
      </c>
      <c r="K220" s="1" t="n">
        <v>0.308211088</v>
      </c>
      <c r="L220" s="1" t="n">
        <v>0.308868885</v>
      </c>
      <c r="M220" s="1" t="n">
        <v>0.30631566</v>
      </c>
      <c r="N220" s="1" t="n">
        <v>0.302720308</v>
      </c>
      <c r="O220" s="1" t="n">
        <v>0.300877094</v>
      </c>
      <c r="P220" s="1" t="n">
        <v>0.376027822</v>
      </c>
      <c r="R220" s="1" t="n">
        <f aca="false">PERCENTILE(G220:P220,0.9)</f>
        <v>0.3193334344</v>
      </c>
      <c r="S220" s="5" t="n">
        <f aca="false">spmv_1!R$14/R220</f>
        <v>3.4589054690604</v>
      </c>
      <c r="T220" s="6" t="n">
        <f aca="false">S220/64</f>
        <v>0.0540453979540687</v>
      </c>
    </row>
    <row r="221" customFormat="false" ht="15" hidden="false" customHeight="false" outlineLevel="0" collapsed="false">
      <c r="A221" s="1" t="s">
        <v>18</v>
      </c>
      <c r="B221" s="1" t="n">
        <v>18</v>
      </c>
      <c r="D221" s="1" t="n">
        <v>12101304</v>
      </c>
      <c r="E221" s="1" t="n">
        <v>0.078548</v>
      </c>
      <c r="G221" s="1" t="n">
        <v>0.291782856</v>
      </c>
      <c r="H221" s="1" t="n">
        <v>0.303892136</v>
      </c>
      <c r="I221" s="1" t="n">
        <v>0.317474604</v>
      </c>
      <c r="J221" s="1" t="n">
        <v>0.308637142</v>
      </c>
      <c r="K221" s="1" t="n">
        <v>0.311420679</v>
      </c>
      <c r="L221" s="1" t="n">
        <v>0.311921358</v>
      </c>
      <c r="M221" s="1" t="n">
        <v>0.310433865</v>
      </c>
      <c r="N221" s="1" t="n">
        <v>0.306397438</v>
      </c>
      <c r="O221" s="1" t="n">
        <v>0.30557394</v>
      </c>
      <c r="P221" s="1" t="n">
        <v>0.313724518</v>
      </c>
      <c r="R221" s="1" t="n">
        <f aca="false">PERCENTILE(G221:P221,0.9)</f>
        <v>0.3140995266</v>
      </c>
      <c r="S221" s="5" t="n">
        <f aca="false">spmv_1!R$14/R221</f>
        <v>3.51654195297982</v>
      </c>
      <c r="T221" s="6" t="n">
        <f aca="false">S221/64</f>
        <v>0.0549459680153097</v>
      </c>
    </row>
    <row r="222" customFormat="false" ht="15" hidden="false" customHeight="false" outlineLevel="0" collapsed="false">
      <c r="A222" s="1" t="s">
        <v>18</v>
      </c>
      <c r="B222" s="1" t="n">
        <v>19</v>
      </c>
      <c r="D222" s="1" t="n">
        <v>12099150</v>
      </c>
      <c r="E222" s="1" t="n">
        <v>0.078546</v>
      </c>
      <c r="G222" s="1" t="n">
        <v>0.291549444</v>
      </c>
      <c r="H222" s="1" t="n">
        <v>0.305822134</v>
      </c>
      <c r="I222" s="1" t="n">
        <v>0.314536095</v>
      </c>
      <c r="J222" s="1" t="n">
        <v>0.306665897</v>
      </c>
      <c r="K222" s="1" t="n">
        <v>0.310380936</v>
      </c>
      <c r="L222" s="1" t="n">
        <v>0.31303072</v>
      </c>
      <c r="M222" s="1" t="n">
        <v>0.308588982</v>
      </c>
      <c r="N222" s="1" t="n">
        <v>0.307719707</v>
      </c>
      <c r="O222" s="1" t="n">
        <v>0.308939219</v>
      </c>
      <c r="P222" s="1" t="n">
        <v>0.313544273</v>
      </c>
      <c r="R222" s="1" t="n">
        <f aca="false">PERCENTILE(G222:P222,0.9)</f>
        <v>0.3136434552</v>
      </c>
      <c r="S222" s="5" t="n">
        <f aca="false">spmv_1!R$14/R222</f>
        <v>3.52165538412293</v>
      </c>
      <c r="T222" s="6" t="n">
        <f aca="false">S222/64</f>
        <v>0.0550258653769208</v>
      </c>
    </row>
    <row r="223" customFormat="false" ht="15" hidden="false" customHeight="false" outlineLevel="0" collapsed="false">
      <c r="A223" s="1" t="s">
        <v>18</v>
      </c>
      <c r="B223" s="1" t="n">
        <v>20</v>
      </c>
      <c r="D223" s="1" t="n">
        <v>12096996</v>
      </c>
      <c r="E223" s="1" t="n">
        <v>0.077517</v>
      </c>
      <c r="G223" s="1" t="n">
        <v>0.295930147</v>
      </c>
      <c r="H223" s="1" t="n">
        <v>0.310920477</v>
      </c>
      <c r="I223" s="1" t="n">
        <v>0.318105221</v>
      </c>
      <c r="J223" s="1" t="n">
        <v>0.311445475</v>
      </c>
      <c r="K223" s="1" t="n">
        <v>0.314093113</v>
      </c>
      <c r="L223" s="1" t="n">
        <v>0.316797256</v>
      </c>
      <c r="M223" s="1" t="n">
        <v>0.312213659</v>
      </c>
      <c r="N223" s="1" t="n">
        <v>0.311449289</v>
      </c>
      <c r="O223" s="1" t="n">
        <v>0.313200235</v>
      </c>
      <c r="P223" s="1" t="n">
        <v>0.316975355</v>
      </c>
      <c r="R223" s="1" t="n">
        <f aca="false">PERCENTILE(G223:P223,0.9)</f>
        <v>0.3170883416</v>
      </c>
      <c r="S223" s="5" t="n">
        <f aca="false">spmv_1!R$14/R223</f>
        <v>3.48339569069795</v>
      </c>
      <c r="T223" s="6" t="n">
        <f aca="false">S223/64</f>
        <v>0.0544280576671555</v>
      </c>
    </row>
    <row r="224" customFormat="false" ht="15" hidden="false" customHeight="false" outlineLevel="0" collapsed="false">
      <c r="A224" s="1" t="s">
        <v>18</v>
      </c>
      <c r="B224" s="1" t="n">
        <v>21</v>
      </c>
      <c r="D224" s="1" t="n">
        <v>12096996</v>
      </c>
      <c r="E224" s="1" t="n">
        <v>0.076392</v>
      </c>
      <c r="G224" s="1" t="n">
        <v>0.299777985</v>
      </c>
      <c r="H224" s="1" t="n">
        <v>0.315184593</v>
      </c>
      <c r="I224" s="1" t="n">
        <v>0.326593161</v>
      </c>
      <c r="J224" s="1" t="n">
        <v>0.316957235</v>
      </c>
      <c r="K224" s="1" t="n">
        <v>0.319645882</v>
      </c>
      <c r="L224" s="1" t="n">
        <v>0.320610046</v>
      </c>
      <c r="M224" s="1" t="n">
        <v>0.317781687</v>
      </c>
      <c r="N224" s="1" t="n">
        <v>0.313731432</v>
      </c>
      <c r="O224" s="1" t="n">
        <v>0.314926147</v>
      </c>
      <c r="P224" s="1" t="n">
        <v>0.321888208</v>
      </c>
      <c r="R224" s="1" t="n">
        <f aca="false">PERCENTILE(G224:P224,0.9)</f>
        <v>0.3223587033</v>
      </c>
      <c r="S224" s="5" t="n">
        <f aca="false">spmv_1!R$14/R224</f>
        <v>3.4264443658345</v>
      </c>
      <c r="T224" s="6" t="n">
        <f aca="false">S224/64</f>
        <v>0.0535381932161641</v>
      </c>
    </row>
    <row r="225" customFormat="false" ht="15" hidden="false" customHeight="false" outlineLevel="0" collapsed="false">
      <c r="A225" s="1" t="s">
        <v>18</v>
      </c>
      <c r="B225" s="1" t="n">
        <v>22</v>
      </c>
      <c r="D225" s="1" t="n">
        <v>12099150</v>
      </c>
      <c r="E225" s="1" t="n">
        <v>0.073163</v>
      </c>
      <c r="G225" s="1" t="n">
        <v>0.317754745</v>
      </c>
      <c r="H225" s="1" t="n">
        <v>0.327792883</v>
      </c>
      <c r="I225" s="1" t="n">
        <v>0.337266445</v>
      </c>
      <c r="J225" s="1" t="n">
        <v>0.329903841</v>
      </c>
      <c r="K225" s="1" t="n">
        <v>0.33142972</v>
      </c>
      <c r="L225" s="1" t="n">
        <v>0.336804628</v>
      </c>
      <c r="M225" s="1" t="n">
        <v>0.330881596</v>
      </c>
      <c r="N225" s="1" t="n">
        <v>0.328663588</v>
      </c>
      <c r="O225" s="1" t="n">
        <v>0.331938982</v>
      </c>
      <c r="P225" s="1" t="n">
        <v>0.334998608</v>
      </c>
      <c r="R225" s="1" t="n">
        <f aca="false">PERCENTILE(G225:P225,0.9)</f>
        <v>0.3368508097</v>
      </c>
      <c r="S225" s="5" t="n">
        <f aca="false">spmv_1!R$14/R225</f>
        <v>3.27903074860859</v>
      </c>
      <c r="T225" s="6" t="n">
        <f aca="false">S225/64</f>
        <v>0.0512348554470092</v>
      </c>
    </row>
    <row r="226" customFormat="false" ht="15" hidden="false" customHeight="false" outlineLevel="0" collapsed="false">
      <c r="A226" s="1" t="s">
        <v>18</v>
      </c>
      <c r="B226" s="1" t="n">
        <v>23</v>
      </c>
      <c r="D226" s="1" t="n">
        <v>12101304</v>
      </c>
      <c r="E226" s="1" t="n">
        <v>0.072703</v>
      </c>
      <c r="G226" s="1" t="n">
        <v>0.320017099</v>
      </c>
      <c r="H226" s="1" t="n">
        <v>0.330937386</v>
      </c>
      <c r="I226" s="1" t="n">
        <v>0.339309931</v>
      </c>
      <c r="J226" s="1" t="n">
        <v>0.331688166</v>
      </c>
      <c r="K226" s="1" t="n">
        <v>0.333364248</v>
      </c>
      <c r="L226" s="1" t="n">
        <v>0.338825941</v>
      </c>
      <c r="M226" s="1" t="n">
        <v>0.332997561</v>
      </c>
      <c r="N226" s="1" t="n">
        <v>0.33078742</v>
      </c>
      <c r="O226" s="1" t="n">
        <v>0.333887815</v>
      </c>
      <c r="P226" s="1" t="n">
        <v>0.33713603</v>
      </c>
      <c r="R226" s="1" t="n">
        <f aca="false">PERCENTILE(G226:P226,0.9)</f>
        <v>0.33887434</v>
      </c>
      <c r="S226" s="5" t="n">
        <f aca="false">spmv_1!R$14/R226</f>
        <v>3.25945057598637</v>
      </c>
      <c r="T226" s="6" t="n">
        <f aca="false">S226/64</f>
        <v>0.050928915249787</v>
      </c>
    </row>
    <row r="227" customFormat="false" ht="15" hidden="false" customHeight="false" outlineLevel="0" collapsed="false">
      <c r="A227" s="1" t="s">
        <v>18</v>
      </c>
      <c r="B227" s="1" t="n">
        <v>24</v>
      </c>
      <c r="D227" s="1" t="n">
        <v>12103458</v>
      </c>
      <c r="E227" s="1" t="n">
        <v>0.07239</v>
      </c>
      <c r="G227" s="1" t="n">
        <v>0.32152915</v>
      </c>
      <c r="H227" s="1" t="n">
        <v>0.333796263</v>
      </c>
      <c r="I227" s="1" t="n">
        <v>0.340629578</v>
      </c>
      <c r="J227" s="1" t="n">
        <v>0.333023071</v>
      </c>
      <c r="K227" s="1" t="n">
        <v>0.33458972</v>
      </c>
      <c r="L227" s="1" t="n">
        <v>0.340190172</v>
      </c>
      <c r="M227" s="1" t="n">
        <v>0.334337473</v>
      </c>
      <c r="N227" s="1" t="n">
        <v>0.332165003</v>
      </c>
      <c r="O227" s="1" t="n">
        <v>0.335216045</v>
      </c>
      <c r="P227" s="1" t="n">
        <v>0.338503599</v>
      </c>
      <c r="R227" s="1" t="n">
        <f aca="false">PERCENTILE(G227:P227,0.9)</f>
        <v>0.3402341126</v>
      </c>
      <c r="S227" s="5" t="n">
        <f aca="false">spmv_1!R$14/R227</f>
        <v>3.24642392339586</v>
      </c>
      <c r="T227" s="6" t="n">
        <f aca="false">S227/64</f>
        <v>0.0507253738030603</v>
      </c>
    </row>
    <row r="228" customFormat="false" ht="15" hidden="false" customHeight="false" outlineLevel="0" collapsed="false">
      <c r="A228" s="1" t="s">
        <v>18</v>
      </c>
      <c r="B228" s="1" t="n">
        <v>25</v>
      </c>
      <c r="D228" s="1" t="n">
        <v>12103458</v>
      </c>
      <c r="E228" s="1" t="n">
        <v>0.074753</v>
      </c>
      <c r="G228" s="1" t="n">
        <v>0.307875633</v>
      </c>
      <c r="H228" s="1" t="n">
        <v>0.324986458</v>
      </c>
      <c r="I228" s="1" t="n">
        <v>0.330869436</v>
      </c>
      <c r="J228" s="1" t="n">
        <v>0.321614027</v>
      </c>
      <c r="K228" s="1" t="n">
        <v>0.325381041</v>
      </c>
      <c r="L228" s="1" t="n">
        <v>0.328307867</v>
      </c>
      <c r="M228" s="1" t="n">
        <v>0.323664665</v>
      </c>
      <c r="N228" s="1" t="n">
        <v>0.322490454</v>
      </c>
      <c r="O228" s="1" t="n">
        <v>0.32397747</v>
      </c>
      <c r="P228" s="1" t="n">
        <v>0.329087019</v>
      </c>
      <c r="R228" s="1" t="n">
        <f aca="false">PERCENTILE(G228:P228,0.9)</f>
        <v>0.3292652607</v>
      </c>
      <c r="S228" s="5" t="n">
        <f aca="false">spmv_1!R$14/R228</f>
        <v>3.35457242088582</v>
      </c>
      <c r="T228" s="6" t="n">
        <f aca="false">S228/64</f>
        <v>0.052415194076341</v>
      </c>
    </row>
    <row r="229" customFormat="false" ht="15" hidden="false" customHeight="false" outlineLevel="0" collapsed="false">
      <c r="A229" s="1" t="s">
        <v>18</v>
      </c>
      <c r="B229" s="1" t="n">
        <v>26</v>
      </c>
      <c r="D229" s="1" t="n">
        <v>12101304</v>
      </c>
      <c r="E229" s="1" t="n">
        <v>0.071456</v>
      </c>
      <c r="G229" s="1" t="n">
        <v>0.326495886</v>
      </c>
      <c r="H229" s="1" t="n">
        <v>0.338385344</v>
      </c>
      <c r="I229" s="1" t="n">
        <v>0.344955444</v>
      </c>
      <c r="J229" s="1" t="n">
        <v>0.33720541</v>
      </c>
      <c r="K229" s="1" t="n">
        <v>0.338941336</v>
      </c>
      <c r="L229" s="1" t="n">
        <v>0.344274759</v>
      </c>
      <c r="M229" s="1" t="n">
        <v>0.338463068</v>
      </c>
      <c r="N229" s="1" t="n">
        <v>0.336264372</v>
      </c>
      <c r="O229" s="1" t="n">
        <v>0.339397907</v>
      </c>
      <c r="P229" s="1" t="n">
        <v>0.34267664</v>
      </c>
      <c r="R229" s="1" t="n">
        <f aca="false">PERCENTILE(G229:P229,0.9)</f>
        <v>0.3443428275</v>
      </c>
      <c r="S229" s="5" t="n">
        <f aca="false">spmv_1!R$14/R229</f>
        <v>3.20768743963456</v>
      </c>
      <c r="T229" s="6" t="n">
        <f aca="false">S229/64</f>
        <v>0.05012011624429</v>
      </c>
    </row>
    <row r="230" customFormat="false" ht="15" hidden="false" customHeight="false" outlineLevel="0" collapsed="false">
      <c r="A230" s="1" t="s">
        <v>18</v>
      </c>
      <c r="B230" s="1" t="n">
        <v>27</v>
      </c>
      <c r="D230" s="1" t="n">
        <v>12099150</v>
      </c>
      <c r="E230" s="1" t="n">
        <v>0.071079</v>
      </c>
      <c r="G230" s="1" t="n">
        <v>0.32964468</v>
      </c>
      <c r="H230" s="1" t="n">
        <v>0.340833426</v>
      </c>
      <c r="I230" s="1" t="n">
        <v>0.346217632</v>
      </c>
      <c r="J230" s="1" t="n">
        <v>0.337820768</v>
      </c>
      <c r="K230" s="1" t="n">
        <v>0.341667175</v>
      </c>
      <c r="L230" s="1" t="n">
        <v>0.344480276</v>
      </c>
      <c r="M230" s="1" t="n">
        <v>0.340318441</v>
      </c>
      <c r="N230" s="1" t="n">
        <v>0.339045525</v>
      </c>
      <c r="O230" s="1" t="n">
        <v>0.340354204</v>
      </c>
      <c r="P230" s="1" t="n">
        <v>0.344046593</v>
      </c>
      <c r="R230" s="1" t="n">
        <f aca="false">PERCENTILE(G230:P230,0.9)</f>
        <v>0.3446540116</v>
      </c>
      <c r="S230" s="5" t="n">
        <f aca="false">spmv_1!R$14/R230</f>
        <v>3.20479125593906</v>
      </c>
      <c r="T230" s="6" t="n">
        <f aca="false">S230/64</f>
        <v>0.0500748633740479</v>
      </c>
    </row>
    <row r="231" customFormat="false" ht="15" hidden="false" customHeight="false" outlineLevel="0" collapsed="false">
      <c r="A231" s="1" t="s">
        <v>18</v>
      </c>
      <c r="B231" s="1" t="n">
        <v>28</v>
      </c>
      <c r="D231" s="1" t="n">
        <v>12096996</v>
      </c>
      <c r="E231" s="1" t="n">
        <v>0.055787</v>
      </c>
      <c r="G231" s="1" t="n">
        <v>0.413472176</v>
      </c>
      <c r="H231" s="1" t="n">
        <v>0.43761611</v>
      </c>
      <c r="I231" s="1" t="n">
        <v>0.443166971</v>
      </c>
      <c r="J231" s="1" t="n">
        <v>0.43410182</v>
      </c>
      <c r="K231" s="1" t="n">
        <v>0.431678534</v>
      </c>
      <c r="L231" s="1" t="n">
        <v>0.433365107</v>
      </c>
      <c r="M231" s="1" t="n">
        <v>0.435236454</v>
      </c>
      <c r="N231" s="1" t="n">
        <v>0.434520006</v>
      </c>
      <c r="O231" s="1" t="n">
        <v>0.434453249</v>
      </c>
      <c r="P231" s="1" t="n">
        <v>0.439214945</v>
      </c>
      <c r="R231" s="1" t="n">
        <f aca="false">PERCENTILE(G231:P231,0.9)</f>
        <v>0.4396101476</v>
      </c>
      <c r="S231" s="5" t="n">
        <f aca="false">spmv_1!R$14/R231</f>
        <v>2.51255383600704</v>
      </c>
      <c r="T231" s="6" t="n">
        <f aca="false">S231/64</f>
        <v>0.03925865368761</v>
      </c>
    </row>
    <row r="232" customFormat="false" ht="15" hidden="false" customHeight="false" outlineLevel="0" collapsed="false">
      <c r="A232" s="1" t="s">
        <v>18</v>
      </c>
      <c r="B232" s="1" t="n">
        <v>29</v>
      </c>
      <c r="D232" s="1" t="n">
        <v>12096996</v>
      </c>
      <c r="E232" s="1" t="n">
        <v>0.070342</v>
      </c>
      <c r="G232" s="1" t="n">
        <v>0.333620787</v>
      </c>
      <c r="H232" s="1" t="n">
        <v>0.344423294</v>
      </c>
      <c r="I232" s="1" t="n">
        <v>0.349800587</v>
      </c>
      <c r="J232" s="1" t="n">
        <v>0.341314554</v>
      </c>
      <c r="K232" s="1" t="n">
        <v>0.344953299</v>
      </c>
      <c r="L232" s="1" t="n">
        <v>0.347979069</v>
      </c>
      <c r="M232" s="1" t="n">
        <v>0.343571663</v>
      </c>
      <c r="N232" s="1" t="n">
        <v>0.342559099</v>
      </c>
      <c r="O232" s="1" t="n">
        <v>0.343605995</v>
      </c>
      <c r="P232" s="1" t="n">
        <v>0.347654104</v>
      </c>
      <c r="R232" s="1" t="n">
        <f aca="false">PERCENTILE(G232:P232,0.9)</f>
        <v>0.3481612208</v>
      </c>
      <c r="S232" s="5" t="n">
        <f aca="false">spmv_1!R$14/R232</f>
        <v>3.17250772547843</v>
      </c>
      <c r="T232" s="6" t="n">
        <f aca="false">S232/64</f>
        <v>0.0495704332106004</v>
      </c>
    </row>
    <row r="233" customFormat="false" ht="15" hidden="false" customHeight="false" outlineLevel="0" collapsed="false">
      <c r="A233" s="1" t="s">
        <v>18</v>
      </c>
      <c r="B233" s="1" t="n">
        <v>30</v>
      </c>
      <c r="D233" s="1" t="n">
        <v>12098432</v>
      </c>
      <c r="E233" s="1" t="n">
        <v>0.070172</v>
      </c>
      <c r="G233" s="1" t="n">
        <v>0.334073782</v>
      </c>
      <c r="H233" s="1" t="n">
        <v>0.345525503</v>
      </c>
      <c r="I233" s="1" t="n">
        <v>0.350970507</v>
      </c>
      <c r="J233" s="1" t="n">
        <v>0.342239857</v>
      </c>
      <c r="K233" s="1" t="n">
        <v>0.345813513</v>
      </c>
      <c r="L233" s="1" t="n">
        <v>0.348860741</v>
      </c>
      <c r="M233" s="1" t="n">
        <v>0.344367743</v>
      </c>
      <c r="N233" s="1" t="n">
        <v>0.343340397</v>
      </c>
      <c r="O233" s="1" t="n">
        <v>0.344325066</v>
      </c>
      <c r="P233" s="1" t="n">
        <v>0.348725557</v>
      </c>
      <c r="R233" s="1" t="n">
        <f aca="false">PERCENTILE(G233:P233,0.9)</f>
        <v>0.3490717176</v>
      </c>
      <c r="S233" s="5" t="n">
        <f aca="false">spmv_1!R$14/R233</f>
        <v>3.1642327550744</v>
      </c>
      <c r="T233" s="6" t="n">
        <f aca="false">S233/64</f>
        <v>0.0494411367980375</v>
      </c>
    </row>
    <row r="234" customFormat="false" ht="15" hidden="false" customHeight="false" outlineLevel="0" collapsed="false">
      <c r="A234" s="1" t="s">
        <v>18</v>
      </c>
      <c r="B234" s="1" t="n">
        <v>31</v>
      </c>
      <c r="D234" s="1" t="n">
        <v>12099148</v>
      </c>
      <c r="E234" s="1" t="n">
        <v>0.069714</v>
      </c>
      <c r="G234" s="1" t="n">
        <v>0.334927082</v>
      </c>
      <c r="H234" s="1" t="n">
        <v>0.34708786</v>
      </c>
      <c r="I234" s="1" t="n">
        <v>0.353540659</v>
      </c>
      <c r="J234" s="1" t="n">
        <v>0.345201492</v>
      </c>
      <c r="K234" s="1" t="n">
        <v>0.347168684</v>
      </c>
      <c r="L234" s="1" t="n">
        <v>0.352100372</v>
      </c>
      <c r="M234" s="1" t="n">
        <v>0.346316338</v>
      </c>
      <c r="N234" s="1" t="n">
        <v>0.345328808</v>
      </c>
      <c r="O234" s="1" t="n">
        <v>0.347027302</v>
      </c>
      <c r="P234" s="1" t="n">
        <v>0.352381468</v>
      </c>
      <c r="R234" s="1" t="n">
        <f aca="false">PERCENTILE(G234:P234,0.9)</f>
        <v>0.3524973871</v>
      </c>
      <c r="S234" s="5" t="n">
        <f aca="false">spmv_1!R$14/R234</f>
        <v>3.13348184446727</v>
      </c>
      <c r="T234" s="6" t="n">
        <f aca="false">S234/64</f>
        <v>0.048960653819801</v>
      </c>
    </row>
    <row r="235" customFormat="false" ht="15" hidden="false" customHeight="false" outlineLevel="0" collapsed="false">
      <c r="A235" s="1" t="s">
        <v>18</v>
      </c>
      <c r="B235" s="1" t="n">
        <v>32</v>
      </c>
      <c r="D235" s="1" t="n">
        <v>12099148</v>
      </c>
      <c r="E235" s="1" t="n">
        <v>0.064569</v>
      </c>
      <c r="G235" s="1" t="n">
        <v>0.364043474</v>
      </c>
      <c r="H235" s="1" t="n">
        <v>0.373871326</v>
      </c>
      <c r="I235" s="1" t="n">
        <v>0.378991842</v>
      </c>
      <c r="J235" s="1" t="n">
        <v>0.371717215</v>
      </c>
      <c r="K235" s="1" t="n">
        <v>0.375421286</v>
      </c>
      <c r="L235" s="1" t="n">
        <v>0.377545357</v>
      </c>
      <c r="M235" s="1" t="n">
        <v>0.374906063</v>
      </c>
      <c r="N235" s="1" t="n">
        <v>0.374046803</v>
      </c>
      <c r="O235" s="1" t="n">
        <v>0.376821995</v>
      </c>
      <c r="P235" s="1" t="n">
        <v>0.380324125</v>
      </c>
      <c r="R235" s="1" t="n">
        <f aca="false">PERCENTILE(G235:P235,0.9)</f>
        <v>0.3791250703</v>
      </c>
      <c r="S235" s="5" t="n">
        <f aca="false">spmv_1!R$14/R235</f>
        <v>2.91340312004685</v>
      </c>
      <c r="T235" s="6" t="n">
        <f aca="false">S235/64</f>
        <v>0.045521923750732</v>
      </c>
    </row>
    <row r="236" customFormat="false" ht="15" hidden="false" customHeight="false" outlineLevel="0" collapsed="false">
      <c r="A236" s="1" t="s">
        <v>18</v>
      </c>
      <c r="B236" s="1" t="n">
        <v>33</v>
      </c>
      <c r="D236" s="1" t="n">
        <v>12098432</v>
      </c>
      <c r="E236" s="1" t="n">
        <v>0.071484</v>
      </c>
      <c r="G236" s="1" t="n">
        <v>0.324363708</v>
      </c>
      <c r="H236" s="1" t="n">
        <v>0.340507746</v>
      </c>
      <c r="I236" s="1" t="n">
        <v>0.346575499</v>
      </c>
      <c r="J236" s="1" t="n">
        <v>0.335942507</v>
      </c>
      <c r="K236" s="1" t="n">
        <v>0.338713169</v>
      </c>
      <c r="L236" s="1" t="n">
        <v>0.342762232</v>
      </c>
      <c r="M236" s="1" t="n">
        <v>0.338238478</v>
      </c>
      <c r="N236" s="1" t="n">
        <v>0.337259531</v>
      </c>
      <c r="O236" s="1" t="n">
        <v>0.337948084</v>
      </c>
      <c r="P236" s="1" t="n">
        <v>0.342619419</v>
      </c>
      <c r="R236" s="1" t="n">
        <f aca="false">PERCENTILE(G236:P236,0.9)</f>
        <v>0.3431435587</v>
      </c>
      <c r="S236" s="5" t="n">
        <f aca="false">spmv_1!R$14/R236</f>
        <v>3.21889813955584</v>
      </c>
      <c r="T236" s="6" t="n">
        <f aca="false">S236/64</f>
        <v>0.05029528343056</v>
      </c>
    </row>
    <row r="237" customFormat="false" ht="15" hidden="false" customHeight="false" outlineLevel="0" collapsed="false">
      <c r="A237" s="1" t="s">
        <v>18</v>
      </c>
      <c r="B237" s="1" t="n">
        <v>34</v>
      </c>
      <c r="D237" s="1" t="n">
        <v>12096996</v>
      </c>
      <c r="E237" s="1" t="n">
        <v>0.070152</v>
      </c>
      <c r="G237" s="1" t="n">
        <v>0.329270124</v>
      </c>
      <c r="H237" s="1" t="n">
        <v>0.347482681</v>
      </c>
      <c r="I237" s="1" t="n">
        <v>0.353543043</v>
      </c>
      <c r="J237" s="1" t="n">
        <v>0.342964411</v>
      </c>
      <c r="K237" s="1" t="n">
        <v>0.345889807</v>
      </c>
      <c r="L237" s="1" t="n">
        <v>0.349283934</v>
      </c>
      <c r="M237" s="1" t="n">
        <v>0.344419479</v>
      </c>
      <c r="N237" s="1" t="n">
        <v>0.343617201</v>
      </c>
      <c r="O237" s="1" t="n">
        <v>0.342633724</v>
      </c>
      <c r="P237" s="1" t="n">
        <v>0.349676371</v>
      </c>
      <c r="R237" s="1" t="n">
        <f aca="false">PERCENTILE(G237:P237,0.9)</f>
        <v>0.3500630382</v>
      </c>
      <c r="S237" s="5" t="n">
        <f aca="false">spmv_1!R$14/R237</f>
        <v>3.15527217149086</v>
      </c>
      <c r="T237" s="6" t="n">
        <f aca="false">S237/64</f>
        <v>0.0493011276795446</v>
      </c>
    </row>
    <row r="238" customFormat="false" ht="15" hidden="false" customHeight="false" outlineLevel="0" collapsed="false">
      <c r="A238" s="1" t="s">
        <v>18</v>
      </c>
      <c r="B238" s="1" t="n">
        <v>35</v>
      </c>
      <c r="D238" s="1" t="n">
        <v>12096996</v>
      </c>
      <c r="E238" s="1" t="n">
        <v>0.070775</v>
      </c>
      <c r="G238" s="1" t="n">
        <v>0.326062441</v>
      </c>
      <c r="H238" s="1" t="n">
        <v>0.344442844</v>
      </c>
      <c r="I238" s="1" t="n">
        <v>0.35063386</v>
      </c>
      <c r="J238" s="1" t="n">
        <v>0.339943886</v>
      </c>
      <c r="K238" s="1" t="n">
        <v>0.342806339</v>
      </c>
      <c r="L238" s="1" t="n">
        <v>0.34634304</v>
      </c>
      <c r="M238" s="1" t="n">
        <v>0.341304541</v>
      </c>
      <c r="N238" s="1" t="n">
        <v>0.340490341</v>
      </c>
      <c r="O238" s="1" t="n">
        <v>0.339640141</v>
      </c>
      <c r="P238" s="1" t="n">
        <v>0.346786261</v>
      </c>
      <c r="R238" s="1" t="n">
        <f aca="false">PERCENTILE(G238:P238,0.9)</f>
        <v>0.3471710209</v>
      </c>
      <c r="S238" s="5" t="n">
        <f aca="false">spmv_1!R$14/R238</f>
        <v>3.18155634026308</v>
      </c>
      <c r="T238" s="6" t="n">
        <f aca="false">S238/64</f>
        <v>0.0497118178166106</v>
      </c>
    </row>
    <row r="239" customFormat="false" ht="15" hidden="false" customHeight="false" outlineLevel="0" collapsed="false">
      <c r="A239" s="1" t="s">
        <v>18</v>
      </c>
      <c r="B239" s="1" t="n">
        <v>36</v>
      </c>
      <c r="D239" s="1" t="n">
        <v>12099150</v>
      </c>
      <c r="E239" s="1" t="n">
        <v>0.071342</v>
      </c>
      <c r="G239" s="1" t="n">
        <v>0.322830677</v>
      </c>
      <c r="H239" s="1" t="n">
        <v>0.341742516</v>
      </c>
      <c r="I239" s="1" t="n">
        <v>0.3478899</v>
      </c>
      <c r="J239" s="1" t="n">
        <v>0.337223053</v>
      </c>
      <c r="K239" s="1" t="n">
        <v>0.340171576</v>
      </c>
      <c r="L239" s="1" t="n">
        <v>0.343821049</v>
      </c>
      <c r="M239" s="1" t="n">
        <v>0.338983297</v>
      </c>
      <c r="N239" s="1" t="n">
        <v>0.33795166</v>
      </c>
      <c r="O239" s="1" t="n">
        <v>0.337313414</v>
      </c>
      <c r="P239" s="1" t="n">
        <v>0.343958855</v>
      </c>
      <c r="R239" s="1" t="n">
        <f aca="false">PERCENTILE(G239:P239,0.9)</f>
        <v>0.3443519595</v>
      </c>
      <c r="S239" s="5" t="n">
        <f aca="false">spmv_1!R$14/R239</f>
        <v>3.20760237375678</v>
      </c>
      <c r="T239" s="6" t="n">
        <f aca="false">S239/64</f>
        <v>0.0501187870899498</v>
      </c>
    </row>
    <row r="240" customFormat="false" ht="15" hidden="false" customHeight="false" outlineLevel="0" collapsed="false">
      <c r="A240" s="1" t="s">
        <v>18</v>
      </c>
      <c r="B240" s="1" t="n">
        <v>37</v>
      </c>
      <c r="D240" s="1" t="n">
        <v>12101304</v>
      </c>
      <c r="E240" s="1" t="n">
        <v>0.072102</v>
      </c>
      <c r="G240" s="1" t="n">
        <v>0.318994284</v>
      </c>
      <c r="H240" s="1" t="n">
        <v>0.338218451</v>
      </c>
      <c r="I240" s="1" t="n">
        <v>0.344517231</v>
      </c>
      <c r="J240" s="1" t="n">
        <v>0.333958864</v>
      </c>
      <c r="K240" s="1" t="n">
        <v>0.336961746</v>
      </c>
      <c r="L240" s="1" t="n">
        <v>0.340470791</v>
      </c>
      <c r="M240" s="1" t="n">
        <v>0.335775614</v>
      </c>
      <c r="N240" s="1" t="n">
        <v>0.333091497</v>
      </c>
      <c r="O240" s="1" t="n">
        <v>0.334053755</v>
      </c>
      <c r="P240" s="1" t="n">
        <v>0.340666056</v>
      </c>
      <c r="R240" s="1" t="n">
        <f aca="false">PERCENTILE(G240:P240,0.9)</f>
        <v>0.3410511735</v>
      </c>
      <c r="S240" s="5" t="n">
        <f aca="false">spmv_1!R$14/R240</f>
        <v>3.23864642178104</v>
      </c>
      <c r="T240" s="6" t="n">
        <f aca="false">S240/64</f>
        <v>0.0506038503403288</v>
      </c>
    </row>
    <row r="241" customFormat="false" ht="15" hidden="false" customHeight="false" outlineLevel="0" collapsed="false">
      <c r="A241" s="1" t="s">
        <v>18</v>
      </c>
      <c r="B241" s="1" t="n">
        <v>38</v>
      </c>
      <c r="D241" s="1" t="n">
        <v>12103458</v>
      </c>
      <c r="E241" s="1" t="n">
        <v>0.065879</v>
      </c>
      <c r="G241" s="1" t="n">
        <v>0.355955124</v>
      </c>
      <c r="H241" s="1" t="n">
        <v>0.366599321</v>
      </c>
      <c r="I241" s="1" t="n">
        <v>0.371755838</v>
      </c>
      <c r="J241" s="1" t="n">
        <v>0.364625454</v>
      </c>
      <c r="K241" s="1" t="n">
        <v>0.368356466</v>
      </c>
      <c r="L241" s="1" t="n">
        <v>0.370570898</v>
      </c>
      <c r="M241" s="1" t="n">
        <v>0.367963552</v>
      </c>
      <c r="N241" s="1" t="n">
        <v>0.366236925</v>
      </c>
      <c r="O241" s="1" t="n">
        <v>0.369820356</v>
      </c>
      <c r="P241" s="1" t="n">
        <v>0.37257123</v>
      </c>
      <c r="R241" s="1" t="n">
        <f aca="false">PERCENTILE(G241:P241,0.9)</f>
        <v>0.3718373772</v>
      </c>
      <c r="S241" s="5" t="n">
        <f aca="false">spmv_1!R$14/R241</f>
        <v>2.97050331792196</v>
      </c>
      <c r="T241" s="6" t="n">
        <f aca="false">S241/64</f>
        <v>0.0464141143425307</v>
      </c>
    </row>
    <row r="242" customFormat="false" ht="15" hidden="false" customHeight="false" outlineLevel="0" collapsed="false">
      <c r="A242" s="1" t="s">
        <v>18</v>
      </c>
      <c r="B242" s="1" t="n">
        <v>39</v>
      </c>
      <c r="D242" s="1" t="n">
        <v>12103458</v>
      </c>
      <c r="E242" s="1" t="n">
        <v>0.074928</v>
      </c>
      <c r="G242" s="1" t="n">
        <v>0.307483673</v>
      </c>
      <c r="H242" s="1" t="n">
        <v>0.325243235</v>
      </c>
      <c r="I242" s="1" t="n">
        <v>0.331172466</v>
      </c>
      <c r="J242" s="1" t="n">
        <v>0.321028948</v>
      </c>
      <c r="K242" s="1" t="n">
        <v>0.323662281</v>
      </c>
      <c r="L242" s="1" t="n">
        <v>0.327904463</v>
      </c>
      <c r="M242" s="1" t="n">
        <v>0.323551893</v>
      </c>
      <c r="N242" s="1" t="n">
        <v>0.321032524</v>
      </c>
      <c r="O242" s="1" t="n">
        <v>0.322675943</v>
      </c>
      <c r="P242" s="1" t="n">
        <v>0.326918602</v>
      </c>
      <c r="R242" s="1" t="n">
        <f aca="false">PERCENTILE(G242:P242,0.9)</f>
        <v>0.3282312633</v>
      </c>
      <c r="S242" s="5" t="n">
        <f aca="false">spmv_1!R$14/R242</f>
        <v>3.36514002839047</v>
      </c>
      <c r="T242" s="6" t="n">
        <f aca="false">S242/64</f>
        <v>0.052580312943601</v>
      </c>
    </row>
    <row r="243" customFormat="false" ht="15" hidden="false" customHeight="false" outlineLevel="0" collapsed="false">
      <c r="A243" s="1" t="s">
        <v>18</v>
      </c>
      <c r="B243" s="1" t="n">
        <v>40</v>
      </c>
      <c r="D243" s="1" t="n">
        <v>12101304</v>
      </c>
      <c r="E243" s="1" t="n">
        <v>0.07387</v>
      </c>
      <c r="G243" s="1" t="n">
        <v>0.311950684</v>
      </c>
      <c r="H243" s="1" t="n">
        <v>0.328401804</v>
      </c>
      <c r="I243" s="1" t="n">
        <v>0.336326599</v>
      </c>
      <c r="J243" s="1" t="n">
        <v>0.325822592</v>
      </c>
      <c r="K243" s="1" t="n">
        <v>0.328684807</v>
      </c>
      <c r="L243" s="1" t="n">
        <v>0.332467794</v>
      </c>
      <c r="M243" s="1" t="n">
        <v>0.327677965</v>
      </c>
      <c r="N243" s="1" t="n">
        <v>0.325211763</v>
      </c>
      <c r="O243" s="1" t="n">
        <v>0.327473402</v>
      </c>
      <c r="P243" s="1" t="n">
        <v>0.33238101</v>
      </c>
      <c r="R243" s="1" t="n">
        <f aca="false">PERCENTILE(G243:P243,0.9)</f>
        <v>0.3328536745</v>
      </c>
      <c r="S243" s="5" t="n">
        <f aca="false">spmv_1!R$14/R243</f>
        <v>3.31840759865188</v>
      </c>
      <c r="T243" s="6" t="n">
        <f aca="false">S243/64</f>
        <v>0.0518501187289357</v>
      </c>
    </row>
    <row r="244" customFormat="false" ht="15" hidden="false" customHeight="false" outlineLevel="0" collapsed="false">
      <c r="A244" s="1" t="s">
        <v>18</v>
      </c>
      <c r="B244" s="1" t="n">
        <v>41</v>
      </c>
      <c r="D244" s="1" t="n">
        <v>12099150</v>
      </c>
      <c r="E244" s="1" t="n">
        <v>0.066737</v>
      </c>
      <c r="G244" s="1" t="n">
        <v>0.350650787</v>
      </c>
      <c r="H244" s="1" t="n">
        <v>0.36019659</v>
      </c>
      <c r="I244" s="1" t="n">
        <v>0.367028952</v>
      </c>
      <c r="J244" s="1" t="n">
        <v>0.359895229</v>
      </c>
      <c r="K244" s="1" t="n">
        <v>0.363623619</v>
      </c>
      <c r="L244" s="1" t="n">
        <v>0.365945816</v>
      </c>
      <c r="M244" s="1" t="n">
        <v>0.363439322</v>
      </c>
      <c r="N244" s="1" t="n">
        <v>0.361656904</v>
      </c>
      <c r="O244" s="1" t="n">
        <v>0.36541605</v>
      </c>
      <c r="P244" s="1" t="n">
        <v>0.368073225</v>
      </c>
      <c r="R244" s="1" t="n">
        <f aca="false">PERCENTILE(G244:P244,0.9)</f>
        <v>0.3671333793</v>
      </c>
      <c r="S244" s="5" t="n">
        <f aca="false">spmv_1!R$14/R244</f>
        <v>3.00856371274656</v>
      </c>
      <c r="T244" s="6" t="n">
        <f aca="false">S244/64</f>
        <v>0.047008808011665</v>
      </c>
    </row>
    <row r="245" customFormat="false" ht="15" hidden="false" customHeight="false" outlineLevel="0" collapsed="false">
      <c r="A245" s="1" t="s">
        <v>18</v>
      </c>
      <c r="B245" s="1" t="n">
        <v>42</v>
      </c>
      <c r="D245" s="1" t="n">
        <v>12096996</v>
      </c>
      <c r="E245" s="1" t="n">
        <v>0.066932</v>
      </c>
      <c r="G245" s="1" t="n">
        <v>0.349854946</v>
      </c>
      <c r="H245" s="1" t="n">
        <v>0.359495878</v>
      </c>
      <c r="I245" s="1" t="n">
        <v>0.365517616</v>
      </c>
      <c r="J245" s="1" t="n">
        <v>0.359224558</v>
      </c>
      <c r="K245" s="1" t="n">
        <v>0.362968683</v>
      </c>
      <c r="L245" s="1" t="n">
        <v>0.364349604</v>
      </c>
      <c r="M245" s="1" t="n">
        <v>0.361776829</v>
      </c>
      <c r="N245" s="1" t="n">
        <v>0.360124826</v>
      </c>
      <c r="O245" s="1" t="n">
        <v>0.364715815</v>
      </c>
      <c r="P245" s="1" t="n">
        <v>0.366661072</v>
      </c>
      <c r="R245" s="1" t="n">
        <f aca="false">PERCENTILE(G245:P245,0.9)</f>
        <v>0.3656319616</v>
      </c>
      <c r="S245" s="5" t="n">
        <f aca="false">spmv_1!R$14/R245</f>
        <v>3.02091796862214</v>
      </c>
      <c r="T245" s="6" t="n">
        <f aca="false">S245/64</f>
        <v>0.0472018432597209</v>
      </c>
    </row>
    <row r="246" customFormat="false" ht="15" hidden="false" customHeight="false" outlineLevel="0" collapsed="false">
      <c r="A246" s="1" t="s">
        <v>18</v>
      </c>
      <c r="B246" s="1" t="n">
        <v>43</v>
      </c>
      <c r="D246" s="1" t="n">
        <v>12096996</v>
      </c>
      <c r="E246" s="1" t="n">
        <v>0.067378</v>
      </c>
      <c r="G246" s="1" t="n">
        <v>0.347584963</v>
      </c>
      <c r="H246" s="1" t="n">
        <v>0.356608868</v>
      </c>
      <c r="I246" s="1" t="n">
        <v>0.362514257</v>
      </c>
      <c r="J246" s="1" t="n">
        <v>0.357280493</v>
      </c>
      <c r="K246" s="1" t="n">
        <v>0.360164404</v>
      </c>
      <c r="L246" s="1" t="n">
        <v>0.362321138</v>
      </c>
      <c r="M246" s="1" t="n">
        <v>0.35985446</v>
      </c>
      <c r="N246" s="1" t="n">
        <v>0.358051062</v>
      </c>
      <c r="O246" s="1" t="n">
        <v>0.362691879</v>
      </c>
      <c r="P246" s="1" t="n">
        <v>0.363713741</v>
      </c>
      <c r="R246" s="1" t="n">
        <f aca="false">PERCENTILE(G246:P246,0.9)</f>
        <v>0.3627940652</v>
      </c>
      <c r="S246" s="5" t="n">
        <f aca="false">spmv_1!R$14/R246</f>
        <v>3.04454859836555</v>
      </c>
      <c r="T246" s="6" t="n">
        <f aca="false">S246/64</f>
        <v>0.0475710718494617</v>
      </c>
    </row>
    <row r="247" customFormat="false" ht="15" hidden="false" customHeight="false" outlineLevel="0" collapsed="false">
      <c r="A247" s="1" t="s">
        <v>18</v>
      </c>
      <c r="B247" s="1" t="n">
        <v>44</v>
      </c>
      <c r="D247" s="1" t="n">
        <v>12099150</v>
      </c>
      <c r="E247" s="1" t="n">
        <v>0.067666</v>
      </c>
      <c r="G247" s="1" t="n">
        <v>0.34614706</v>
      </c>
      <c r="H247" s="1" t="n">
        <v>0.354501009</v>
      </c>
      <c r="I247" s="1" t="n">
        <v>0.361346006</v>
      </c>
      <c r="J247" s="1" t="n">
        <v>0.355149508</v>
      </c>
      <c r="K247" s="1" t="n">
        <v>0.358878374</v>
      </c>
      <c r="L247" s="1" t="n">
        <v>0.361017227</v>
      </c>
      <c r="M247" s="1" t="n">
        <v>0.358414888</v>
      </c>
      <c r="N247" s="1" t="n">
        <v>0.356598377</v>
      </c>
      <c r="O247" s="1" t="n">
        <v>0.361678362</v>
      </c>
      <c r="P247" s="1" t="n">
        <v>0.362416506</v>
      </c>
      <c r="R247" s="1" t="n">
        <f aca="false">PERCENTILE(G247:P247,0.9)</f>
        <v>0.3617521764</v>
      </c>
      <c r="S247" s="5" t="n">
        <f aca="false">spmv_1!R$14/R247</f>
        <v>3.05331725628286</v>
      </c>
      <c r="T247" s="6" t="n">
        <f aca="false">S247/64</f>
        <v>0.0477080821294197</v>
      </c>
    </row>
    <row r="248" customFormat="false" ht="15" hidden="false" customHeight="false" outlineLevel="0" collapsed="false">
      <c r="A248" s="1" t="s">
        <v>18</v>
      </c>
      <c r="B248" s="1" t="n">
        <v>45</v>
      </c>
      <c r="D248" s="1" t="n">
        <v>12101304</v>
      </c>
      <c r="E248" s="1" t="n">
        <v>0.068093</v>
      </c>
      <c r="G248" s="1" t="n">
        <v>0.343912601</v>
      </c>
      <c r="H248" s="1" t="n">
        <v>0.351164103</v>
      </c>
      <c r="I248" s="1" t="n">
        <v>0.358620882</v>
      </c>
      <c r="J248" s="1" t="n">
        <v>0.353214502</v>
      </c>
      <c r="K248" s="1" t="n">
        <v>0.357192993</v>
      </c>
      <c r="L248" s="1" t="n">
        <v>0.358403206</v>
      </c>
      <c r="M248" s="1" t="n">
        <v>0.356837511</v>
      </c>
      <c r="N248" s="1" t="n">
        <v>0.354979515</v>
      </c>
      <c r="O248" s="1" t="n">
        <v>0.359248161</v>
      </c>
      <c r="P248" s="1" t="n">
        <v>0.360784531</v>
      </c>
      <c r="R248" s="1" t="n">
        <f aca="false">PERCENTILE(G248:P248,0.9)</f>
        <v>0.359401798</v>
      </c>
      <c r="S248" s="5" t="n">
        <f aca="false">spmv_1!R$14/R248</f>
        <v>3.07328502207438</v>
      </c>
      <c r="T248" s="6" t="n">
        <f aca="false">S248/64</f>
        <v>0.0480200784699121</v>
      </c>
    </row>
    <row r="249" customFormat="false" ht="15" hidden="false" customHeight="false" outlineLevel="0" collapsed="false">
      <c r="A249" s="1" t="s">
        <v>18</v>
      </c>
      <c r="B249" s="1" t="n">
        <v>46</v>
      </c>
      <c r="D249" s="1" t="n">
        <v>12103458</v>
      </c>
      <c r="E249" s="1" t="n">
        <v>0.067596</v>
      </c>
      <c r="G249" s="1" t="n">
        <v>0.347965002</v>
      </c>
      <c r="H249" s="1" t="n">
        <v>0.353414536</v>
      </c>
      <c r="I249" s="1" t="n">
        <v>0.360143185</v>
      </c>
      <c r="J249" s="1" t="n">
        <v>0.356457233</v>
      </c>
      <c r="K249" s="1" t="n">
        <v>0.36032033</v>
      </c>
      <c r="L249" s="1" t="n">
        <v>0.361463547</v>
      </c>
      <c r="M249" s="1" t="n">
        <v>0.359357834</v>
      </c>
      <c r="N249" s="1" t="n">
        <v>0.357572794</v>
      </c>
      <c r="O249" s="1" t="n">
        <v>0.361429691</v>
      </c>
      <c r="P249" s="1" t="n">
        <v>0.362986565</v>
      </c>
      <c r="R249" s="1" t="n">
        <f aca="false">PERCENTILE(G249:P249,0.9)</f>
        <v>0.3616158488</v>
      </c>
      <c r="S249" s="5" t="n">
        <f aca="false">spmv_1!R$14/R249</f>
        <v>3.05446834358992</v>
      </c>
      <c r="T249" s="6" t="n">
        <f aca="false">S249/64</f>
        <v>0.0477260678685926</v>
      </c>
    </row>
    <row r="250" customFormat="false" ht="15" hidden="false" customHeight="false" outlineLevel="0" collapsed="false">
      <c r="A250" s="1" t="s">
        <v>18</v>
      </c>
      <c r="B250" s="1" t="n">
        <v>47</v>
      </c>
      <c r="D250" s="1" t="n">
        <v>12101306</v>
      </c>
      <c r="E250" s="1" t="n">
        <v>0.068129</v>
      </c>
      <c r="G250" s="1" t="n">
        <v>0.345734119</v>
      </c>
      <c r="H250" s="1" t="n">
        <v>0.350168943</v>
      </c>
      <c r="I250" s="1" t="n">
        <v>0.356759548</v>
      </c>
      <c r="J250" s="1" t="n">
        <v>0.35414052</v>
      </c>
      <c r="K250" s="1" t="n">
        <v>0.357504368</v>
      </c>
      <c r="L250" s="1" t="n">
        <v>0.357824326</v>
      </c>
      <c r="M250" s="1" t="n">
        <v>0.355724335</v>
      </c>
      <c r="N250" s="1" t="n">
        <v>0.355573177</v>
      </c>
      <c r="O250" s="1" t="n">
        <v>0.357875109</v>
      </c>
      <c r="P250" s="1" t="n">
        <v>0.361163139</v>
      </c>
      <c r="R250" s="1" t="n">
        <f aca="false">PERCENTILE(G250:P250,0.9)</f>
        <v>0.358203912</v>
      </c>
      <c r="S250" s="5" t="n">
        <f aca="false">spmv_1!R$14/R250</f>
        <v>3.08356253434775</v>
      </c>
      <c r="T250" s="6" t="n">
        <f aca="false">S250/64</f>
        <v>0.0481806645991837</v>
      </c>
    </row>
    <row r="251" customFormat="false" ht="15" hidden="false" customHeight="false" outlineLevel="0" collapsed="false">
      <c r="A251" s="1" t="s">
        <v>18</v>
      </c>
      <c r="B251" s="1" t="n">
        <v>48</v>
      </c>
      <c r="D251" s="1" t="n">
        <v>12099878</v>
      </c>
      <c r="E251" s="1" t="n">
        <v>0.068995</v>
      </c>
      <c r="G251" s="1" t="n">
        <v>0.341558456</v>
      </c>
      <c r="H251" s="1" t="n">
        <v>0.346425772</v>
      </c>
      <c r="I251" s="1" t="n">
        <v>0.351880789</v>
      </c>
      <c r="J251" s="1" t="n">
        <v>0.349900723</v>
      </c>
      <c r="K251" s="1" t="n">
        <v>0.352500677</v>
      </c>
      <c r="L251" s="1" t="n">
        <v>0.35240674</v>
      </c>
      <c r="M251" s="1" t="n">
        <v>0.35212779</v>
      </c>
      <c r="N251" s="1" t="n">
        <v>0.3519454</v>
      </c>
      <c r="O251" s="1" t="n">
        <v>0.352538586</v>
      </c>
      <c r="P251" s="1" t="n">
        <v>0.356156588</v>
      </c>
      <c r="R251" s="1" t="n">
        <f aca="false">PERCENTILE(G251:P251,0.9)</f>
        <v>0.3529003862</v>
      </c>
      <c r="S251" s="5" t="n">
        <f aca="false">spmv_1!R$14/R251</f>
        <v>3.12990352488314</v>
      </c>
      <c r="T251" s="6" t="n">
        <f aca="false">S251/64</f>
        <v>0.048904742576299</v>
      </c>
    </row>
    <row r="252" customFormat="false" ht="15" hidden="false" customHeight="false" outlineLevel="0" collapsed="false">
      <c r="A252" s="1" t="s">
        <v>18</v>
      </c>
      <c r="B252" s="1" t="n">
        <v>49</v>
      </c>
      <c r="D252" s="1" t="n">
        <v>12099880</v>
      </c>
      <c r="E252" s="1" t="n">
        <v>0.06976</v>
      </c>
      <c r="G252" s="1" t="n">
        <v>0.337414503</v>
      </c>
      <c r="H252" s="1" t="n">
        <v>0.343575001</v>
      </c>
      <c r="I252" s="1" t="n">
        <v>0.34740901</v>
      </c>
      <c r="J252" s="1" t="n">
        <v>0.344945192</v>
      </c>
      <c r="K252" s="1" t="n">
        <v>0.3492589</v>
      </c>
      <c r="L252" s="1" t="n">
        <v>0.348160267</v>
      </c>
      <c r="M252" s="1" t="n">
        <v>0.349728823</v>
      </c>
      <c r="N252" s="1" t="n">
        <v>0.34815383</v>
      </c>
      <c r="O252" s="1" t="n">
        <v>0.349040747</v>
      </c>
      <c r="P252" s="1" t="n">
        <v>0.351314068</v>
      </c>
      <c r="R252" s="1" t="n">
        <f aca="false">PERCENTILE(G252:P252,0.9)</f>
        <v>0.3498873475</v>
      </c>
      <c r="S252" s="5" t="n">
        <f aca="false">spmv_1!R$14/R252</f>
        <v>3.15685654423386</v>
      </c>
      <c r="T252" s="6" t="n">
        <f aca="false">S252/64</f>
        <v>0.049325883503654</v>
      </c>
    </row>
    <row r="253" customFormat="false" ht="15" hidden="false" customHeight="false" outlineLevel="0" collapsed="false">
      <c r="A253" s="1" t="s">
        <v>18</v>
      </c>
      <c r="B253" s="1" t="n">
        <v>50</v>
      </c>
      <c r="D253" s="1" t="n">
        <v>12101316</v>
      </c>
      <c r="E253" s="1" t="n">
        <v>0.070472</v>
      </c>
      <c r="G253" s="1" t="n">
        <v>0.337261677</v>
      </c>
      <c r="H253" s="1" t="n">
        <v>0.340407848</v>
      </c>
      <c r="I253" s="1" t="n">
        <v>0.344291687</v>
      </c>
      <c r="J253" s="1" t="n">
        <v>0.33931756</v>
      </c>
      <c r="K253" s="1" t="n">
        <v>0.346084118</v>
      </c>
      <c r="L253" s="1" t="n">
        <v>0.345091343</v>
      </c>
      <c r="M253" s="1" t="n">
        <v>0.34624958</v>
      </c>
      <c r="N253" s="1" t="n">
        <v>0.344734907</v>
      </c>
      <c r="O253" s="1" t="n">
        <v>0.345148087</v>
      </c>
      <c r="P253" s="1" t="n">
        <v>0.345779181</v>
      </c>
      <c r="R253" s="1" t="n">
        <f aca="false">PERCENTILE(G253:P253,0.9)</f>
        <v>0.3461006642</v>
      </c>
      <c r="S253" s="5" t="n">
        <f aca="false">spmv_1!R$14/R253</f>
        <v>3.19139567458825</v>
      </c>
      <c r="T253" s="6" t="n">
        <f aca="false">S253/64</f>
        <v>0.0498655574154414</v>
      </c>
    </row>
    <row r="254" customFormat="false" ht="15" hidden="false" customHeight="false" outlineLevel="0" collapsed="false">
      <c r="A254" s="1" t="s">
        <v>18</v>
      </c>
      <c r="B254" s="1" t="n">
        <v>51</v>
      </c>
      <c r="D254" s="1" t="n">
        <v>12103470</v>
      </c>
      <c r="E254" s="1" t="n">
        <v>0.071254</v>
      </c>
      <c r="G254" s="1" t="n">
        <v>0.342042208</v>
      </c>
      <c r="H254" s="1" t="n">
        <v>0.335981846</v>
      </c>
      <c r="I254" s="1" t="n">
        <v>0.337908268</v>
      </c>
      <c r="J254" s="1" t="n">
        <v>0.332738161</v>
      </c>
      <c r="K254" s="1" t="n">
        <v>0.339580536</v>
      </c>
      <c r="L254" s="1" t="n">
        <v>0.340510607</v>
      </c>
      <c r="M254" s="1" t="n">
        <v>0.340095282</v>
      </c>
      <c r="N254" s="1" t="n">
        <v>0.340285301</v>
      </c>
      <c r="O254" s="1" t="n">
        <v>0.348386765</v>
      </c>
      <c r="P254" s="1" t="n">
        <v>0.339729548</v>
      </c>
      <c r="R254" s="1" t="n">
        <f aca="false">PERCENTILE(G254:P254,0.9)</f>
        <v>0.3426766637</v>
      </c>
      <c r="S254" s="5" t="n">
        <f aca="false">spmv_1!R$14/R254</f>
        <v>3.22328386991355</v>
      </c>
      <c r="T254" s="6" t="n">
        <f aca="false">S254/64</f>
        <v>0.0503638104673992</v>
      </c>
    </row>
    <row r="255" customFormat="false" ht="15" hidden="false" customHeight="false" outlineLevel="0" collapsed="false">
      <c r="A255" s="1" t="s">
        <v>18</v>
      </c>
      <c r="B255" s="1" t="n">
        <v>52</v>
      </c>
      <c r="D255" s="1" t="n">
        <v>12105624</v>
      </c>
      <c r="E255" s="1" t="n">
        <v>0.071901</v>
      </c>
      <c r="G255" s="1" t="n">
        <v>0.345936775</v>
      </c>
      <c r="H255" s="1" t="n">
        <v>0.332669497</v>
      </c>
      <c r="I255" s="1" t="n">
        <v>0.331099033</v>
      </c>
      <c r="J255" s="1" t="n">
        <v>0.326975346</v>
      </c>
      <c r="K255" s="1" t="n">
        <v>0.333080769</v>
      </c>
      <c r="L255" s="1" t="n">
        <v>0.334443808</v>
      </c>
      <c r="M255" s="1" t="n">
        <v>0.336094618</v>
      </c>
      <c r="N255" s="1" t="n">
        <v>0.335765123</v>
      </c>
      <c r="O255" s="1" t="n">
        <v>0.35482192</v>
      </c>
      <c r="P255" s="1" t="n">
        <v>0.336398125</v>
      </c>
      <c r="R255" s="1" t="n">
        <f aca="false">PERCENTILE(G255:P255,0.9)</f>
        <v>0.3468252895</v>
      </c>
      <c r="S255" s="5" t="n">
        <f aca="false">spmv_1!R$14/R255</f>
        <v>3.18472786195137</v>
      </c>
      <c r="T255" s="6" t="n">
        <f aca="false">S255/64</f>
        <v>0.0497613728429902</v>
      </c>
    </row>
    <row r="256" customFormat="false" ht="15" hidden="false" customHeight="false" outlineLevel="0" collapsed="false">
      <c r="A256" s="1" t="s">
        <v>18</v>
      </c>
      <c r="B256" s="1" t="n">
        <v>53</v>
      </c>
      <c r="D256" s="1" t="n">
        <v>12105624</v>
      </c>
      <c r="E256" s="1" t="n">
        <v>0.085401</v>
      </c>
      <c r="G256" s="1" t="n">
        <v>0.28526473</v>
      </c>
      <c r="H256" s="1" t="n">
        <v>0.278329372</v>
      </c>
      <c r="I256" s="1" t="n">
        <v>0.280011415</v>
      </c>
      <c r="J256" s="1" t="n">
        <v>0.278430462</v>
      </c>
      <c r="K256" s="1" t="n">
        <v>0.281221628</v>
      </c>
      <c r="L256" s="1" t="n">
        <v>0.284826756</v>
      </c>
      <c r="M256" s="1" t="n">
        <v>0.284810066</v>
      </c>
      <c r="N256" s="1" t="n">
        <v>0.281504631</v>
      </c>
      <c r="O256" s="1" t="n">
        <v>0.296515226</v>
      </c>
      <c r="P256" s="1" t="n">
        <v>0.284096718</v>
      </c>
      <c r="R256" s="1" t="n">
        <f aca="false">PERCENTILE(G256:P256,0.9)</f>
        <v>0.2863897796</v>
      </c>
      <c r="S256" s="5" t="n">
        <f aca="false">spmv_1!R$14/R256</f>
        <v>3.85678624510524</v>
      </c>
      <c r="T256" s="6" t="n">
        <f aca="false">S256/64</f>
        <v>0.0602622850797693</v>
      </c>
    </row>
    <row r="257" customFormat="false" ht="15" hidden="false" customHeight="false" outlineLevel="0" collapsed="false">
      <c r="A257" s="1" t="s">
        <v>18</v>
      </c>
      <c r="B257" s="1" t="n">
        <v>54</v>
      </c>
      <c r="D257" s="1" t="n">
        <v>12103470</v>
      </c>
      <c r="E257" s="1" t="n">
        <v>0.071238</v>
      </c>
      <c r="G257" s="1" t="n">
        <v>0.346873045</v>
      </c>
      <c r="H257" s="1" t="n">
        <v>0.334414482</v>
      </c>
      <c r="I257" s="1" t="n">
        <v>0.328850031</v>
      </c>
      <c r="J257" s="1" t="n">
        <v>0.332816362</v>
      </c>
      <c r="K257" s="1" t="n">
        <v>0.335817814</v>
      </c>
      <c r="L257" s="1" t="n">
        <v>0.338607311</v>
      </c>
      <c r="M257" s="1" t="n">
        <v>0.342406511</v>
      </c>
      <c r="N257" s="1" t="n">
        <v>0.339900732</v>
      </c>
      <c r="O257" s="1" t="n">
        <v>0.358000994</v>
      </c>
      <c r="P257" s="1" t="n">
        <v>0.340348959</v>
      </c>
      <c r="R257" s="1" t="n">
        <f aca="false">PERCENTILE(G257:P257,0.9)</f>
        <v>0.3479858399</v>
      </c>
      <c r="S257" s="5" t="n">
        <f aca="false">spmv_1!R$14/R257</f>
        <v>3.17410663323948</v>
      </c>
      <c r="T257" s="6" t="n">
        <f aca="false">S257/64</f>
        <v>0.0495954161443668</v>
      </c>
    </row>
    <row r="258" customFormat="false" ht="15" hidden="false" customHeight="false" outlineLevel="0" collapsed="false">
      <c r="A258" s="1" t="s">
        <v>18</v>
      </c>
      <c r="B258" s="1" t="n">
        <v>55</v>
      </c>
      <c r="D258" s="1" t="n">
        <v>12101316</v>
      </c>
      <c r="E258" s="1" t="n">
        <v>0.081404</v>
      </c>
      <c r="G258" s="1" t="n">
        <v>0.298157215</v>
      </c>
      <c r="H258" s="1" t="n">
        <v>0.293225765</v>
      </c>
      <c r="I258" s="1" t="n">
        <v>0.294903278</v>
      </c>
      <c r="J258" s="1" t="n">
        <v>0.291530609</v>
      </c>
      <c r="K258" s="1" t="n">
        <v>0.295763731</v>
      </c>
      <c r="L258" s="1" t="n">
        <v>0.299522877</v>
      </c>
      <c r="M258" s="1" t="n">
        <v>0.297432899</v>
      </c>
      <c r="N258" s="1" t="n">
        <v>0.295234919</v>
      </c>
      <c r="O258" s="1" t="n">
        <v>0.309548616</v>
      </c>
      <c r="P258" s="1" t="n">
        <v>0.297818899</v>
      </c>
      <c r="R258" s="1" t="n">
        <f aca="false">PERCENTILE(G258:P258,0.9)</f>
        <v>0.3005254509</v>
      </c>
      <c r="S258" s="5" t="n">
        <f aca="false">spmv_1!R$14/R258</f>
        <v>3.67537644280097</v>
      </c>
      <c r="T258" s="6" t="n">
        <f aca="false">S258/64</f>
        <v>0.0574277569187652</v>
      </c>
    </row>
    <row r="259" customFormat="false" ht="15" hidden="false" customHeight="false" outlineLevel="0" collapsed="false">
      <c r="A259" s="1" t="s">
        <v>18</v>
      </c>
      <c r="B259" s="1" t="n">
        <v>56</v>
      </c>
      <c r="D259" s="1" t="n">
        <v>12099162</v>
      </c>
      <c r="E259" s="1" t="n">
        <v>0.080019</v>
      </c>
      <c r="G259" s="1" t="n">
        <v>0.302835703</v>
      </c>
      <c r="H259" s="1" t="n">
        <v>0.298253059</v>
      </c>
      <c r="I259" s="1" t="n">
        <v>0.300714493</v>
      </c>
      <c r="J259" s="1" t="n">
        <v>0.296807051</v>
      </c>
      <c r="K259" s="1" t="n">
        <v>0.301284552</v>
      </c>
      <c r="L259" s="1" t="n">
        <v>0.304209232</v>
      </c>
      <c r="M259" s="1" t="n">
        <v>0.303207636</v>
      </c>
      <c r="N259" s="1" t="n">
        <v>0.300488234</v>
      </c>
      <c r="O259" s="1" t="n">
        <v>0.313769102</v>
      </c>
      <c r="P259" s="1" t="n">
        <v>0.302520752</v>
      </c>
      <c r="R259" s="1" t="n">
        <f aca="false">PERCENTILE(G259:P259,0.9)</f>
        <v>0.305165219</v>
      </c>
      <c r="S259" s="5" t="n">
        <f aca="false">spmv_1!R$14/R259</f>
        <v>3.61949558445584</v>
      </c>
      <c r="T259" s="6" t="n">
        <f aca="false">S259/64</f>
        <v>0.0565546185071225</v>
      </c>
    </row>
    <row r="260" customFormat="false" ht="15" hidden="false" customHeight="false" outlineLevel="0" collapsed="false">
      <c r="A260" s="1" t="s">
        <v>18</v>
      </c>
      <c r="B260" s="1" t="n">
        <v>57</v>
      </c>
      <c r="D260" s="1" t="n">
        <v>12099162</v>
      </c>
      <c r="E260" s="1" t="n">
        <v>0.079485</v>
      </c>
      <c r="G260" s="1" t="n">
        <v>0.304856062</v>
      </c>
      <c r="H260" s="1" t="n">
        <v>0.300211191</v>
      </c>
      <c r="I260" s="1" t="n">
        <v>0.303560495</v>
      </c>
      <c r="J260" s="1" t="n">
        <v>0.299053669</v>
      </c>
      <c r="K260" s="1" t="n">
        <v>0.303021669</v>
      </c>
      <c r="L260" s="1" t="n">
        <v>0.306178093</v>
      </c>
      <c r="M260" s="1" t="n">
        <v>0.305010319</v>
      </c>
      <c r="N260" s="1" t="n">
        <v>0.302293777</v>
      </c>
      <c r="O260" s="1" t="n">
        <v>0.315933228</v>
      </c>
      <c r="P260" s="1" t="n">
        <v>0.304252625</v>
      </c>
      <c r="R260" s="1" t="n">
        <f aca="false">PERCENTILE(G260:P260,0.9)</f>
        <v>0.3071536065</v>
      </c>
      <c r="S260" s="5" t="n">
        <f aca="false">spmv_1!R$14/R260</f>
        <v>3.59606444243395</v>
      </c>
      <c r="T260" s="6" t="n">
        <f aca="false">S260/64</f>
        <v>0.0561885069130305</v>
      </c>
    </row>
    <row r="261" customFormat="false" ht="15" hidden="false" customHeight="false" outlineLevel="0" collapsed="false">
      <c r="A261" s="1" t="s">
        <v>18</v>
      </c>
      <c r="B261" s="1" t="n">
        <v>58</v>
      </c>
      <c r="D261" s="1" t="n">
        <v>12101316</v>
      </c>
      <c r="E261" s="1" t="n">
        <v>0.080916</v>
      </c>
      <c r="G261" s="1" t="n">
        <v>0.299691677</v>
      </c>
      <c r="H261" s="1" t="n">
        <v>0.295128107</v>
      </c>
      <c r="I261" s="1" t="n">
        <v>0.296060324</v>
      </c>
      <c r="J261" s="1" t="n">
        <v>0.294173002</v>
      </c>
      <c r="K261" s="1" t="n">
        <v>0.296665668</v>
      </c>
      <c r="L261" s="1" t="n">
        <v>0.299970388</v>
      </c>
      <c r="M261" s="1" t="n">
        <v>0.300357103</v>
      </c>
      <c r="N261" s="1" t="n">
        <v>0.29718852</v>
      </c>
      <c r="O261" s="1" t="n">
        <v>0.312300205</v>
      </c>
      <c r="P261" s="1" t="n">
        <v>0.29952836</v>
      </c>
      <c r="R261" s="1" t="n">
        <f aca="false">PERCENTILE(G261:P261,0.9)</f>
        <v>0.3015514132</v>
      </c>
      <c r="S261" s="5" t="n">
        <f aca="false">spmv_1!R$14/R261</f>
        <v>3.66287178355031</v>
      </c>
      <c r="T261" s="6" t="n">
        <f aca="false">S261/64</f>
        <v>0.0572323716179736</v>
      </c>
    </row>
    <row r="262" customFormat="false" ht="15" hidden="false" customHeight="false" outlineLevel="0" collapsed="false">
      <c r="A262" s="1" t="s">
        <v>18</v>
      </c>
      <c r="B262" s="1" t="n">
        <v>59</v>
      </c>
      <c r="D262" s="1" t="n">
        <v>12103470</v>
      </c>
      <c r="E262" s="1" t="n">
        <v>0.077784</v>
      </c>
      <c r="G262" s="1" t="n">
        <v>0.311046362</v>
      </c>
      <c r="H262" s="1" t="n">
        <v>0.30608201</v>
      </c>
      <c r="I262" s="1" t="n">
        <v>0.31045866</v>
      </c>
      <c r="J262" s="1" t="n">
        <v>0.306248426</v>
      </c>
      <c r="K262" s="1" t="n">
        <v>0.309027433</v>
      </c>
      <c r="L262" s="1" t="n">
        <v>0.31327486</v>
      </c>
      <c r="M262" s="1" t="n">
        <v>0.312221527</v>
      </c>
      <c r="N262" s="1" t="n">
        <v>0.308391571</v>
      </c>
      <c r="O262" s="1" t="n">
        <v>0.322866201</v>
      </c>
      <c r="P262" s="1" t="n">
        <v>0.312469006</v>
      </c>
      <c r="R262" s="1" t="n">
        <f aca="false">PERCENTILE(G262:P262,0.9)</f>
        <v>0.3142339941</v>
      </c>
      <c r="S262" s="5" t="n">
        <f aca="false">spmv_1!R$14/R262</f>
        <v>3.51503714887224</v>
      </c>
      <c r="T262" s="6" t="n">
        <f aca="false">S262/64</f>
        <v>0.0549224554511288</v>
      </c>
    </row>
    <row r="263" customFormat="false" ht="15" hidden="false" customHeight="false" outlineLevel="0" collapsed="false">
      <c r="A263" s="1" t="s">
        <v>18</v>
      </c>
      <c r="B263" s="1" t="n">
        <v>60</v>
      </c>
      <c r="D263" s="1" t="n">
        <v>12105624</v>
      </c>
      <c r="E263" s="1" t="n">
        <v>0.076983</v>
      </c>
      <c r="G263" s="1" t="n">
        <v>0.315120935</v>
      </c>
      <c r="H263" s="1" t="n">
        <v>0.30893755</v>
      </c>
      <c r="I263" s="1" t="n">
        <v>0.31334877</v>
      </c>
      <c r="J263" s="1" t="n">
        <v>0.309995413</v>
      </c>
      <c r="K263" s="1" t="n">
        <v>0.31279397</v>
      </c>
      <c r="L263" s="1" t="n">
        <v>0.316133499</v>
      </c>
      <c r="M263" s="1" t="n">
        <v>0.315101862</v>
      </c>
      <c r="N263" s="1" t="n">
        <v>0.311347008</v>
      </c>
      <c r="O263" s="1" t="n">
        <v>0.327008009</v>
      </c>
      <c r="P263" s="1" t="n">
        <v>0.315241575</v>
      </c>
      <c r="R263" s="1" t="n">
        <f aca="false">PERCENTILE(G263:P263,0.9)</f>
        <v>0.31722095</v>
      </c>
      <c r="S263" s="5" t="n">
        <f aca="false">spmv_1!R$14/R263</f>
        <v>3.48193952101839</v>
      </c>
      <c r="T263" s="6" t="n">
        <f aca="false">S263/64</f>
        <v>0.0544053050159124</v>
      </c>
    </row>
    <row r="264" customFormat="false" ht="15" hidden="false" customHeight="false" outlineLevel="0" collapsed="false">
      <c r="A264" s="1" t="s">
        <v>18</v>
      </c>
      <c r="B264" s="1" t="n">
        <v>61</v>
      </c>
      <c r="D264" s="1" t="n">
        <v>12105624</v>
      </c>
      <c r="E264" s="1" t="n">
        <v>0.076297</v>
      </c>
      <c r="G264" s="1" t="n">
        <v>0.317669868</v>
      </c>
      <c r="H264" s="1" t="n">
        <v>0.311726809</v>
      </c>
      <c r="I264" s="1" t="n">
        <v>0.316057444</v>
      </c>
      <c r="J264" s="1" t="n">
        <v>0.312795639</v>
      </c>
      <c r="K264" s="1" t="n">
        <v>0.316389084</v>
      </c>
      <c r="L264" s="1" t="n">
        <v>0.318911791</v>
      </c>
      <c r="M264" s="1" t="n">
        <v>0.317928553</v>
      </c>
      <c r="N264" s="1" t="n">
        <v>0.314038754</v>
      </c>
      <c r="O264" s="1" t="n">
        <v>0.32975173</v>
      </c>
      <c r="P264" s="1" t="n">
        <v>0.318037987</v>
      </c>
      <c r="R264" s="1" t="n">
        <f aca="false">PERCENTILE(G264:P264,0.9)</f>
        <v>0.3199957849</v>
      </c>
      <c r="S264" s="5" t="n">
        <f aca="false">spmv_1!R$14/R264</f>
        <v>3.45174597548269</v>
      </c>
      <c r="T264" s="6" t="n">
        <f aca="false">S264/64</f>
        <v>0.0539335308669171</v>
      </c>
    </row>
    <row r="265" customFormat="false" ht="15" hidden="false" customHeight="false" outlineLevel="0" collapsed="false">
      <c r="A265" s="1" t="s">
        <v>18</v>
      </c>
      <c r="B265" s="1" t="n">
        <v>62</v>
      </c>
      <c r="D265" s="1" t="n">
        <v>12103470</v>
      </c>
      <c r="E265" s="1" t="n">
        <v>0.075101</v>
      </c>
      <c r="G265" s="1" t="n">
        <v>0.323504925</v>
      </c>
      <c r="H265" s="1" t="n">
        <v>0.316581488</v>
      </c>
      <c r="I265" s="1" t="n">
        <v>0.320953369</v>
      </c>
      <c r="J265" s="1" t="n">
        <v>0.317469597</v>
      </c>
      <c r="K265" s="1" t="n">
        <v>0.321071863</v>
      </c>
      <c r="L265" s="1" t="n">
        <v>0.32379961</v>
      </c>
      <c r="M265" s="1" t="n">
        <v>0.323532104</v>
      </c>
      <c r="N265" s="1" t="n">
        <v>0.318838835</v>
      </c>
      <c r="O265" s="1" t="n">
        <v>0.334627867</v>
      </c>
      <c r="P265" s="1" t="n">
        <v>0.322881222</v>
      </c>
      <c r="R265" s="1" t="n">
        <f aca="false">PERCENTILE(G265:P265,0.9)</f>
        <v>0.3248824357</v>
      </c>
      <c r="S265" s="5" t="n">
        <f aca="false">spmv_1!R$14/R265</f>
        <v>3.39982726465382</v>
      </c>
      <c r="T265" s="6" t="n">
        <f aca="false">S265/64</f>
        <v>0.0531223010102159</v>
      </c>
    </row>
    <row r="266" customFormat="false" ht="15" hidden="false" customHeight="false" outlineLevel="0" collapsed="false">
      <c r="A266" s="1" t="s">
        <v>18</v>
      </c>
      <c r="B266" s="1" t="n">
        <v>63</v>
      </c>
      <c r="D266" s="1" t="n">
        <v>12099164</v>
      </c>
      <c r="E266" s="1" t="n">
        <v>0.074738</v>
      </c>
      <c r="G266" s="1" t="n">
        <v>0.324774265</v>
      </c>
      <c r="H266" s="1" t="n">
        <v>0.317847013</v>
      </c>
      <c r="I266" s="1" t="n">
        <v>0.322109461</v>
      </c>
      <c r="J266" s="1" t="n">
        <v>0.319609642</v>
      </c>
      <c r="K266" s="1" t="n">
        <v>0.322421789</v>
      </c>
      <c r="L266" s="1" t="n">
        <v>0.325114727</v>
      </c>
      <c r="M266" s="1" t="n">
        <v>0.324760675</v>
      </c>
      <c r="N266" s="1" t="n">
        <v>0.320137024</v>
      </c>
      <c r="O266" s="1" t="n">
        <v>0.336735249</v>
      </c>
      <c r="P266" s="1" t="n">
        <v>0.324264526</v>
      </c>
      <c r="R266" s="1" t="n">
        <f aca="false">PERCENTILE(G266:P266,0.9)</f>
        <v>0.3262767792</v>
      </c>
      <c r="S266" s="5" t="n">
        <f aca="false">spmv_1!R$14/R266</f>
        <v>3.38529810613014</v>
      </c>
      <c r="T266" s="6" t="n">
        <f aca="false">S266/64</f>
        <v>0.0528952829082834</v>
      </c>
    </row>
    <row r="269" customFormat="false" ht="15" hidden="false" customHeight="false" outlineLevel="0" collapsed="false">
      <c r="A269" s="2" t="s">
        <v>0</v>
      </c>
      <c r="B269" s="2" t="s">
        <v>1</v>
      </c>
      <c r="C269" s="3"/>
      <c r="D269" s="2" t="s">
        <v>2</v>
      </c>
      <c r="E269" s="2" t="s">
        <v>3</v>
      </c>
      <c r="F269" s="3"/>
      <c r="G269" s="2" t="s">
        <v>4</v>
      </c>
      <c r="H269" s="2" t="s">
        <v>5</v>
      </c>
      <c r="I269" s="2" t="s">
        <v>6</v>
      </c>
      <c r="J269" s="2" t="s">
        <v>7</v>
      </c>
      <c r="K269" s="2" t="s">
        <v>8</v>
      </c>
      <c r="L269" s="2" t="s">
        <v>9</v>
      </c>
      <c r="M269" s="2" t="s">
        <v>10</v>
      </c>
      <c r="N269" s="2" t="s">
        <v>11</v>
      </c>
      <c r="O269" s="2" t="s">
        <v>12</v>
      </c>
      <c r="P269" s="2" t="s">
        <v>13</v>
      </c>
      <c r="R269" s="4" t="s">
        <v>14</v>
      </c>
      <c r="S269" s="7" t="s">
        <v>20</v>
      </c>
      <c r="T269" s="8" t="s">
        <v>21</v>
      </c>
    </row>
    <row r="270" customFormat="false" ht="15" hidden="false" customHeight="false" outlineLevel="0" collapsed="false">
      <c r="A270" s="1" t="s">
        <v>19</v>
      </c>
      <c r="B270" s="1" t="n">
        <v>0</v>
      </c>
      <c r="D270" s="1" t="n">
        <v>582355</v>
      </c>
      <c r="E270" s="1" t="n">
        <v>0.115243</v>
      </c>
      <c r="G270" s="1" t="n">
        <v>0.010694504</v>
      </c>
      <c r="H270" s="1" t="n">
        <v>0.010064602</v>
      </c>
      <c r="I270" s="1" t="n">
        <v>0.009966373</v>
      </c>
      <c r="J270" s="1" t="n">
        <v>0.009999037</v>
      </c>
      <c r="K270" s="1" t="n">
        <v>0.010211468</v>
      </c>
      <c r="L270" s="1" t="n">
        <v>0.010121584</v>
      </c>
      <c r="M270" s="1" t="n">
        <v>0.010066748</v>
      </c>
      <c r="N270" s="1" t="n">
        <v>0.009955168</v>
      </c>
      <c r="O270" s="1" t="n">
        <v>0.009990454</v>
      </c>
      <c r="P270" s="1" t="n">
        <v>0.009995461</v>
      </c>
      <c r="R270" s="1" t="n">
        <f aca="false">PERCENTILE(G270:P270,0.9)</f>
        <v>0.0102597716</v>
      </c>
      <c r="S270" s="5" t="n">
        <f aca="false">spmv_1!R$18/R270</f>
        <v>7.55754921483827</v>
      </c>
      <c r="T270" s="6" t="n">
        <f aca="false">S270/64</f>
        <v>0.118086706481848</v>
      </c>
    </row>
    <row r="271" customFormat="false" ht="15" hidden="false" customHeight="false" outlineLevel="0" collapsed="false">
      <c r="A271" s="1" t="s">
        <v>19</v>
      </c>
      <c r="B271" s="1" t="n">
        <v>1</v>
      </c>
      <c r="D271" s="1" t="n">
        <v>575611</v>
      </c>
      <c r="E271" s="1" t="n">
        <v>0.123287</v>
      </c>
      <c r="G271" s="1" t="n">
        <v>0.009773731</v>
      </c>
      <c r="H271" s="1" t="n">
        <v>0.009278297</v>
      </c>
      <c r="I271" s="1" t="n">
        <v>0.009167194</v>
      </c>
      <c r="J271" s="1" t="n">
        <v>0.009252548</v>
      </c>
      <c r="K271" s="1" t="n">
        <v>0.009421587</v>
      </c>
      <c r="L271" s="1" t="n">
        <v>0.009319544</v>
      </c>
      <c r="M271" s="1" t="n">
        <v>0.009279728</v>
      </c>
      <c r="N271" s="1" t="n">
        <v>0.009192467</v>
      </c>
      <c r="O271" s="1" t="n">
        <v>0.009337425</v>
      </c>
      <c r="P271" s="1" t="n">
        <v>0.009354591</v>
      </c>
      <c r="R271" s="1" t="n">
        <f aca="false">PERCENTILE(G271:P271,0.9)</f>
        <v>0.0094568014</v>
      </c>
      <c r="S271" s="5" t="n">
        <f aca="false">spmv_1!R$18/R271</f>
        <v>8.19925527885147</v>
      </c>
      <c r="T271" s="6" t="n">
        <f aca="false">S271/64</f>
        <v>0.128113363732054</v>
      </c>
    </row>
    <row r="272" customFormat="false" ht="15" hidden="false" customHeight="false" outlineLevel="0" collapsed="false">
      <c r="A272" s="1" t="s">
        <v>19</v>
      </c>
      <c r="B272" s="1" t="n">
        <v>2</v>
      </c>
      <c r="D272" s="1" t="n">
        <v>571734</v>
      </c>
      <c r="E272" s="1" t="n">
        <v>0.119009</v>
      </c>
      <c r="G272" s="1" t="n">
        <v>0.010154724</v>
      </c>
      <c r="H272" s="1" t="n">
        <v>0.009564877</v>
      </c>
      <c r="I272" s="1" t="n">
        <v>0.00948</v>
      </c>
      <c r="J272" s="1" t="n">
        <v>0.009533644</v>
      </c>
      <c r="K272" s="1" t="n">
        <v>0.009666443</v>
      </c>
      <c r="L272" s="1" t="n">
        <v>0.009598017</v>
      </c>
      <c r="M272" s="1" t="n">
        <v>0.009561777</v>
      </c>
      <c r="N272" s="1" t="n">
        <v>0.009440184</v>
      </c>
      <c r="O272" s="1" t="n">
        <v>0.009539127</v>
      </c>
      <c r="P272" s="1" t="n">
        <v>0.009543896</v>
      </c>
      <c r="R272" s="1" t="n">
        <f aca="false">PERCENTILE(G272:P272,0.9)</f>
        <v>0.0097152711</v>
      </c>
      <c r="S272" s="5" t="n">
        <f aca="false">spmv_1!R$18/R272</f>
        <v>7.98111838587808</v>
      </c>
      <c r="T272" s="6" t="n">
        <f aca="false">S272/64</f>
        <v>0.124704974779345</v>
      </c>
    </row>
    <row r="273" customFormat="false" ht="15" hidden="false" customHeight="false" outlineLevel="0" collapsed="false">
      <c r="A273" s="1" t="s">
        <v>19</v>
      </c>
      <c r="B273" s="1" t="n">
        <v>3</v>
      </c>
      <c r="D273" s="1" t="n">
        <v>594990</v>
      </c>
      <c r="E273" s="1" t="n">
        <v>0.116298</v>
      </c>
      <c r="G273" s="1" t="n">
        <v>0.010734558</v>
      </c>
      <c r="H273" s="1" t="n">
        <v>0.0102458</v>
      </c>
      <c r="I273" s="1" t="n">
        <v>0.010058165</v>
      </c>
      <c r="J273" s="1" t="n">
        <v>0.010159254</v>
      </c>
      <c r="K273" s="1" t="n">
        <v>0.010344982</v>
      </c>
      <c r="L273" s="1" t="n">
        <v>0.010222435</v>
      </c>
      <c r="M273" s="1" t="n">
        <v>0.010192633</v>
      </c>
      <c r="N273" s="1" t="n">
        <v>0.010121822</v>
      </c>
      <c r="O273" s="1" t="n">
        <v>0.010103703</v>
      </c>
      <c r="P273" s="1" t="n">
        <v>0.010138035</v>
      </c>
      <c r="R273" s="1" t="n">
        <f aca="false">PERCENTILE(G273:P273,0.9)</f>
        <v>0.0103839396</v>
      </c>
      <c r="S273" s="5" t="n">
        <f aca="false">spmv_1!R$18/R273</f>
        <v>7.46717833374146</v>
      </c>
      <c r="T273" s="6" t="n">
        <f aca="false">S273/64</f>
        <v>0.11667466146471</v>
      </c>
    </row>
    <row r="274" customFormat="false" ht="15" hidden="false" customHeight="false" outlineLevel="0" collapsed="false">
      <c r="A274" s="1" t="s">
        <v>19</v>
      </c>
      <c r="B274" s="1" t="n">
        <v>4</v>
      </c>
      <c r="D274" s="1" t="n">
        <v>582226</v>
      </c>
      <c r="E274" s="1" t="n">
        <v>0.122759</v>
      </c>
      <c r="G274" s="1" t="n">
        <v>0.010120869</v>
      </c>
      <c r="H274" s="1" t="n">
        <v>0.009468555</v>
      </c>
      <c r="I274" s="1" t="n">
        <v>0.009387016</v>
      </c>
      <c r="J274" s="1" t="n">
        <v>0.009426594</v>
      </c>
      <c r="K274" s="1" t="n">
        <v>0.009525537</v>
      </c>
      <c r="L274" s="1" t="n">
        <v>0.009416103</v>
      </c>
      <c r="M274" s="1" t="n">
        <v>0.009429455</v>
      </c>
      <c r="N274" s="1" t="n">
        <v>0.009333372</v>
      </c>
      <c r="O274" s="1" t="n">
        <v>0.009374619</v>
      </c>
      <c r="P274" s="1" t="n">
        <v>0.009374857</v>
      </c>
      <c r="R274" s="1" t="n">
        <f aca="false">PERCENTILE(G274:P274,0.9)</f>
        <v>0.0095850702</v>
      </c>
      <c r="S274" s="5" t="n">
        <f aca="false">spmv_1!R$18/R274</f>
        <v>8.08953165517765</v>
      </c>
      <c r="T274" s="6" t="n">
        <f aca="false">S274/64</f>
        <v>0.126398932112151</v>
      </c>
    </row>
    <row r="275" customFormat="false" ht="15" hidden="false" customHeight="false" outlineLevel="0" collapsed="false">
      <c r="A275" s="1" t="s">
        <v>19</v>
      </c>
      <c r="B275" s="1" t="n">
        <v>5</v>
      </c>
      <c r="D275" s="1" t="n">
        <v>574954</v>
      </c>
      <c r="E275" s="1" t="n">
        <v>0.11173</v>
      </c>
      <c r="G275" s="1" t="n">
        <v>0.010850906</v>
      </c>
      <c r="H275" s="1" t="n">
        <v>0.010318279</v>
      </c>
      <c r="I275" s="1" t="n">
        <v>0.010092735</v>
      </c>
      <c r="J275" s="1" t="n">
        <v>0.010216951</v>
      </c>
      <c r="K275" s="1" t="n">
        <v>0.010390043</v>
      </c>
      <c r="L275" s="1" t="n">
        <v>0.01026082</v>
      </c>
      <c r="M275" s="1" t="n">
        <v>0.010256767</v>
      </c>
      <c r="N275" s="1" t="n">
        <v>0.010170937</v>
      </c>
      <c r="O275" s="1" t="n">
        <v>0.010164261</v>
      </c>
      <c r="P275" s="1" t="n">
        <v>0.010196924</v>
      </c>
      <c r="R275" s="1" t="n">
        <f aca="false">PERCENTILE(G275:P275,0.9)</f>
        <v>0.0104361293</v>
      </c>
      <c r="S275" s="5" t="n">
        <f aca="false">spmv_1!R$18/R275</f>
        <v>7.42983596418262</v>
      </c>
      <c r="T275" s="6" t="n">
        <f aca="false">S275/64</f>
        <v>0.116091186940353</v>
      </c>
    </row>
    <row r="276" customFormat="false" ht="15" hidden="false" customHeight="false" outlineLevel="0" collapsed="false">
      <c r="A276" s="1" t="s">
        <v>19</v>
      </c>
      <c r="B276" s="1" t="n">
        <v>6</v>
      </c>
      <c r="D276" s="1" t="n">
        <v>570053</v>
      </c>
      <c r="E276" s="1" t="n">
        <v>0.1171</v>
      </c>
      <c r="G276" s="1" t="n">
        <v>0.01014781</v>
      </c>
      <c r="H276" s="1" t="n">
        <v>0.0097785</v>
      </c>
      <c r="I276" s="1" t="n">
        <v>0.009585381</v>
      </c>
      <c r="J276" s="1" t="n">
        <v>0.009689808</v>
      </c>
      <c r="K276" s="1" t="n">
        <v>0.009830475</v>
      </c>
      <c r="L276" s="1" t="n">
        <v>0.009685755</v>
      </c>
      <c r="M276" s="1" t="n">
        <v>0.009745598</v>
      </c>
      <c r="N276" s="1" t="n">
        <v>0.009580851</v>
      </c>
      <c r="O276" s="1" t="n">
        <v>0.009625673</v>
      </c>
      <c r="P276" s="1" t="n">
        <v>0.009691954</v>
      </c>
      <c r="R276" s="1" t="n">
        <f aca="false">PERCENTILE(G276:P276,0.9)</f>
        <v>0.0098622085</v>
      </c>
      <c r="S276" s="5" t="n">
        <f aca="false">spmv_1!R$18/R276</f>
        <v>7.86220741530662</v>
      </c>
      <c r="T276" s="6" t="n">
        <f aca="false">S276/64</f>
        <v>0.122846990864166</v>
      </c>
    </row>
    <row r="277" customFormat="false" ht="15" hidden="false" customHeight="false" outlineLevel="0" collapsed="false">
      <c r="A277" s="1" t="s">
        <v>19</v>
      </c>
      <c r="B277" s="1" t="n">
        <v>7</v>
      </c>
      <c r="D277" s="1" t="n">
        <v>594070</v>
      </c>
      <c r="E277" s="1" t="n">
        <v>0.114697</v>
      </c>
      <c r="G277" s="1" t="n">
        <v>0.010813236</v>
      </c>
      <c r="H277" s="1" t="n">
        <v>0.010405779</v>
      </c>
      <c r="I277" s="1" t="n">
        <v>0.010151148</v>
      </c>
      <c r="J277" s="1" t="n">
        <v>0.010305166</v>
      </c>
      <c r="K277" s="1" t="n">
        <v>0.010477066</v>
      </c>
      <c r="L277" s="1" t="n">
        <v>0.010338545</v>
      </c>
      <c r="M277" s="1" t="n">
        <v>0.010346889</v>
      </c>
      <c r="N277" s="1" t="n">
        <v>0.010263443</v>
      </c>
      <c r="O277" s="1" t="n">
        <v>0.01021409</v>
      </c>
      <c r="P277" s="1" t="n">
        <v>0.010274172</v>
      </c>
      <c r="R277" s="1" t="n">
        <f aca="false">PERCENTILE(G277:P277,0.9)</f>
        <v>0.010510683</v>
      </c>
      <c r="S277" s="5" t="n">
        <f aca="false">spmv_1!R$18/R277</f>
        <v>7.37713513003865</v>
      </c>
      <c r="T277" s="6" t="n">
        <f aca="false">S277/64</f>
        <v>0.115267736406854</v>
      </c>
    </row>
    <row r="278" customFormat="false" ht="15" hidden="false" customHeight="false" outlineLevel="0" collapsed="false">
      <c r="A278" s="1" t="s">
        <v>19</v>
      </c>
      <c r="B278" s="1" t="n">
        <v>8</v>
      </c>
      <c r="D278" s="1" t="n">
        <v>581177</v>
      </c>
      <c r="E278" s="1" t="n">
        <v>0.117943</v>
      </c>
      <c r="G278" s="1" t="n">
        <v>0.010349035</v>
      </c>
      <c r="H278" s="1" t="n">
        <v>0.009891033</v>
      </c>
      <c r="I278" s="1" t="n">
        <v>0.009649515</v>
      </c>
      <c r="J278" s="1" t="n">
        <v>0.009808302</v>
      </c>
      <c r="K278" s="1" t="n">
        <v>0.009938955</v>
      </c>
      <c r="L278" s="1" t="n">
        <v>0.009787083</v>
      </c>
      <c r="M278" s="1" t="n">
        <v>0.009865284</v>
      </c>
      <c r="N278" s="1" t="n">
        <v>0.009687662</v>
      </c>
      <c r="O278" s="1" t="n">
        <v>0.009706974</v>
      </c>
      <c r="P278" s="1" t="n">
        <v>0.009868622</v>
      </c>
      <c r="R278" s="1" t="n">
        <f aca="false">PERCENTILE(G278:P278,0.9)</f>
        <v>0.009979963</v>
      </c>
      <c r="S278" s="5" t="n">
        <f aca="false">spmv_1!R$18/R278</f>
        <v>7.76944050794577</v>
      </c>
      <c r="T278" s="6" t="n">
        <f aca="false">S278/64</f>
        <v>0.121397507936653</v>
      </c>
    </row>
    <row r="279" customFormat="false" ht="15" hidden="false" customHeight="false" outlineLevel="0" collapsed="false">
      <c r="A279" s="1" t="s">
        <v>19</v>
      </c>
      <c r="B279" s="1" t="n">
        <v>9</v>
      </c>
      <c r="D279" s="1" t="n">
        <v>574153</v>
      </c>
      <c r="E279" s="1" t="n">
        <v>0.11879</v>
      </c>
      <c r="G279" s="1" t="n">
        <v>0.010043383</v>
      </c>
      <c r="H279" s="1" t="n">
        <v>0.009711027</v>
      </c>
      <c r="I279" s="1" t="n">
        <v>0.009386301</v>
      </c>
      <c r="J279" s="1" t="n">
        <v>0.009681702</v>
      </c>
      <c r="K279" s="1" t="n">
        <v>0.009768724</v>
      </c>
      <c r="L279" s="1" t="n">
        <v>0.009627581</v>
      </c>
      <c r="M279" s="1" t="n">
        <v>0.009704351</v>
      </c>
      <c r="N279" s="1" t="n">
        <v>0.009506464</v>
      </c>
      <c r="O279" s="1" t="n">
        <v>0.009525537</v>
      </c>
      <c r="P279" s="1" t="n">
        <v>0.009712219</v>
      </c>
      <c r="R279" s="1" t="n">
        <f aca="false">PERCENTILE(G279:P279,0.9)</f>
        <v>0.0097961899</v>
      </c>
      <c r="S279" s="5" t="n">
        <f aca="false">spmv_1!R$18/R279</f>
        <v>7.9151924974423</v>
      </c>
      <c r="T279" s="6" t="n">
        <f aca="false">S279/64</f>
        <v>0.123674882772536</v>
      </c>
    </row>
    <row r="280" customFormat="false" ht="15" hidden="false" customHeight="false" outlineLevel="0" collapsed="false">
      <c r="A280" s="1" t="s">
        <v>19</v>
      </c>
      <c r="B280" s="1" t="n">
        <v>10</v>
      </c>
      <c r="D280" s="1" t="n">
        <v>570535</v>
      </c>
      <c r="E280" s="1" t="n">
        <v>0.109759</v>
      </c>
      <c r="G280" s="1" t="n">
        <v>0.01082015</v>
      </c>
      <c r="H280" s="1" t="n">
        <v>0.010423183</v>
      </c>
      <c r="I280" s="1" t="n">
        <v>0.010160446</v>
      </c>
      <c r="J280" s="1" t="n">
        <v>0.010378838</v>
      </c>
      <c r="K280" s="1" t="n">
        <v>0.010507107</v>
      </c>
      <c r="L280" s="1" t="n">
        <v>0.010409117</v>
      </c>
      <c r="M280" s="1" t="n">
        <v>0.010405064</v>
      </c>
      <c r="N280" s="1" t="n">
        <v>0.010291815</v>
      </c>
      <c r="O280" s="1" t="n">
        <v>0.01022768</v>
      </c>
      <c r="P280" s="1" t="n">
        <v>0.010338306</v>
      </c>
      <c r="R280" s="1" t="n">
        <f aca="false">PERCENTILE(G280:P280,0.9)</f>
        <v>0.0105384113</v>
      </c>
      <c r="S280" s="5" t="n">
        <f aca="false">spmv_1!R$18/R280</f>
        <v>7.35772466956191</v>
      </c>
      <c r="T280" s="6" t="n">
        <f aca="false">S280/64</f>
        <v>0.114964447961905</v>
      </c>
    </row>
    <row r="281" customFormat="false" ht="15" hidden="false" customHeight="false" outlineLevel="0" collapsed="false">
      <c r="A281" s="1" t="s">
        <v>19</v>
      </c>
      <c r="B281" s="1" t="n">
        <v>11</v>
      </c>
      <c r="D281" s="1" t="n">
        <v>594554</v>
      </c>
      <c r="E281" s="1" t="n">
        <v>0.122506</v>
      </c>
      <c r="G281" s="1" t="n">
        <v>0.010126114</v>
      </c>
      <c r="H281" s="1" t="n">
        <v>0.009750843</v>
      </c>
      <c r="I281" s="1" t="n">
        <v>0.009524345</v>
      </c>
      <c r="J281" s="1" t="n">
        <v>0.009667635</v>
      </c>
      <c r="K281" s="1" t="n">
        <v>0.009788513</v>
      </c>
      <c r="L281" s="1" t="n">
        <v>0.009685755</v>
      </c>
      <c r="M281" s="1" t="n">
        <v>0.009696484</v>
      </c>
      <c r="N281" s="1" t="n">
        <v>0.009660244</v>
      </c>
      <c r="O281" s="1" t="n">
        <v>0.009504795</v>
      </c>
      <c r="P281" s="1" t="n">
        <v>0.009660721</v>
      </c>
      <c r="R281" s="1" t="n">
        <f aca="false">PERCENTILE(G281:P281,0.9)</f>
        <v>0.0098222731</v>
      </c>
      <c r="S281" s="5" t="n">
        <f aca="false">spmv_1!R$18/R281</f>
        <v>7.8941735798407</v>
      </c>
      <c r="T281" s="6" t="n">
        <f aca="false">S281/64</f>
        <v>0.123346462185011</v>
      </c>
    </row>
    <row r="282" customFormat="false" ht="15" hidden="false" customHeight="false" outlineLevel="0" collapsed="false">
      <c r="A282" s="1" t="s">
        <v>19</v>
      </c>
      <c r="B282" s="1" t="n">
        <v>12</v>
      </c>
      <c r="D282" s="1" t="n">
        <v>582607</v>
      </c>
      <c r="E282" s="1" t="n">
        <v>0.121355</v>
      </c>
      <c r="G282" s="1" t="n">
        <v>0.010093927</v>
      </c>
      <c r="H282" s="1" t="n">
        <v>0.009627819</v>
      </c>
      <c r="I282" s="1" t="n">
        <v>0.00944066</v>
      </c>
      <c r="J282" s="1" t="n">
        <v>0.009544611</v>
      </c>
      <c r="K282" s="1" t="n">
        <v>0.009672642</v>
      </c>
      <c r="L282" s="1" t="n">
        <v>0.009496689</v>
      </c>
      <c r="M282" s="1" t="n">
        <v>0.00958395</v>
      </c>
      <c r="N282" s="1" t="n">
        <v>0.009568691</v>
      </c>
      <c r="O282" s="1" t="n">
        <v>0.009433985</v>
      </c>
      <c r="P282" s="1" t="n">
        <v>0.009554386</v>
      </c>
      <c r="R282" s="1" t="n">
        <f aca="false">PERCENTILE(G282:P282,0.9)</f>
        <v>0.0097147705</v>
      </c>
      <c r="S282" s="5" t="n">
        <f aca="false">spmv_1!R$18/R282</f>
        <v>7.98152965116366</v>
      </c>
      <c r="T282" s="6" t="n">
        <f aca="false">S282/64</f>
        <v>0.124711400799432</v>
      </c>
    </row>
    <row r="283" customFormat="false" ht="15" hidden="false" customHeight="false" outlineLevel="0" collapsed="false">
      <c r="A283" s="1" t="s">
        <v>19</v>
      </c>
      <c r="B283" s="1" t="n">
        <v>13</v>
      </c>
      <c r="D283" s="1" t="n">
        <v>573534</v>
      </c>
      <c r="E283" s="1" t="n">
        <v>0.111486</v>
      </c>
      <c r="G283" s="1" t="n">
        <v>0.010726213</v>
      </c>
      <c r="H283" s="1" t="n">
        <v>0.010301352</v>
      </c>
      <c r="I283" s="1" t="n">
        <v>0.01010561</v>
      </c>
      <c r="J283" s="1" t="n">
        <v>0.01020956</v>
      </c>
      <c r="K283" s="1" t="n">
        <v>0.010409117</v>
      </c>
      <c r="L283" s="1" t="n">
        <v>0.010260344</v>
      </c>
      <c r="M283" s="1" t="n">
        <v>0.010244846</v>
      </c>
      <c r="N283" s="1" t="n">
        <v>0.010270834</v>
      </c>
      <c r="O283" s="1" t="n">
        <v>0.010142565</v>
      </c>
      <c r="P283" s="1" t="n">
        <v>0.010218143</v>
      </c>
      <c r="R283" s="1" t="n">
        <f aca="false">PERCENTILE(G283:P283,0.9)</f>
        <v>0.0104408266</v>
      </c>
      <c r="S283" s="5" t="n">
        <f aca="false">spmv_1!R$18/R283</f>
        <v>7.42649330082735</v>
      </c>
      <c r="T283" s="6" t="n">
        <f aca="false">S283/64</f>
        <v>0.116038957825427</v>
      </c>
    </row>
    <row r="284" customFormat="false" ht="15" hidden="false" customHeight="false" outlineLevel="0" collapsed="false">
      <c r="A284" s="1" t="s">
        <v>19</v>
      </c>
      <c r="B284" s="1" t="n">
        <v>14</v>
      </c>
      <c r="D284" s="1" t="n">
        <v>570464</v>
      </c>
      <c r="E284" s="1" t="n">
        <v>0.117963</v>
      </c>
      <c r="G284" s="1" t="n">
        <v>0.01004529</v>
      </c>
      <c r="H284" s="1" t="n">
        <v>0.009697914</v>
      </c>
      <c r="I284" s="1" t="n">
        <v>0.009523392</v>
      </c>
      <c r="J284" s="1" t="n">
        <v>0.009598732</v>
      </c>
      <c r="K284" s="1" t="n">
        <v>0.009764194</v>
      </c>
      <c r="L284" s="1" t="n">
        <v>0.0096066</v>
      </c>
      <c r="M284" s="1" t="n">
        <v>0.009635925</v>
      </c>
      <c r="N284" s="1" t="n">
        <v>0.009627581</v>
      </c>
      <c r="O284" s="1" t="n">
        <v>0.009586334</v>
      </c>
      <c r="P284" s="1" t="n">
        <v>0.009633064</v>
      </c>
      <c r="R284" s="1" t="n">
        <f aca="false">PERCENTILE(G284:P284,0.9)</f>
        <v>0.0097923036</v>
      </c>
      <c r="S284" s="5" t="n">
        <f aca="false">spmv_1!R$18/R284</f>
        <v>7.91833382290149</v>
      </c>
      <c r="T284" s="6" t="n">
        <f aca="false">S284/64</f>
        <v>0.123723965982836</v>
      </c>
    </row>
    <row r="285" customFormat="false" ht="15" hidden="false" customHeight="false" outlineLevel="0" collapsed="false">
      <c r="A285" s="1" t="s">
        <v>19</v>
      </c>
      <c r="B285" s="1" t="n">
        <v>15</v>
      </c>
      <c r="D285" s="1" t="n">
        <v>593844</v>
      </c>
      <c r="E285" s="1" t="n">
        <v>0.115726</v>
      </c>
      <c r="G285" s="1" t="n">
        <v>0.010735273</v>
      </c>
      <c r="H285" s="1" t="n">
        <v>0.010294914</v>
      </c>
      <c r="I285" s="1" t="n">
        <v>0.010075808</v>
      </c>
      <c r="J285" s="1" t="n">
        <v>0.010201693</v>
      </c>
      <c r="K285" s="1" t="n">
        <v>0.010371208</v>
      </c>
      <c r="L285" s="1" t="n">
        <v>0.010246038</v>
      </c>
      <c r="M285" s="1" t="n">
        <v>0.010164261</v>
      </c>
      <c r="N285" s="1" t="n">
        <v>0.010246754</v>
      </c>
      <c r="O285" s="1" t="n">
        <v>0.010136127</v>
      </c>
      <c r="P285" s="1" t="n">
        <v>0.010157108</v>
      </c>
      <c r="R285" s="1" t="n">
        <f aca="false">PERCENTILE(G285:P285,0.9)</f>
        <v>0.0104076145</v>
      </c>
      <c r="S285" s="5" t="n">
        <f aca="false">spmv_1!R$18/R285</f>
        <v>7.45019224145937</v>
      </c>
      <c r="T285" s="6" t="n">
        <f aca="false">S285/64</f>
        <v>0.116409253772803</v>
      </c>
    </row>
    <row r="286" customFormat="false" ht="15" hidden="false" customHeight="false" outlineLevel="0" collapsed="false">
      <c r="A286" s="1" t="s">
        <v>19</v>
      </c>
      <c r="B286" s="1" t="n">
        <v>16</v>
      </c>
      <c r="D286" s="1" t="n">
        <v>581544</v>
      </c>
      <c r="E286" s="1" t="n">
        <v>0.123913</v>
      </c>
      <c r="G286" s="1" t="n">
        <v>0.00993824</v>
      </c>
      <c r="H286" s="1" t="n">
        <v>0.009314299</v>
      </c>
      <c r="I286" s="1" t="n">
        <v>0.009279013</v>
      </c>
      <c r="J286" s="1" t="n">
        <v>0.009267807</v>
      </c>
      <c r="K286" s="1" t="n">
        <v>0.009441614</v>
      </c>
      <c r="L286" s="1" t="n">
        <v>0.009319067</v>
      </c>
      <c r="M286" s="1" t="n">
        <v>0.009311676</v>
      </c>
      <c r="N286" s="1" t="n">
        <v>0.009396553</v>
      </c>
      <c r="O286" s="1" t="n">
        <v>0.009295225</v>
      </c>
      <c r="P286" s="1" t="n">
        <v>0.009299755</v>
      </c>
      <c r="R286" s="1" t="n">
        <f aca="false">PERCENTILE(G286:P286,0.9)</f>
        <v>0.0094912766</v>
      </c>
      <c r="S286" s="5" t="n">
        <f aca="false">spmv_1!R$18/R286</f>
        <v>8.16947309279765</v>
      </c>
      <c r="T286" s="6" t="n">
        <f aca="false">S286/64</f>
        <v>0.127648017074963</v>
      </c>
    </row>
    <row r="287" customFormat="false" ht="15" hidden="false" customHeight="false" outlineLevel="0" collapsed="false">
      <c r="A287" s="1" t="s">
        <v>19</v>
      </c>
      <c r="B287" s="1" t="n">
        <v>17</v>
      </c>
      <c r="D287" s="1" t="n">
        <v>573233</v>
      </c>
      <c r="E287" s="1" t="n">
        <v>0.113231</v>
      </c>
      <c r="G287" s="1" t="n">
        <v>0.0107162</v>
      </c>
      <c r="H287" s="1" t="n">
        <v>0.010099649</v>
      </c>
      <c r="I287" s="1" t="n">
        <v>0.009932041</v>
      </c>
      <c r="J287" s="1" t="n">
        <v>0.009986639</v>
      </c>
      <c r="K287" s="1" t="n">
        <v>0.010223866</v>
      </c>
      <c r="L287" s="1" t="n">
        <v>0.010117531</v>
      </c>
      <c r="M287" s="1" t="n">
        <v>0.01008606</v>
      </c>
      <c r="N287" s="1" t="n">
        <v>0.010091543</v>
      </c>
      <c r="O287" s="1" t="n">
        <v>0.010027647</v>
      </c>
      <c r="P287" s="1" t="n">
        <v>0.009968996</v>
      </c>
      <c r="R287" s="1" t="n">
        <f aca="false">PERCENTILE(G287:P287,0.9)</f>
        <v>0.0102730994</v>
      </c>
      <c r="S287" s="5" t="n">
        <f aca="false">spmv_1!R$18/R287</f>
        <v>7.5477444324154</v>
      </c>
      <c r="T287" s="6" t="n">
        <f aca="false">S287/64</f>
        <v>0.117933506756491</v>
      </c>
    </row>
    <row r="288" customFormat="false" ht="15" hidden="false" customHeight="false" outlineLevel="0" collapsed="false">
      <c r="A288" s="1" t="s">
        <v>19</v>
      </c>
      <c r="B288" s="1" t="n">
        <v>18</v>
      </c>
      <c r="D288" s="1" t="n">
        <v>569433</v>
      </c>
      <c r="E288" s="1" t="n">
        <v>0.123475</v>
      </c>
      <c r="G288" s="1" t="n">
        <v>0.009792566</v>
      </c>
      <c r="H288" s="1" t="n">
        <v>0.009156227</v>
      </c>
      <c r="I288" s="1" t="n">
        <v>0.009135485</v>
      </c>
      <c r="J288" s="1" t="n">
        <v>0.009128809</v>
      </c>
      <c r="K288" s="1" t="n">
        <v>0.009233713</v>
      </c>
      <c r="L288" s="1" t="n">
        <v>0.009147406</v>
      </c>
      <c r="M288" s="1" t="n">
        <v>0.009196043</v>
      </c>
      <c r="N288" s="1" t="n">
        <v>0.009222984</v>
      </c>
      <c r="O288" s="1" t="n">
        <v>0.009174585</v>
      </c>
      <c r="P288" s="1" t="n">
        <v>0.009047031</v>
      </c>
      <c r="R288" s="1" t="n">
        <f aca="false">PERCENTILE(G288:P288,0.9)</f>
        <v>0.0092895983</v>
      </c>
      <c r="S288" s="5" t="n">
        <f aca="false">spmv_1!R$18/R288</f>
        <v>8.34683333939208</v>
      </c>
      <c r="T288" s="6" t="n">
        <f aca="false">S288/64</f>
        <v>0.130419270928001</v>
      </c>
    </row>
    <row r="289" customFormat="false" ht="15" hidden="false" customHeight="false" outlineLevel="0" collapsed="false">
      <c r="A289" s="1" t="s">
        <v>19</v>
      </c>
      <c r="B289" s="1" t="n">
        <v>19</v>
      </c>
      <c r="D289" s="1" t="n">
        <v>593275</v>
      </c>
      <c r="E289" s="1" t="n">
        <v>0.125514</v>
      </c>
      <c r="G289" s="1" t="n">
        <v>0.009955883</v>
      </c>
      <c r="H289" s="1" t="n">
        <v>0.00942874</v>
      </c>
      <c r="I289" s="1" t="n">
        <v>0.009312868</v>
      </c>
      <c r="J289" s="1" t="n">
        <v>0.009344816</v>
      </c>
      <c r="K289" s="1" t="n">
        <v>0.009483337</v>
      </c>
      <c r="L289" s="1" t="n">
        <v>0.009385347</v>
      </c>
      <c r="M289" s="1" t="n">
        <v>0.009420872</v>
      </c>
      <c r="N289" s="1" t="n">
        <v>0.009406567</v>
      </c>
      <c r="O289" s="1" t="n">
        <v>0.009386778</v>
      </c>
      <c r="P289" s="1" t="n">
        <v>0.009409904</v>
      </c>
      <c r="R289" s="1" t="n">
        <f aca="false">PERCENTILE(G289:P289,0.9)</f>
        <v>0.0095305916</v>
      </c>
      <c r="S289" s="5" t="n">
        <f aca="false">spmv_1!R$18/R289</f>
        <v>8.1357728936785</v>
      </c>
      <c r="T289" s="6" t="n">
        <f aca="false">S289/64</f>
        <v>0.127121451463727</v>
      </c>
    </row>
    <row r="290" customFormat="false" ht="15" hidden="false" customHeight="false" outlineLevel="0" collapsed="false">
      <c r="A290" s="1" t="s">
        <v>19</v>
      </c>
      <c r="B290" s="1" t="n">
        <v>20</v>
      </c>
      <c r="D290" s="1" t="n">
        <v>581441</v>
      </c>
      <c r="E290" s="1" t="n">
        <v>0.124863</v>
      </c>
      <c r="G290" s="1" t="n">
        <v>0.009852171</v>
      </c>
      <c r="H290" s="1" t="n">
        <v>0.009286642</v>
      </c>
      <c r="I290" s="1" t="n">
        <v>0.009205103</v>
      </c>
      <c r="J290" s="1" t="n">
        <v>0.009189844</v>
      </c>
      <c r="K290" s="1" t="n">
        <v>0.009326935</v>
      </c>
      <c r="L290" s="1" t="n">
        <v>0.009272575</v>
      </c>
      <c r="M290" s="1" t="n">
        <v>0.009295464</v>
      </c>
      <c r="N290" s="1" t="n">
        <v>0.009263754</v>
      </c>
      <c r="O290" s="1" t="n">
        <v>0.009247303</v>
      </c>
      <c r="P290" s="1" t="n">
        <v>0.009193182</v>
      </c>
      <c r="R290" s="1" t="n">
        <f aca="false">PERCENTILE(G290:P290,0.9)</f>
        <v>0.0093794586</v>
      </c>
      <c r="S290" s="5" t="n">
        <f aca="false">spmv_1!R$18/R290</f>
        <v>8.26686614939587</v>
      </c>
      <c r="T290" s="6" t="n">
        <f aca="false">S290/64</f>
        <v>0.129169783584311</v>
      </c>
    </row>
    <row r="291" customFormat="false" ht="15" hidden="false" customHeight="false" outlineLevel="0" collapsed="false">
      <c r="A291" s="1" t="s">
        <v>19</v>
      </c>
      <c r="B291" s="1" t="n">
        <v>21</v>
      </c>
      <c r="D291" s="1" t="n">
        <v>573267</v>
      </c>
      <c r="E291" s="1" t="n">
        <v>0.128051</v>
      </c>
      <c r="G291" s="1" t="n">
        <v>0.009344578</v>
      </c>
      <c r="H291" s="1" t="n">
        <v>0.008899212</v>
      </c>
      <c r="I291" s="1" t="n">
        <v>0.008788586</v>
      </c>
      <c r="J291" s="1" t="n">
        <v>0.008811235</v>
      </c>
      <c r="K291" s="1" t="n">
        <v>0.009032249</v>
      </c>
      <c r="L291" s="1" t="n">
        <v>0.008871794</v>
      </c>
      <c r="M291" s="1" t="n">
        <v>0.008898973</v>
      </c>
      <c r="N291" s="1" t="n">
        <v>0.008938313</v>
      </c>
      <c r="O291" s="1" t="n">
        <v>0.008979559</v>
      </c>
      <c r="P291" s="1" t="n">
        <v>0.008973122</v>
      </c>
      <c r="R291" s="1" t="n">
        <f aca="false">PERCENTILE(G291:P291,0.9)</f>
        <v>0.0090634819</v>
      </c>
      <c r="S291" s="5" t="n">
        <f aca="false">spmv_1!R$18/R291</f>
        <v>8.55507073942521</v>
      </c>
      <c r="T291" s="6" t="n">
        <f aca="false">S291/64</f>
        <v>0.133672980303519</v>
      </c>
    </row>
    <row r="292" customFormat="false" ht="15" hidden="false" customHeight="false" outlineLevel="0" collapsed="false">
      <c r="A292" s="1" t="s">
        <v>19</v>
      </c>
      <c r="B292" s="1" t="n">
        <v>22</v>
      </c>
      <c r="D292" s="1" t="n">
        <v>570342</v>
      </c>
      <c r="E292" s="1" t="n">
        <v>0.115643</v>
      </c>
      <c r="G292" s="1" t="n">
        <v>0.010373116</v>
      </c>
      <c r="H292" s="1" t="n">
        <v>0.009813786</v>
      </c>
      <c r="I292" s="1" t="n">
        <v>0.009720564</v>
      </c>
      <c r="J292" s="1" t="n">
        <v>0.009722233</v>
      </c>
      <c r="K292" s="1" t="n">
        <v>0.009940386</v>
      </c>
      <c r="L292" s="1" t="n">
        <v>0.009883165</v>
      </c>
      <c r="M292" s="1" t="n">
        <v>0.00980401</v>
      </c>
      <c r="N292" s="1" t="n">
        <v>0.009872437</v>
      </c>
      <c r="O292" s="1" t="n">
        <v>0.00976491</v>
      </c>
      <c r="P292" s="1" t="n">
        <v>0.009743929</v>
      </c>
      <c r="R292" s="1" t="n">
        <f aca="false">PERCENTILE(G292:P292,0.9)</f>
        <v>0.009983659</v>
      </c>
      <c r="S292" s="5" t="n">
        <f aca="false">spmv_1!R$18/R292</f>
        <v>7.76656422259614</v>
      </c>
      <c r="T292" s="6" t="n">
        <f aca="false">S292/64</f>
        <v>0.121352565978065</v>
      </c>
    </row>
    <row r="293" customFormat="false" ht="15" hidden="false" customHeight="false" outlineLevel="0" collapsed="false">
      <c r="A293" s="1" t="s">
        <v>19</v>
      </c>
      <c r="B293" s="1" t="n">
        <v>23</v>
      </c>
      <c r="D293" s="1" t="n">
        <v>593343</v>
      </c>
      <c r="E293" s="1" t="n">
        <v>0.134135</v>
      </c>
      <c r="G293" s="1" t="n">
        <v>0.009376764</v>
      </c>
      <c r="H293" s="1" t="n">
        <v>0.008757114</v>
      </c>
      <c r="I293" s="1" t="n">
        <v>0.00886941</v>
      </c>
      <c r="J293" s="1" t="n">
        <v>0.008708</v>
      </c>
      <c r="K293" s="1" t="n">
        <v>0.008852005</v>
      </c>
      <c r="L293" s="1" t="n">
        <v>0.008737326</v>
      </c>
      <c r="M293" s="1" t="n">
        <v>0.008868217</v>
      </c>
      <c r="N293" s="1" t="n">
        <v>0.00881362</v>
      </c>
      <c r="O293" s="1" t="n">
        <v>0.008838654</v>
      </c>
      <c r="P293" s="1" t="n">
        <v>0.008648634</v>
      </c>
      <c r="R293" s="1" t="n">
        <f aca="false">PERCENTILE(G293:P293,0.9)</f>
        <v>0.0089201454</v>
      </c>
      <c r="S293" s="5" t="n">
        <f aca="false">spmv_1!R$18/R293</f>
        <v>8.69254090858205</v>
      </c>
      <c r="T293" s="6" t="n">
        <f aca="false">S293/64</f>
        <v>0.135820951696595</v>
      </c>
    </row>
    <row r="294" customFormat="false" ht="15" hidden="false" customHeight="false" outlineLevel="0" collapsed="false">
      <c r="A294" s="1" t="s">
        <v>19</v>
      </c>
      <c r="B294" s="1" t="n">
        <v>24</v>
      </c>
      <c r="D294" s="1" t="n">
        <v>582247</v>
      </c>
      <c r="E294" s="1" t="n">
        <v>0.128297</v>
      </c>
      <c r="G294" s="1" t="n">
        <v>0.009495497</v>
      </c>
      <c r="H294" s="1" t="n">
        <v>0.009057522</v>
      </c>
      <c r="I294" s="1" t="n">
        <v>0.009073019</v>
      </c>
      <c r="J294" s="1" t="n">
        <v>0.008909225</v>
      </c>
      <c r="K294" s="1" t="n">
        <v>0.009129047</v>
      </c>
      <c r="L294" s="1" t="n">
        <v>0.008993626</v>
      </c>
      <c r="M294" s="1" t="n">
        <v>0.009057283</v>
      </c>
      <c r="N294" s="1" t="n">
        <v>0.008972168</v>
      </c>
      <c r="O294" s="1" t="n">
        <v>0.009111881</v>
      </c>
      <c r="P294" s="1" t="n">
        <v>0.008965969</v>
      </c>
      <c r="R294" s="1" t="n">
        <f aca="false">PERCENTILE(G294:P294,0.9)</f>
        <v>0.009165692</v>
      </c>
      <c r="S294" s="5" t="n">
        <f aca="false">spmv_1!R$18/R294</f>
        <v>8.45966990817496</v>
      </c>
      <c r="T294" s="6" t="n">
        <f aca="false">S294/64</f>
        <v>0.132182342315234</v>
      </c>
    </row>
    <row r="295" customFormat="false" ht="15" hidden="false" customHeight="false" outlineLevel="0" collapsed="false">
      <c r="A295" s="1" t="s">
        <v>19</v>
      </c>
      <c r="B295" s="1" t="n">
        <v>25</v>
      </c>
      <c r="D295" s="1" t="n">
        <v>573353</v>
      </c>
      <c r="E295" s="1" t="n">
        <v>0.118588</v>
      </c>
      <c r="G295" s="1" t="n">
        <v>0.010174751</v>
      </c>
      <c r="H295" s="1" t="n">
        <v>0.009646893</v>
      </c>
      <c r="I295" s="1" t="n">
        <v>0.009595156</v>
      </c>
      <c r="J295" s="1" t="n">
        <v>0.009433031</v>
      </c>
      <c r="K295" s="1" t="n">
        <v>0.009738445</v>
      </c>
      <c r="L295" s="1" t="n">
        <v>0.009689093</v>
      </c>
      <c r="M295" s="1" t="n">
        <v>0.009680748</v>
      </c>
      <c r="N295" s="1" t="n">
        <v>0.009535074</v>
      </c>
      <c r="O295" s="1" t="n">
        <v>0.009676218</v>
      </c>
      <c r="P295" s="1" t="n">
        <v>0.009527206</v>
      </c>
      <c r="R295" s="1" t="n">
        <f aca="false">PERCENTILE(G295:P295,0.9)</f>
        <v>0.0097820756</v>
      </c>
      <c r="S295" s="5" t="n">
        <f aca="false">spmv_1!R$18/R295</f>
        <v>7.9266131208391</v>
      </c>
      <c r="T295" s="6" t="n">
        <f aca="false">S295/64</f>
        <v>0.123853330013111</v>
      </c>
    </row>
    <row r="296" customFormat="false" ht="15" hidden="false" customHeight="false" outlineLevel="0" collapsed="false">
      <c r="A296" s="1" t="s">
        <v>19</v>
      </c>
      <c r="B296" s="1" t="n">
        <v>26</v>
      </c>
      <c r="D296" s="1" t="n">
        <v>570834</v>
      </c>
      <c r="E296" s="1" t="n">
        <v>0.131361</v>
      </c>
      <c r="G296" s="1" t="n">
        <v>0.008993864</v>
      </c>
      <c r="H296" s="1" t="n">
        <v>0.008543253</v>
      </c>
      <c r="I296" s="1" t="n">
        <v>0.008446932</v>
      </c>
      <c r="J296" s="1" t="n">
        <v>0.008557081</v>
      </c>
      <c r="K296" s="1" t="n">
        <v>0.008752584</v>
      </c>
      <c r="L296" s="1" t="n">
        <v>0.008649111</v>
      </c>
      <c r="M296" s="1" t="n">
        <v>0.008710861</v>
      </c>
      <c r="N296" s="1" t="n">
        <v>0.008589983</v>
      </c>
      <c r="O296" s="1" t="n">
        <v>0.00887394</v>
      </c>
      <c r="P296" s="1" t="n">
        <v>0.008792877</v>
      </c>
      <c r="R296" s="1" t="n">
        <f aca="false">PERCENTILE(G296:P296,0.9)</f>
        <v>0.0088859324</v>
      </c>
      <c r="S296" s="5" t="n">
        <f aca="false">spmv_1!R$18/R296</f>
        <v>8.72600930432466</v>
      </c>
      <c r="T296" s="6" t="n">
        <f aca="false">S296/64</f>
        <v>0.136343895380073</v>
      </c>
    </row>
    <row r="297" customFormat="false" ht="15" hidden="false" customHeight="false" outlineLevel="0" collapsed="false">
      <c r="A297" s="1" t="s">
        <v>19</v>
      </c>
      <c r="B297" s="1" t="n">
        <v>27</v>
      </c>
      <c r="D297" s="1" t="n">
        <v>594280</v>
      </c>
      <c r="E297" s="1" t="n">
        <v>0.123744</v>
      </c>
      <c r="G297" s="1" t="n">
        <v>0.010036707</v>
      </c>
      <c r="H297" s="1" t="n">
        <v>0.009488821</v>
      </c>
      <c r="I297" s="1" t="n">
        <v>0.00935173</v>
      </c>
      <c r="J297" s="1" t="n">
        <v>0.009507895</v>
      </c>
      <c r="K297" s="1" t="n">
        <v>0.009622574</v>
      </c>
      <c r="L297" s="1" t="n">
        <v>0.009665728</v>
      </c>
      <c r="M297" s="1" t="n">
        <v>0.009673834</v>
      </c>
      <c r="N297" s="1" t="n">
        <v>0.00947237</v>
      </c>
      <c r="O297" s="1" t="n">
        <v>0.00968647</v>
      </c>
      <c r="P297" s="1" t="n">
        <v>0.009543657</v>
      </c>
      <c r="R297" s="1" t="n">
        <f aca="false">PERCENTILE(G297:P297,0.9)</f>
        <v>0.0097214937</v>
      </c>
      <c r="S297" s="5" t="n">
        <f aca="false">spmv_1!R$18/R297</f>
        <v>7.97600977718064</v>
      </c>
      <c r="T297" s="6" t="n">
        <f aca="false">S297/64</f>
        <v>0.124625152768448</v>
      </c>
    </row>
    <row r="298" customFormat="false" ht="15" hidden="false" customHeight="false" outlineLevel="0" collapsed="false">
      <c r="A298" s="1" t="s">
        <v>19</v>
      </c>
      <c r="B298" s="1" t="n">
        <v>28</v>
      </c>
      <c r="D298" s="1" t="n">
        <v>581873</v>
      </c>
      <c r="E298" s="1" t="n">
        <v>0.132298</v>
      </c>
      <c r="G298" s="1" t="n">
        <v>0.009274006</v>
      </c>
      <c r="H298" s="1" t="n">
        <v>0.008736134</v>
      </c>
      <c r="I298" s="1" t="n">
        <v>0.008610964</v>
      </c>
      <c r="J298" s="1" t="n">
        <v>0.008818865</v>
      </c>
      <c r="K298" s="1" t="n">
        <v>0.008799076</v>
      </c>
      <c r="L298" s="1" t="n">
        <v>0.008751631</v>
      </c>
      <c r="M298" s="1" t="n">
        <v>0.008719206</v>
      </c>
      <c r="N298" s="1" t="n">
        <v>0.008658171</v>
      </c>
      <c r="O298" s="1" t="n">
        <v>0.008925915</v>
      </c>
      <c r="P298" s="1" t="n">
        <v>0.008670092</v>
      </c>
      <c r="R298" s="1" t="n">
        <f aca="false">PERCENTILE(G298:P298,0.9)</f>
        <v>0.0089607241</v>
      </c>
      <c r="S298" s="5" t="n">
        <f aca="false">spmv_1!R$18/R298</f>
        <v>8.65317667798744</v>
      </c>
      <c r="T298" s="6" t="n">
        <f aca="false">S298/64</f>
        <v>0.135205885593554</v>
      </c>
    </row>
    <row r="299" customFormat="false" ht="15" hidden="false" customHeight="false" outlineLevel="0" collapsed="false">
      <c r="A299" s="1" t="s">
        <v>19</v>
      </c>
      <c r="B299" s="1" t="n">
        <v>29</v>
      </c>
      <c r="D299" s="1" t="n">
        <v>574423</v>
      </c>
      <c r="E299" s="1" t="n">
        <v>0.13556</v>
      </c>
      <c r="G299" s="1" t="n">
        <v>0.008811712</v>
      </c>
      <c r="H299" s="1" t="n">
        <v>0.008371353</v>
      </c>
      <c r="I299" s="1" t="n">
        <v>0.008279562</v>
      </c>
      <c r="J299" s="1" t="n">
        <v>0.008491039</v>
      </c>
      <c r="K299" s="1" t="n">
        <v>0.008536577</v>
      </c>
      <c r="L299" s="1" t="n">
        <v>0.008388996</v>
      </c>
      <c r="M299" s="1" t="n">
        <v>0.00830555</v>
      </c>
      <c r="N299" s="1" t="n">
        <v>0.008403063</v>
      </c>
      <c r="O299" s="1" t="n">
        <v>0.008670092</v>
      </c>
      <c r="P299" s="1" t="n">
        <v>0.008490086</v>
      </c>
      <c r="R299" s="1" t="n">
        <f aca="false">PERCENTILE(G299:P299,0.9)</f>
        <v>0.008684254</v>
      </c>
      <c r="S299" s="5" t="n">
        <f aca="false">spmv_1!R$18/R299</f>
        <v>8.92865740684231</v>
      </c>
      <c r="T299" s="6" t="n">
        <f aca="false">S299/64</f>
        <v>0.139510271981911</v>
      </c>
    </row>
    <row r="300" customFormat="false" ht="15" hidden="false" customHeight="false" outlineLevel="0" collapsed="false">
      <c r="A300" s="1" t="s">
        <v>19</v>
      </c>
      <c r="B300" s="1" t="n">
        <v>30</v>
      </c>
      <c r="D300" s="1" t="n">
        <v>571531</v>
      </c>
      <c r="E300" s="1" t="n">
        <v>0.135786</v>
      </c>
      <c r="G300" s="1" t="n">
        <v>0.008760214</v>
      </c>
      <c r="H300" s="1" t="n">
        <v>0.008308172</v>
      </c>
      <c r="I300" s="1" t="n">
        <v>0.008224249</v>
      </c>
      <c r="J300" s="1" t="n">
        <v>0.008428335</v>
      </c>
      <c r="K300" s="1" t="n">
        <v>0.008486748</v>
      </c>
      <c r="L300" s="1" t="n">
        <v>0.008333921</v>
      </c>
      <c r="M300" s="1" t="n">
        <v>0.00824213</v>
      </c>
      <c r="N300" s="1" t="n">
        <v>0.008353949</v>
      </c>
      <c r="O300" s="1" t="n">
        <v>0.00861907</v>
      </c>
      <c r="P300" s="1" t="n">
        <v>0.00842452</v>
      </c>
      <c r="R300" s="1" t="n">
        <f aca="false">PERCENTILE(G300:P300,0.9)</f>
        <v>0.0086331844</v>
      </c>
      <c r="S300" s="5" t="n">
        <f aca="false">spmv_1!R$18/R300</f>
        <v>8.98147487733495</v>
      </c>
      <c r="T300" s="6" t="n">
        <f aca="false">S300/64</f>
        <v>0.140335544958359</v>
      </c>
    </row>
    <row r="301" customFormat="false" ht="15" hidden="false" customHeight="false" outlineLevel="0" collapsed="false">
      <c r="A301" s="1" t="s">
        <v>19</v>
      </c>
      <c r="B301" s="1" t="n">
        <v>31</v>
      </c>
      <c r="D301" s="1" t="n">
        <v>595511</v>
      </c>
      <c r="E301" s="1" t="n">
        <v>0.143894</v>
      </c>
      <c r="G301" s="1" t="n">
        <v>0.008661985</v>
      </c>
      <c r="H301" s="1" t="n">
        <v>0.008194923</v>
      </c>
      <c r="I301" s="1" t="n">
        <v>0.008110285</v>
      </c>
      <c r="J301" s="1" t="n">
        <v>0.008375168</v>
      </c>
      <c r="K301" s="1" t="n">
        <v>0.00828743</v>
      </c>
      <c r="L301" s="1" t="n">
        <v>0.008249521</v>
      </c>
      <c r="M301" s="1" t="n">
        <v>0.008284569</v>
      </c>
      <c r="N301" s="1" t="n">
        <v>0.008131504</v>
      </c>
      <c r="O301" s="1" t="n">
        <v>0.008405924</v>
      </c>
      <c r="P301" s="1" t="n">
        <v>0.008069277</v>
      </c>
      <c r="R301" s="1" t="n">
        <f aca="false">PERCENTILE(G301:P301,0.9)</f>
        <v>0.0084315301</v>
      </c>
      <c r="S301" s="5" t="n">
        <f aca="false">spmv_1!R$18/R301</f>
        <v>9.19628203663769</v>
      </c>
      <c r="T301" s="6" t="n">
        <f aca="false">S301/64</f>
        <v>0.143691906822464</v>
      </c>
    </row>
    <row r="302" customFormat="false" ht="15" hidden="false" customHeight="false" outlineLevel="0" collapsed="false">
      <c r="A302" s="1" t="s">
        <v>19</v>
      </c>
      <c r="B302" s="1" t="n">
        <v>32</v>
      </c>
      <c r="D302" s="1" t="n">
        <v>581397</v>
      </c>
      <c r="E302" s="1" t="n">
        <v>0.139855</v>
      </c>
      <c r="G302" s="1" t="n">
        <v>0.008763313</v>
      </c>
      <c r="H302" s="1" t="n">
        <v>0.008285761</v>
      </c>
      <c r="I302" s="1" t="n">
        <v>0.008101463</v>
      </c>
      <c r="J302" s="1" t="n">
        <v>0.008402586</v>
      </c>
      <c r="K302" s="1" t="n">
        <v>0.008347273</v>
      </c>
      <c r="L302" s="1" t="n">
        <v>0.008265018</v>
      </c>
      <c r="M302" s="1" t="n">
        <v>0.008246183</v>
      </c>
      <c r="N302" s="1" t="n">
        <v>0.008233547</v>
      </c>
      <c r="O302" s="1" t="n">
        <v>0.008329153</v>
      </c>
      <c r="P302" s="1" t="n">
        <v>0.008168459</v>
      </c>
      <c r="R302" s="1" t="n">
        <f aca="false">PERCENTILE(G302:P302,0.9)</f>
        <v>0.0084386587</v>
      </c>
      <c r="S302" s="5" t="n">
        <f aca="false">spmv_1!R$18/R302</f>
        <v>9.18851343045785</v>
      </c>
      <c r="T302" s="6" t="n">
        <f aca="false">S302/64</f>
        <v>0.143570522350904</v>
      </c>
    </row>
    <row r="303" customFormat="false" ht="15" hidden="false" customHeight="false" outlineLevel="0" collapsed="false">
      <c r="A303" s="1" t="s">
        <v>19</v>
      </c>
      <c r="B303" s="1" t="n">
        <v>33</v>
      </c>
      <c r="D303" s="1" t="n">
        <v>574705</v>
      </c>
      <c r="E303" s="1" t="n">
        <v>0.143048</v>
      </c>
      <c r="G303" s="1" t="n">
        <v>0.008393049</v>
      </c>
      <c r="H303" s="1" t="n">
        <v>0.0079813</v>
      </c>
      <c r="I303" s="1" t="n">
        <v>0.007890701</v>
      </c>
      <c r="J303" s="1" t="n">
        <v>0.008071423</v>
      </c>
      <c r="K303" s="1" t="n">
        <v>0.008078098</v>
      </c>
      <c r="L303" s="1" t="n">
        <v>0.008045435</v>
      </c>
      <c r="M303" s="1" t="n">
        <v>0.008024693</v>
      </c>
      <c r="N303" s="1" t="n">
        <v>0.007985592</v>
      </c>
      <c r="O303" s="1" t="n">
        <v>0.007970095</v>
      </c>
      <c r="P303" s="1" t="n">
        <v>0.007911205</v>
      </c>
      <c r="R303" s="1" t="n">
        <f aca="false">PERCENTILE(G303:P303,0.9)</f>
        <v>0.0081095931</v>
      </c>
      <c r="S303" s="5" t="n">
        <f aca="false">spmv_1!R$18/R303</f>
        <v>9.56135873204292</v>
      </c>
      <c r="T303" s="6" t="n">
        <f aca="false">S303/64</f>
        <v>0.149396230188171</v>
      </c>
    </row>
    <row r="304" customFormat="false" ht="15" hidden="false" customHeight="false" outlineLevel="0" collapsed="false">
      <c r="A304" s="1" t="s">
        <v>19</v>
      </c>
      <c r="B304" s="1" t="n">
        <v>34</v>
      </c>
      <c r="D304" s="1" t="n">
        <v>571140</v>
      </c>
      <c r="E304" s="1" t="n">
        <v>0.142958</v>
      </c>
      <c r="G304" s="1" t="n">
        <v>0.008348227</v>
      </c>
      <c r="H304" s="1" t="n">
        <v>0.007952213</v>
      </c>
      <c r="I304" s="1" t="n">
        <v>0.007844687</v>
      </c>
      <c r="J304" s="1" t="n">
        <v>0.008044958</v>
      </c>
      <c r="K304" s="1" t="n">
        <v>0.008030653</v>
      </c>
      <c r="L304" s="1" t="n">
        <v>0.007983923</v>
      </c>
      <c r="M304" s="1" t="n">
        <v>0.007986546</v>
      </c>
      <c r="N304" s="1" t="n">
        <v>0.007911921</v>
      </c>
      <c r="O304" s="1" t="n">
        <v>0.007941246</v>
      </c>
      <c r="P304" s="1" t="n">
        <v>0.007858992</v>
      </c>
      <c r="R304" s="1" t="n">
        <f aca="false">PERCENTILE(G304:P304,0.9)</f>
        <v>0.0080752849</v>
      </c>
      <c r="S304" s="5" t="n">
        <f aca="false">spmv_1!R$18/R304</f>
        <v>9.60198058151484</v>
      </c>
      <c r="T304" s="6" t="n">
        <f aca="false">S304/64</f>
        <v>0.150030946586169</v>
      </c>
    </row>
    <row r="305" customFormat="false" ht="15" hidden="false" customHeight="false" outlineLevel="0" collapsed="false">
      <c r="A305" s="1" t="s">
        <v>19</v>
      </c>
      <c r="B305" s="1" t="n">
        <v>35</v>
      </c>
      <c r="D305" s="1" t="n">
        <v>596533</v>
      </c>
      <c r="E305" s="1" t="n">
        <v>0.147477</v>
      </c>
      <c r="G305" s="1" t="n">
        <v>0.008500338</v>
      </c>
      <c r="H305" s="1" t="n">
        <v>0.008069038</v>
      </c>
      <c r="I305" s="1" t="n">
        <v>0.007894039</v>
      </c>
      <c r="J305" s="1" t="n">
        <v>0.00819397</v>
      </c>
      <c r="K305" s="1" t="n">
        <v>0.00812459</v>
      </c>
      <c r="L305" s="1" t="n">
        <v>0.008025646</v>
      </c>
      <c r="M305" s="1" t="n">
        <v>0.008053541</v>
      </c>
      <c r="N305" s="1" t="n">
        <v>0.008041143</v>
      </c>
      <c r="O305" s="1" t="n">
        <v>0.008019209</v>
      </c>
      <c r="P305" s="1" t="n">
        <v>0.007977009</v>
      </c>
      <c r="R305" s="1" t="n">
        <f aca="false">PERCENTILE(G305:P305,0.9)</f>
        <v>0.0082246068</v>
      </c>
      <c r="S305" s="5" t="n">
        <f aca="false">spmv_1!R$18/R305</f>
        <v>9.42765176324296</v>
      </c>
      <c r="T305" s="6" t="n">
        <f aca="false">S305/64</f>
        <v>0.147307058800671</v>
      </c>
    </row>
    <row r="306" customFormat="false" ht="15" hidden="false" customHeight="false" outlineLevel="0" collapsed="false">
      <c r="A306" s="1" t="s">
        <v>19</v>
      </c>
      <c r="B306" s="1" t="n">
        <v>36</v>
      </c>
      <c r="D306" s="1" t="n">
        <v>580713</v>
      </c>
      <c r="E306" s="1" t="n">
        <v>0.145931</v>
      </c>
      <c r="G306" s="1" t="n">
        <v>0.008386612</v>
      </c>
      <c r="H306" s="1" t="n">
        <v>0.007923126</v>
      </c>
      <c r="I306" s="1" t="n">
        <v>0.007773638</v>
      </c>
      <c r="J306" s="1" t="n">
        <v>0.008023262</v>
      </c>
      <c r="K306" s="1" t="n">
        <v>0.007969618</v>
      </c>
      <c r="L306" s="1" t="n">
        <v>0.007882118</v>
      </c>
      <c r="M306" s="1" t="n">
        <v>0.007953882</v>
      </c>
      <c r="N306" s="1" t="n">
        <v>0.007906437</v>
      </c>
      <c r="O306" s="1" t="n">
        <v>0.007894278</v>
      </c>
      <c r="P306" s="1" t="n">
        <v>0.007874489</v>
      </c>
      <c r="R306" s="1" t="n">
        <f aca="false">PERCENTILE(G306:P306,0.9)</f>
        <v>0.008059597</v>
      </c>
      <c r="S306" s="5" t="n">
        <f aca="false">spmv_1!R$18/R306</f>
        <v>9.6206707109549</v>
      </c>
      <c r="T306" s="6" t="n">
        <f aca="false">S306/64</f>
        <v>0.15032297985867</v>
      </c>
    </row>
    <row r="307" customFormat="false" ht="15" hidden="false" customHeight="false" outlineLevel="0" collapsed="false">
      <c r="A307" s="1" t="s">
        <v>19</v>
      </c>
      <c r="B307" s="1" t="n">
        <v>37</v>
      </c>
      <c r="D307" s="1" t="n">
        <v>574572</v>
      </c>
      <c r="E307" s="1" t="n">
        <v>0.140194</v>
      </c>
      <c r="G307" s="1" t="n">
        <v>0.008716106</v>
      </c>
      <c r="H307" s="1" t="n">
        <v>0.008117914</v>
      </c>
      <c r="I307" s="1" t="n">
        <v>0.008081675</v>
      </c>
      <c r="J307" s="1" t="n">
        <v>0.008172035</v>
      </c>
      <c r="K307" s="1" t="n">
        <v>0.008128643</v>
      </c>
      <c r="L307" s="1" t="n">
        <v>0.0081532</v>
      </c>
      <c r="M307" s="1" t="n">
        <v>0.008185625</v>
      </c>
      <c r="N307" s="1" t="n">
        <v>0.008105278</v>
      </c>
      <c r="O307" s="1" t="n">
        <v>0.008155584</v>
      </c>
      <c r="P307" s="1" t="n">
        <v>0.008152246</v>
      </c>
      <c r="R307" s="1" t="n">
        <f aca="false">PERCENTILE(G307:P307,0.9)</f>
        <v>0.0082386731</v>
      </c>
      <c r="S307" s="5" t="n">
        <f aca="false">spmv_1!R$18/R307</f>
        <v>9.41155546030829</v>
      </c>
      <c r="T307" s="6" t="n">
        <f aca="false">S307/64</f>
        <v>0.147055554067317</v>
      </c>
    </row>
    <row r="308" customFormat="false" ht="15" hidden="false" customHeight="false" outlineLevel="0" collapsed="false">
      <c r="A308" s="1" t="s">
        <v>19</v>
      </c>
      <c r="B308" s="1" t="n">
        <v>38</v>
      </c>
      <c r="D308" s="1" t="n">
        <v>571745</v>
      </c>
      <c r="E308" s="1" t="n">
        <v>0.1499</v>
      </c>
      <c r="G308" s="1" t="n">
        <v>0.008028269</v>
      </c>
      <c r="H308" s="1" t="n">
        <v>0.007559538</v>
      </c>
      <c r="I308" s="1" t="n">
        <v>0.007506847</v>
      </c>
      <c r="J308" s="1" t="n">
        <v>0.007634401</v>
      </c>
      <c r="K308" s="1" t="n">
        <v>0.007630348</v>
      </c>
      <c r="L308" s="1" t="n">
        <v>0.007584333</v>
      </c>
      <c r="M308" s="1" t="n">
        <v>0.007613659</v>
      </c>
      <c r="N308" s="1" t="n">
        <v>0.007567883</v>
      </c>
      <c r="O308" s="1" t="n">
        <v>0.007574797</v>
      </c>
      <c r="P308" s="1" t="n">
        <v>0.007583618</v>
      </c>
      <c r="R308" s="1" t="n">
        <f aca="false">PERCENTILE(G308:P308,0.9)</f>
        <v>0.0076737878</v>
      </c>
      <c r="S308" s="5" t="n">
        <f aca="false">spmv_1!R$18/R308</f>
        <v>10.1043618641631</v>
      </c>
      <c r="T308" s="6" t="n">
        <f aca="false">S308/64</f>
        <v>0.157880654127548</v>
      </c>
    </row>
    <row r="309" customFormat="false" ht="15" hidden="false" customHeight="false" outlineLevel="0" collapsed="false">
      <c r="A309" s="1" t="s">
        <v>19</v>
      </c>
      <c r="B309" s="1" t="n">
        <v>39</v>
      </c>
      <c r="D309" s="1" t="n">
        <v>594909</v>
      </c>
      <c r="E309" s="1" t="n">
        <v>0.154361</v>
      </c>
      <c r="G309" s="1" t="n">
        <v>0.008204937</v>
      </c>
      <c r="H309" s="1" t="n">
        <v>0.007738829</v>
      </c>
      <c r="I309" s="1" t="n">
        <v>0.007517815</v>
      </c>
      <c r="J309" s="1" t="n">
        <v>0.007715702</v>
      </c>
      <c r="K309" s="1" t="n">
        <v>0.007738113</v>
      </c>
      <c r="L309" s="1" t="n">
        <v>0.00751853</v>
      </c>
      <c r="M309" s="1" t="n">
        <v>0.007693768</v>
      </c>
      <c r="N309" s="1" t="n">
        <v>0.007629871</v>
      </c>
      <c r="O309" s="1" t="n">
        <v>0.007605314</v>
      </c>
      <c r="P309" s="1" t="n">
        <v>0.007717133</v>
      </c>
      <c r="R309" s="1" t="n">
        <f aca="false">PERCENTILE(G309:P309,0.9)</f>
        <v>0.0077854398</v>
      </c>
      <c r="S309" s="5" t="n">
        <f aca="false">spmv_1!R$18/R309</f>
        <v>9.95945390265557</v>
      </c>
      <c r="T309" s="6" t="n">
        <f aca="false">S309/64</f>
        <v>0.155616467228993</v>
      </c>
    </row>
    <row r="310" customFormat="false" ht="15" hidden="false" customHeight="false" outlineLevel="0" collapsed="false">
      <c r="A310" s="1" t="s">
        <v>19</v>
      </c>
      <c r="B310" s="1" t="n">
        <v>40</v>
      </c>
      <c r="D310" s="1" t="n">
        <v>581617</v>
      </c>
      <c r="E310" s="1" t="n">
        <v>0.153064</v>
      </c>
      <c r="G310" s="1" t="n">
        <v>0.008097887</v>
      </c>
      <c r="H310" s="1" t="n">
        <v>0.007642984</v>
      </c>
      <c r="I310" s="1" t="n">
        <v>0.007429361</v>
      </c>
      <c r="J310" s="1" t="n">
        <v>0.007582426</v>
      </c>
      <c r="K310" s="1" t="n">
        <v>0.007616043</v>
      </c>
      <c r="L310" s="1" t="n">
        <v>0.007439852</v>
      </c>
      <c r="M310" s="1" t="n">
        <v>0.007595062</v>
      </c>
      <c r="N310" s="1" t="n">
        <v>0.007537603</v>
      </c>
      <c r="O310" s="1" t="n">
        <v>0.007499456</v>
      </c>
      <c r="P310" s="1" t="n">
        <v>0.007555962</v>
      </c>
      <c r="R310" s="1" t="n">
        <f aca="false">PERCENTILE(G310:P310,0.9)</f>
        <v>0.0076884743</v>
      </c>
      <c r="S310" s="5" t="n">
        <f aca="false">spmv_1!R$18/R310</f>
        <v>10.0850605431561</v>
      </c>
      <c r="T310" s="6" t="n">
        <f aca="false">S310/64</f>
        <v>0.157579070986815</v>
      </c>
    </row>
    <row r="311" customFormat="false" ht="15" hidden="false" customHeight="false" outlineLevel="0" collapsed="false">
      <c r="A311" s="1" t="s">
        <v>19</v>
      </c>
      <c r="B311" s="1" t="n">
        <v>41</v>
      </c>
      <c r="D311" s="1" t="n">
        <v>573161</v>
      </c>
      <c r="E311" s="1" t="n">
        <v>0.142513</v>
      </c>
      <c r="G311" s="1" t="n">
        <v>0.008641243</v>
      </c>
      <c r="H311" s="1" t="n">
        <v>0.007987022</v>
      </c>
      <c r="I311" s="1" t="n">
        <v>0.007923365</v>
      </c>
      <c r="J311" s="1" t="n">
        <v>0.007941246</v>
      </c>
      <c r="K311" s="1" t="n">
        <v>0.008002758</v>
      </c>
      <c r="L311" s="1" t="n">
        <v>0.007926464</v>
      </c>
      <c r="M311" s="1" t="n">
        <v>0.008037567</v>
      </c>
      <c r="N311" s="1" t="n">
        <v>0.00795579</v>
      </c>
      <c r="O311" s="1" t="n">
        <v>0.008001089</v>
      </c>
      <c r="P311" s="1" t="n">
        <v>0.008019924</v>
      </c>
      <c r="R311" s="1" t="n">
        <f aca="false">PERCENTILE(G311:P311,0.9)</f>
        <v>0.0080979346</v>
      </c>
      <c r="S311" s="5" t="n">
        <f aca="false">spmv_1!R$18/R311</f>
        <v>9.57512410633694</v>
      </c>
      <c r="T311" s="6" t="n">
        <f aca="false">S311/64</f>
        <v>0.149611314161515</v>
      </c>
    </row>
    <row r="312" customFormat="false" ht="15" hidden="false" customHeight="false" outlineLevel="0" collapsed="false">
      <c r="A312" s="1" t="s">
        <v>19</v>
      </c>
      <c r="B312" s="1" t="n">
        <v>42</v>
      </c>
      <c r="D312" s="1" t="n">
        <v>572631</v>
      </c>
      <c r="E312" s="1" t="n">
        <v>0.143757</v>
      </c>
      <c r="G312" s="1" t="n">
        <v>0.0085814</v>
      </c>
      <c r="H312" s="1" t="n">
        <v>0.007920027</v>
      </c>
      <c r="I312" s="1" t="n">
        <v>0.007849932</v>
      </c>
      <c r="J312" s="1" t="n">
        <v>0.007861137</v>
      </c>
      <c r="K312" s="1" t="n">
        <v>0.007972717</v>
      </c>
      <c r="L312" s="1" t="n">
        <v>0.007857561</v>
      </c>
      <c r="M312" s="1" t="n">
        <v>0.007941008</v>
      </c>
      <c r="N312" s="1" t="n">
        <v>0.007890701</v>
      </c>
      <c r="O312" s="1" t="n">
        <v>0.007892847</v>
      </c>
      <c r="P312" s="1" t="n">
        <v>0.007899046</v>
      </c>
      <c r="R312" s="1" t="n">
        <f aca="false">PERCENTILE(G312:P312,0.9)</f>
        <v>0.0080335853</v>
      </c>
      <c r="S312" s="5" t="n">
        <f aca="false">spmv_1!R$18/R312</f>
        <v>9.65182118623923</v>
      </c>
      <c r="T312" s="6" t="n">
        <f aca="false">S312/64</f>
        <v>0.150809706034988</v>
      </c>
    </row>
    <row r="313" customFormat="false" ht="15" hidden="false" customHeight="false" outlineLevel="0" collapsed="false">
      <c r="A313" s="1" t="s">
        <v>19</v>
      </c>
      <c r="B313" s="1" t="n">
        <v>43</v>
      </c>
      <c r="D313" s="1" t="n">
        <v>595122</v>
      </c>
      <c r="E313" s="1" t="n">
        <v>0.149541</v>
      </c>
      <c r="G313" s="1" t="n">
        <v>0.008514404</v>
      </c>
      <c r="H313" s="1" t="n">
        <v>0.007923365</v>
      </c>
      <c r="I313" s="1" t="n">
        <v>0.007842541</v>
      </c>
      <c r="J313" s="1" t="n">
        <v>0.007859707</v>
      </c>
      <c r="K313" s="1" t="n">
        <v>0.007962704</v>
      </c>
      <c r="L313" s="1" t="n">
        <v>0.007863522</v>
      </c>
      <c r="M313" s="1" t="n">
        <v>0.007923841</v>
      </c>
      <c r="N313" s="1" t="n">
        <v>0.007909298</v>
      </c>
      <c r="O313" s="1" t="n">
        <v>0.007889271</v>
      </c>
      <c r="P313" s="1" t="n">
        <v>0.007904291</v>
      </c>
      <c r="R313" s="1" t="n">
        <f aca="false">PERCENTILE(G313:P313,0.9)</f>
        <v>0.008017874</v>
      </c>
      <c r="S313" s="5" t="n">
        <f aca="false">spmv_1!R$18/R313</f>
        <v>9.67073426197518</v>
      </c>
      <c r="T313" s="6" t="n">
        <f aca="false">S313/64</f>
        <v>0.151105222843362</v>
      </c>
    </row>
    <row r="314" customFormat="false" ht="15" hidden="false" customHeight="false" outlineLevel="0" collapsed="false">
      <c r="A314" s="1" t="s">
        <v>19</v>
      </c>
      <c r="B314" s="1" t="n">
        <v>44</v>
      </c>
      <c r="D314" s="1" t="n">
        <v>581588</v>
      </c>
      <c r="E314" s="1" t="n">
        <v>0.14709</v>
      </c>
      <c r="G314" s="1" t="n">
        <v>0.008507729</v>
      </c>
      <c r="H314" s="1" t="n">
        <v>0.007757902</v>
      </c>
      <c r="I314" s="1" t="n">
        <v>0.007806301</v>
      </c>
      <c r="J314" s="1" t="n">
        <v>0.007789135</v>
      </c>
      <c r="K314" s="1" t="n">
        <v>0.007876396</v>
      </c>
      <c r="L314" s="1" t="n">
        <v>0.007844925</v>
      </c>
      <c r="M314" s="1" t="n">
        <v>0.007891417</v>
      </c>
      <c r="N314" s="1" t="n">
        <v>0.007866621</v>
      </c>
      <c r="O314" s="1" t="n">
        <v>0.007861137</v>
      </c>
      <c r="P314" s="1" t="n">
        <v>0.007877827</v>
      </c>
      <c r="R314" s="1" t="n">
        <f aca="false">PERCENTILE(G314:P314,0.9)</f>
        <v>0.0079530482</v>
      </c>
      <c r="S314" s="5" t="n">
        <f aca="false">spmv_1!R$18/R314</f>
        <v>9.74956102994573</v>
      </c>
      <c r="T314" s="6" t="n">
        <f aca="false">S314/64</f>
        <v>0.152336891092902</v>
      </c>
    </row>
    <row r="315" customFormat="false" ht="15" hidden="false" customHeight="false" outlineLevel="0" collapsed="false">
      <c r="A315" s="1" t="s">
        <v>19</v>
      </c>
      <c r="B315" s="1" t="n">
        <v>45</v>
      </c>
      <c r="D315" s="1" t="n">
        <v>573665</v>
      </c>
      <c r="E315" s="1" t="n">
        <v>0.146866</v>
      </c>
      <c r="G315" s="1" t="n">
        <v>0.00844264</v>
      </c>
      <c r="H315" s="1" t="n">
        <v>0.007656574</v>
      </c>
      <c r="I315" s="1" t="n">
        <v>0.007689714</v>
      </c>
      <c r="J315" s="1" t="n">
        <v>0.007701635</v>
      </c>
      <c r="K315" s="1" t="n">
        <v>0.007773399</v>
      </c>
      <c r="L315" s="1" t="n">
        <v>0.007713795</v>
      </c>
      <c r="M315" s="1" t="n">
        <v>0.007778645</v>
      </c>
      <c r="N315" s="1" t="n">
        <v>0.007758856</v>
      </c>
      <c r="O315" s="1" t="n">
        <v>0.007779598</v>
      </c>
      <c r="P315" s="1" t="n">
        <v>0.00782609</v>
      </c>
      <c r="R315" s="1" t="n">
        <f aca="false">PERCENTILE(G315:P315,0.9)</f>
        <v>0.007887745</v>
      </c>
      <c r="S315" s="5" t="n">
        <f aca="false">spmv_1!R$18/R315</f>
        <v>9.83027833683772</v>
      </c>
      <c r="T315" s="6" t="n">
        <f aca="false">S315/64</f>
        <v>0.153598099013089</v>
      </c>
    </row>
    <row r="316" customFormat="false" ht="15" hidden="false" customHeight="false" outlineLevel="0" collapsed="false">
      <c r="A316" s="1" t="s">
        <v>19</v>
      </c>
      <c r="B316" s="1" t="n">
        <v>46</v>
      </c>
      <c r="D316" s="1" t="n">
        <v>572556</v>
      </c>
      <c r="E316" s="1" t="n">
        <v>0.147709</v>
      </c>
      <c r="G316" s="1" t="n">
        <v>0.008390903</v>
      </c>
      <c r="H316" s="1" t="n">
        <v>0.007587433</v>
      </c>
      <c r="I316" s="1" t="n">
        <v>0.007626057</v>
      </c>
      <c r="J316" s="1" t="n">
        <v>0.007650137</v>
      </c>
      <c r="K316" s="1" t="n">
        <v>0.007712603</v>
      </c>
      <c r="L316" s="1" t="n">
        <v>0.00765729</v>
      </c>
      <c r="M316" s="1" t="n">
        <v>0.00775075</v>
      </c>
      <c r="N316" s="1" t="n">
        <v>0.007695436</v>
      </c>
      <c r="O316" s="1" t="n">
        <v>0.007713318</v>
      </c>
      <c r="P316" s="1" t="n">
        <v>0.007740736</v>
      </c>
      <c r="R316" s="1" t="n">
        <f aca="false">PERCENTILE(G316:P316,0.9)</f>
        <v>0.0078147653</v>
      </c>
      <c r="S316" s="5" t="n">
        <f aca="false">spmv_1!R$18/R316</f>
        <v>9.92208029587274</v>
      </c>
      <c r="T316" s="6" t="n">
        <f aca="false">S316/64</f>
        <v>0.155032504623012</v>
      </c>
    </row>
    <row r="317" customFormat="false" ht="15" hidden="false" customHeight="false" outlineLevel="0" collapsed="false">
      <c r="A317" s="1" t="s">
        <v>19</v>
      </c>
      <c r="B317" s="1" t="n">
        <v>47</v>
      </c>
      <c r="D317" s="1" t="n">
        <v>594944</v>
      </c>
      <c r="E317" s="1" t="n">
        <v>0.154742</v>
      </c>
      <c r="G317" s="1" t="n">
        <v>0.008401871</v>
      </c>
      <c r="H317" s="1" t="n">
        <v>0.007570505</v>
      </c>
      <c r="I317" s="1" t="n">
        <v>0.007596254</v>
      </c>
      <c r="J317" s="1" t="n">
        <v>0.007586241</v>
      </c>
      <c r="K317" s="1" t="n">
        <v>0.007521391</v>
      </c>
      <c r="L317" s="1" t="n">
        <v>0.00762248</v>
      </c>
      <c r="M317" s="1" t="n">
        <v>0.007682562</v>
      </c>
      <c r="N317" s="1" t="n">
        <v>0.007530212</v>
      </c>
      <c r="O317" s="1" t="n">
        <v>0.007680178</v>
      </c>
      <c r="P317" s="1" t="n">
        <v>0.007703304</v>
      </c>
      <c r="R317" s="1" t="n">
        <f aca="false">PERCENTILE(G317:P317,0.9)</f>
        <v>0.0077731607</v>
      </c>
      <c r="S317" s="5" t="n">
        <f aca="false">spmv_1!R$18/R317</f>
        <v>9.97518664447527</v>
      </c>
      <c r="T317" s="6" t="n">
        <f aca="false">S317/64</f>
        <v>0.155862291319926</v>
      </c>
    </row>
    <row r="318" customFormat="false" ht="15" hidden="false" customHeight="false" outlineLevel="0" collapsed="false">
      <c r="A318" s="1" t="s">
        <v>19</v>
      </c>
      <c r="B318" s="1" t="n">
        <v>48</v>
      </c>
      <c r="D318" s="1" t="n">
        <v>580521</v>
      </c>
      <c r="E318" s="1" t="n">
        <v>0.152698</v>
      </c>
      <c r="G318" s="1" t="n">
        <v>0.008299351</v>
      </c>
      <c r="H318" s="1" t="n">
        <v>0.007488728</v>
      </c>
      <c r="I318" s="1" t="n">
        <v>0.00752759</v>
      </c>
      <c r="J318" s="1" t="n">
        <v>0.007509947</v>
      </c>
      <c r="K318" s="1" t="n">
        <v>0.007399797</v>
      </c>
      <c r="L318" s="1" t="n">
        <v>0.007568359</v>
      </c>
      <c r="M318" s="1" t="n">
        <v>0.007597685</v>
      </c>
      <c r="N318" s="1" t="n">
        <v>0.00745368</v>
      </c>
      <c r="O318" s="1" t="n">
        <v>0.007591963</v>
      </c>
      <c r="P318" s="1" t="n">
        <v>0.007597923</v>
      </c>
      <c r="R318" s="1" t="n">
        <f aca="false">PERCENTILE(G318:P318,0.9)</f>
        <v>0.0076680658</v>
      </c>
      <c r="S318" s="5" t="n">
        <f aca="false">spmv_1!R$18/R318</f>
        <v>10.1119018566586</v>
      </c>
      <c r="T318" s="6" t="n">
        <f aca="false">S318/64</f>
        <v>0.15799846651029</v>
      </c>
    </row>
    <row r="319" customFormat="false" ht="15" hidden="false" customHeight="false" outlineLevel="0" collapsed="false">
      <c r="A319" s="1" t="s">
        <v>19</v>
      </c>
      <c r="B319" s="1" t="n">
        <v>49</v>
      </c>
      <c r="D319" s="1" t="n">
        <v>573029</v>
      </c>
      <c r="E319" s="1" t="n">
        <v>0.15468</v>
      </c>
      <c r="G319" s="1" t="n">
        <v>0.008258343</v>
      </c>
      <c r="H319" s="1" t="n">
        <v>0.007336378</v>
      </c>
      <c r="I319" s="1" t="n">
        <v>0.007338524</v>
      </c>
      <c r="J319" s="1" t="n">
        <v>0.007285118</v>
      </c>
      <c r="K319" s="1" t="n">
        <v>0.007245064</v>
      </c>
      <c r="L319" s="1" t="n">
        <v>0.007265806</v>
      </c>
      <c r="M319" s="1" t="n">
        <v>0.007432222</v>
      </c>
      <c r="N319" s="1" t="n">
        <v>0.007236004</v>
      </c>
      <c r="O319" s="1" t="n">
        <v>0.007301569</v>
      </c>
      <c r="P319" s="1" t="n">
        <v>0.007393122</v>
      </c>
      <c r="R319" s="1" t="n">
        <f aca="false">PERCENTILE(G319:P319,0.9)</f>
        <v>0.0075148341</v>
      </c>
      <c r="S319" s="5" t="n">
        <f aca="false">spmv_1!R$18/R319</f>
        <v>10.3180892310051</v>
      </c>
      <c r="T319" s="6" t="n">
        <f aca="false">S319/64</f>
        <v>0.161220144234455</v>
      </c>
    </row>
    <row r="320" customFormat="false" ht="15" hidden="false" customHeight="false" outlineLevel="0" collapsed="false">
      <c r="A320" s="1" t="s">
        <v>19</v>
      </c>
      <c r="B320" s="1" t="n">
        <v>50</v>
      </c>
      <c r="D320" s="1" t="n">
        <v>571875</v>
      </c>
      <c r="E320" s="1" t="n">
        <v>0.178982</v>
      </c>
      <c r="G320" s="1" t="n">
        <v>0.006973743</v>
      </c>
      <c r="H320" s="1" t="n">
        <v>0.006312132</v>
      </c>
      <c r="I320" s="1" t="n">
        <v>0.006296158</v>
      </c>
      <c r="J320" s="1" t="n">
        <v>0.006258726</v>
      </c>
      <c r="K320" s="1" t="n">
        <v>0.006345987</v>
      </c>
      <c r="L320" s="1" t="n">
        <v>0.006342173</v>
      </c>
      <c r="M320" s="1" t="n">
        <v>0.006380081</v>
      </c>
      <c r="N320" s="1" t="n">
        <v>0.006310463</v>
      </c>
      <c r="O320" s="1" t="n">
        <v>0.006340265</v>
      </c>
      <c r="P320" s="1" t="n">
        <v>0.006343365</v>
      </c>
      <c r="R320" s="1" t="n">
        <f aca="false">PERCENTILE(G320:P320,0.9)</f>
        <v>0.0064394472</v>
      </c>
      <c r="S320" s="5" t="n">
        <f aca="false">spmv_1!R$18/R320</f>
        <v>12.0412088789236</v>
      </c>
      <c r="T320" s="6" t="n">
        <f aca="false">S320/64</f>
        <v>0.188143888733182</v>
      </c>
    </row>
    <row r="321" customFormat="false" ht="15" hidden="false" customHeight="false" outlineLevel="0" collapsed="false">
      <c r="A321" s="1" t="s">
        <v>19</v>
      </c>
      <c r="B321" s="1" t="n">
        <v>51</v>
      </c>
      <c r="D321" s="1" t="n">
        <v>594703</v>
      </c>
      <c r="E321" s="1" t="n">
        <v>0.164469</v>
      </c>
      <c r="G321" s="1" t="n">
        <v>0.007846594</v>
      </c>
      <c r="H321" s="1" t="n">
        <v>0.007103205</v>
      </c>
      <c r="I321" s="1" t="n">
        <v>0.007203102</v>
      </c>
      <c r="J321" s="1" t="n">
        <v>0.007029772</v>
      </c>
      <c r="K321" s="1" t="n">
        <v>0.00707078</v>
      </c>
      <c r="L321" s="1" t="n">
        <v>0.007202625</v>
      </c>
      <c r="M321" s="1" t="n">
        <v>0.007263899</v>
      </c>
      <c r="N321" s="1" t="n">
        <v>0.007132053</v>
      </c>
      <c r="O321" s="1" t="n">
        <v>0.007231951</v>
      </c>
      <c r="P321" s="1" t="n">
        <v>0.007233858</v>
      </c>
      <c r="R321" s="1" t="n">
        <f aca="false">PERCENTILE(G321:P321,0.9)</f>
        <v>0.0073221685</v>
      </c>
      <c r="S321" s="5" t="n">
        <f aca="false">spmv_1!R$18/R321</f>
        <v>10.5895854213134</v>
      </c>
      <c r="T321" s="6" t="n">
        <f aca="false">S321/64</f>
        <v>0.165462272208021</v>
      </c>
    </row>
    <row r="322" customFormat="false" ht="15" hidden="false" customHeight="false" outlineLevel="0" collapsed="false">
      <c r="A322" s="1" t="s">
        <v>19</v>
      </c>
      <c r="B322" s="1" t="n">
        <v>52</v>
      </c>
      <c r="D322" s="1" t="n">
        <v>580341</v>
      </c>
      <c r="E322" s="1" t="n">
        <v>0.187751</v>
      </c>
      <c r="G322" s="1" t="n">
        <v>0.006615162</v>
      </c>
      <c r="H322" s="1" t="n">
        <v>0.006039858</v>
      </c>
      <c r="I322" s="1" t="n">
        <v>0.006102324</v>
      </c>
      <c r="J322" s="1" t="n">
        <v>0.006085634</v>
      </c>
      <c r="K322" s="1" t="n">
        <v>0.006130457</v>
      </c>
      <c r="L322" s="1" t="n">
        <v>0.006173372</v>
      </c>
      <c r="M322" s="1" t="n">
        <v>0.006190777</v>
      </c>
      <c r="N322" s="1" t="n">
        <v>0.006143808</v>
      </c>
      <c r="O322" s="1" t="n">
        <v>0.006191254</v>
      </c>
      <c r="P322" s="1" t="n">
        <v>0.006147623</v>
      </c>
      <c r="R322" s="1" t="n">
        <f aca="false">PERCENTILE(G322:P322,0.9)</f>
        <v>0.0062336448</v>
      </c>
      <c r="S322" s="5" t="n">
        <f aca="false">spmv_1!R$18/R322</f>
        <v>12.4387467184527</v>
      </c>
      <c r="T322" s="6" t="n">
        <f aca="false">S322/64</f>
        <v>0.194355417475824</v>
      </c>
    </row>
    <row r="323" customFormat="false" ht="15" hidden="false" customHeight="false" outlineLevel="0" collapsed="false">
      <c r="A323" s="1" t="s">
        <v>19</v>
      </c>
      <c r="B323" s="1" t="n">
        <v>53</v>
      </c>
      <c r="D323" s="1" t="n">
        <v>574139</v>
      </c>
      <c r="E323" s="1" t="n">
        <v>0.188906</v>
      </c>
      <c r="G323" s="1" t="n">
        <v>0.00651288</v>
      </c>
      <c r="H323" s="1" t="n">
        <v>0.005954504</v>
      </c>
      <c r="I323" s="1" t="n">
        <v>0.005988598</v>
      </c>
      <c r="J323" s="1" t="n">
        <v>0.006001234</v>
      </c>
      <c r="K323" s="1" t="n">
        <v>0.006025314</v>
      </c>
      <c r="L323" s="1" t="n">
        <v>0.006044149</v>
      </c>
      <c r="M323" s="1" t="n">
        <v>0.006071568</v>
      </c>
      <c r="N323" s="1" t="n">
        <v>0.006027699</v>
      </c>
      <c r="O323" s="1" t="n">
        <v>0.006083012</v>
      </c>
      <c r="P323" s="1" t="n">
        <v>0.006076574</v>
      </c>
      <c r="R323" s="1" t="n">
        <f aca="false">PERCENTILE(G323:P323,0.9)</f>
        <v>0.0061259988</v>
      </c>
      <c r="S323" s="5" t="n">
        <f aca="false">spmv_1!R$18/R323</f>
        <v>12.6573202724101</v>
      </c>
      <c r="T323" s="6" t="n">
        <f aca="false">S323/64</f>
        <v>0.197770629256408</v>
      </c>
    </row>
    <row r="324" customFormat="false" ht="15" hidden="false" customHeight="false" outlineLevel="0" collapsed="false">
      <c r="A324" s="1" t="s">
        <v>19</v>
      </c>
      <c r="B324" s="1" t="n">
        <v>54</v>
      </c>
      <c r="D324" s="1" t="n">
        <v>571035</v>
      </c>
      <c r="E324" s="1" t="n">
        <v>0.179048</v>
      </c>
      <c r="G324" s="1" t="n">
        <v>0.006879091</v>
      </c>
      <c r="H324" s="1" t="n">
        <v>0.006277323</v>
      </c>
      <c r="I324" s="1" t="n">
        <v>0.006290674</v>
      </c>
      <c r="J324" s="1" t="n">
        <v>0.006234884</v>
      </c>
      <c r="K324" s="1" t="n">
        <v>0.006254673</v>
      </c>
      <c r="L324" s="1" t="n">
        <v>0.006273031</v>
      </c>
      <c r="M324" s="1" t="n">
        <v>0.00643158</v>
      </c>
      <c r="N324" s="1" t="n">
        <v>0.006388903</v>
      </c>
      <c r="O324" s="1" t="n">
        <v>0.006379128</v>
      </c>
      <c r="P324" s="1" t="n">
        <v>0.006376266</v>
      </c>
      <c r="R324" s="1" t="n">
        <f aca="false">PERCENTILE(G324:P324,0.9)</f>
        <v>0.0064763311</v>
      </c>
      <c r="S324" s="5" t="n">
        <f aca="false">spmv_1!R$18/R324</f>
        <v>11.9726319736803</v>
      </c>
      <c r="T324" s="6" t="n">
        <f aca="false">S324/64</f>
        <v>0.187072374588754</v>
      </c>
    </row>
    <row r="325" customFormat="false" ht="15" hidden="false" customHeight="false" outlineLevel="0" collapsed="false">
      <c r="A325" s="1" t="s">
        <v>19</v>
      </c>
      <c r="B325" s="1" t="n">
        <v>55</v>
      </c>
      <c r="D325" s="1" t="n">
        <v>593891</v>
      </c>
      <c r="E325" s="1" t="n">
        <v>0.194255</v>
      </c>
      <c r="G325" s="1" t="n">
        <v>0.006839752</v>
      </c>
      <c r="H325" s="1" t="n">
        <v>0.0060184</v>
      </c>
      <c r="I325" s="1" t="n">
        <v>0.006050825</v>
      </c>
      <c r="J325" s="1" t="n">
        <v>0.005988598</v>
      </c>
      <c r="K325" s="1" t="n">
        <v>0.005939245</v>
      </c>
      <c r="L325" s="1" t="n">
        <v>0.006015778</v>
      </c>
      <c r="M325" s="1" t="n">
        <v>0.006059408</v>
      </c>
      <c r="N325" s="1" t="n">
        <v>0.006057501</v>
      </c>
      <c r="O325" s="1" t="n">
        <v>0.006049871</v>
      </c>
      <c r="P325" s="1" t="n">
        <v>0.006126165</v>
      </c>
      <c r="R325" s="1" t="n">
        <f aca="false">PERCENTILE(G325:P325,0.9)</f>
        <v>0.0061975237</v>
      </c>
      <c r="S325" s="5" t="n">
        <f aca="false">spmv_1!R$18/R325</f>
        <v>12.5112436117025</v>
      </c>
      <c r="T325" s="6" t="n">
        <f aca="false">S325/64</f>
        <v>0.195488181432852</v>
      </c>
    </row>
    <row r="326" customFormat="false" ht="15" hidden="false" customHeight="false" outlineLevel="0" collapsed="false">
      <c r="A326" s="1" t="s">
        <v>19</v>
      </c>
      <c r="B326" s="1" t="n">
        <v>56</v>
      </c>
      <c r="D326" s="1" t="n">
        <v>579963</v>
      </c>
      <c r="E326" s="1" t="n">
        <v>0.181428</v>
      </c>
      <c r="G326" s="1" t="n">
        <v>0.007159472</v>
      </c>
      <c r="H326" s="1" t="n">
        <v>0.006290913</v>
      </c>
      <c r="I326" s="1" t="n">
        <v>0.00626874</v>
      </c>
      <c r="J326" s="1" t="n">
        <v>0.006254911</v>
      </c>
      <c r="K326" s="1" t="n">
        <v>0.006220102</v>
      </c>
      <c r="L326" s="1" t="n">
        <v>0.006234646</v>
      </c>
      <c r="M326" s="1" t="n">
        <v>0.006400824</v>
      </c>
      <c r="N326" s="1" t="n">
        <v>0.006358385</v>
      </c>
      <c r="O326" s="1" t="n">
        <v>0.006359339</v>
      </c>
      <c r="P326" s="1" t="n">
        <v>0.006385803</v>
      </c>
      <c r="R326" s="1" t="n">
        <f aca="false">PERCENTILE(G326:P326,0.9)</f>
        <v>0.0064766888</v>
      </c>
      <c r="S326" s="5" t="n">
        <f aca="false">spmv_1!R$18/R326</f>
        <v>11.9719707391221</v>
      </c>
      <c r="T326" s="6" t="n">
        <f aca="false">S326/64</f>
        <v>0.187062042798783</v>
      </c>
    </row>
    <row r="327" customFormat="false" ht="15" hidden="false" customHeight="false" outlineLevel="0" collapsed="false">
      <c r="A327" s="1" t="s">
        <v>19</v>
      </c>
      <c r="B327" s="1" t="n">
        <v>57</v>
      </c>
      <c r="D327" s="1" t="n">
        <v>574256</v>
      </c>
      <c r="E327" s="1" t="n">
        <v>0.175302</v>
      </c>
      <c r="G327" s="1" t="n">
        <v>0.007509708</v>
      </c>
      <c r="H327" s="1" t="n">
        <v>0.006503582</v>
      </c>
      <c r="I327" s="1" t="n">
        <v>0.006522417</v>
      </c>
      <c r="J327" s="1" t="n">
        <v>0.006406307</v>
      </c>
      <c r="K327" s="1" t="n">
        <v>0.006241798</v>
      </c>
      <c r="L327" s="1" t="n">
        <v>0.006177664</v>
      </c>
      <c r="M327" s="1" t="n">
        <v>0.00658536</v>
      </c>
      <c r="N327" s="1" t="n">
        <v>0.006386995</v>
      </c>
      <c r="O327" s="1" t="n">
        <v>0.006547451</v>
      </c>
      <c r="P327" s="1" t="n">
        <v>0.006634951</v>
      </c>
      <c r="R327" s="1" t="n">
        <f aca="false">PERCENTILE(G327:P327,0.9)</f>
        <v>0.0067224267</v>
      </c>
      <c r="S327" s="5" t="n">
        <f aca="false">spmv_1!R$18/R327</f>
        <v>11.5343360753937</v>
      </c>
      <c r="T327" s="6" t="n">
        <f aca="false">S327/64</f>
        <v>0.180224001178027</v>
      </c>
    </row>
    <row r="328" customFormat="false" ht="15" hidden="false" customHeight="false" outlineLevel="0" collapsed="false">
      <c r="A328" s="1" t="s">
        <v>19</v>
      </c>
      <c r="B328" s="1" t="n">
        <v>58</v>
      </c>
      <c r="D328" s="1" t="n">
        <v>570194</v>
      </c>
      <c r="E328" s="1" t="n">
        <v>0.18057</v>
      </c>
      <c r="G328" s="1" t="n">
        <v>0.007080555</v>
      </c>
      <c r="H328" s="1" t="n">
        <v>0.006241322</v>
      </c>
      <c r="I328" s="1" t="n">
        <v>0.006177664</v>
      </c>
      <c r="J328" s="1" t="n">
        <v>0.006170988</v>
      </c>
      <c r="K328" s="1" t="n">
        <v>0.006091118</v>
      </c>
      <c r="L328" s="1" t="n">
        <v>0.006121635</v>
      </c>
      <c r="M328" s="1" t="n">
        <v>0.006343126</v>
      </c>
      <c r="N328" s="1" t="n">
        <v>0.00629878</v>
      </c>
      <c r="O328" s="1" t="n">
        <v>0.006297112</v>
      </c>
      <c r="P328" s="1" t="n">
        <v>0.006332636</v>
      </c>
      <c r="R328" s="1" t="n">
        <f aca="false">PERCENTILE(G328:P328,0.9)</f>
        <v>0.0064168689</v>
      </c>
      <c r="S328" s="5" t="n">
        <f aca="false">spmv_1!R$18/R328</f>
        <v>12.0835768983842</v>
      </c>
      <c r="T328" s="6" t="n">
        <f aca="false">S328/64</f>
        <v>0.188805889037253</v>
      </c>
    </row>
    <row r="329" customFormat="false" ht="15" hidden="false" customHeight="false" outlineLevel="0" collapsed="false">
      <c r="A329" s="1" t="s">
        <v>19</v>
      </c>
      <c r="B329" s="1" t="n">
        <v>59</v>
      </c>
      <c r="D329" s="1" t="n">
        <v>594154</v>
      </c>
      <c r="E329" s="1" t="n">
        <v>0.189188</v>
      </c>
      <c r="G329" s="1" t="n">
        <v>0.007091761</v>
      </c>
      <c r="H329" s="1" t="n">
        <v>0.006204844</v>
      </c>
      <c r="I329" s="1" t="n">
        <v>0.006099701</v>
      </c>
      <c r="J329" s="1" t="n">
        <v>0.006145</v>
      </c>
      <c r="K329" s="1" t="n">
        <v>0.006053925</v>
      </c>
      <c r="L329" s="1" t="n">
        <v>0.006090403</v>
      </c>
      <c r="M329" s="1" t="n">
        <v>0.006320715</v>
      </c>
      <c r="N329" s="1" t="n">
        <v>0.00627017</v>
      </c>
      <c r="O329" s="1" t="n">
        <v>0.006237984</v>
      </c>
      <c r="P329" s="1" t="n">
        <v>0.006296396</v>
      </c>
      <c r="R329" s="1" t="n">
        <f aca="false">PERCENTILE(G329:P329,0.9)</f>
        <v>0.0063978196</v>
      </c>
      <c r="S329" s="5" t="n">
        <f aca="false">spmv_1!R$18/R329</f>
        <v>12.1195553560154</v>
      </c>
      <c r="T329" s="6" t="n">
        <f aca="false">S329/64</f>
        <v>0.18936805243774</v>
      </c>
    </row>
    <row r="330" customFormat="false" ht="15" hidden="false" customHeight="false" outlineLevel="0" collapsed="false">
      <c r="A330" s="1" t="s">
        <v>19</v>
      </c>
      <c r="B330" s="1" t="n">
        <v>60</v>
      </c>
      <c r="D330" s="1" t="n">
        <v>580493</v>
      </c>
      <c r="E330" s="1" t="n">
        <v>0.186476</v>
      </c>
      <c r="G330" s="1" t="n">
        <v>0.007084131</v>
      </c>
      <c r="H330" s="1" t="n">
        <v>0.00615716</v>
      </c>
      <c r="I330" s="1" t="n">
        <v>0.006030321</v>
      </c>
      <c r="J330" s="1" t="n">
        <v>0.006103277</v>
      </c>
      <c r="K330" s="1" t="n">
        <v>0.005997658</v>
      </c>
      <c r="L330" s="1" t="n">
        <v>0.006032467</v>
      </c>
      <c r="M330" s="1" t="n">
        <v>0.006268024</v>
      </c>
      <c r="N330" s="1" t="n">
        <v>0.006213188</v>
      </c>
      <c r="O330" s="1" t="n">
        <v>0.006181955</v>
      </c>
      <c r="P330" s="1" t="n">
        <v>0.006191015</v>
      </c>
      <c r="R330" s="1" t="n">
        <f aca="false">PERCENTILE(G330:P330,0.9)</f>
        <v>0.0063496347</v>
      </c>
      <c r="S330" s="5" t="n">
        <f aca="false">spmv_1!R$18/R330</f>
        <v>12.2115259323501</v>
      </c>
      <c r="T330" s="6" t="n">
        <f aca="false">S330/64</f>
        <v>0.19080509269297</v>
      </c>
    </row>
    <row r="331" customFormat="false" ht="15" hidden="false" customHeight="false" outlineLevel="0" collapsed="false">
      <c r="A331" s="1" t="s">
        <v>19</v>
      </c>
      <c r="B331" s="1" t="n">
        <v>61</v>
      </c>
      <c r="D331" s="1" t="n">
        <v>574727</v>
      </c>
      <c r="E331" s="1" t="n">
        <v>0.186208</v>
      </c>
      <c r="G331" s="1" t="n">
        <v>0.007056475</v>
      </c>
      <c r="H331" s="1" t="n">
        <v>0.006031275</v>
      </c>
      <c r="I331" s="1" t="n">
        <v>0.006007195</v>
      </c>
      <c r="J331" s="1" t="n">
        <v>0.006043673</v>
      </c>
      <c r="K331" s="1" t="n">
        <v>0.00591898</v>
      </c>
      <c r="L331" s="1" t="n">
        <v>0.006021738</v>
      </c>
      <c r="M331" s="1" t="n">
        <v>0.006233215</v>
      </c>
      <c r="N331" s="1" t="n">
        <v>0.006176233</v>
      </c>
      <c r="O331" s="1" t="n">
        <v>0.006123543</v>
      </c>
      <c r="P331" s="1" t="n">
        <v>0.006117105</v>
      </c>
      <c r="R331" s="1" t="n">
        <f aca="false">PERCENTILE(G331:P331,0.9)</f>
        <v>0.006315541</v>
      </c>
      <c r="S331" s="5" t="n">
        <f aca="false">spmv_1!R$18/R331</f>
        <v>12.2774484086161</v>
      </c>
      <c r="T331" s="6" t="n">
        <f aca="false">S331/64</f>
        <v>0.191835131384627</v>
      </c>
    </row>
    <row r="332" customFormat="false" ht="15" hidden="false" customHeight="false" outlineLevel="0" collapsed="false">
      <c r="A332" s="1" t="s">
        <v>19</v>
      </c>
      <c r="B332" s="1" t="n">
        <v>62</v>
      </c>
      <c r="D332" s="1" t="n">
        <v>572002</v>
      </c>
      <c r="E332" s="1" t="n">
        <v>0.186254</v>
      </c>
      <c r="G332" s="1" t="n">
        <v>0.007524014</v>
      </c>
      <c r="H332" s="1" t="n">
        <v>0.005946636</v>
      </c>
      <c r="I332" s="1" t="n">
        <v>0.006086588</v>
      </c>
      <c r="J332" s="1" t="n">
        <v>0.006060123</v>
      </c>
      <c r="K332" s="1" t="n">
        <v>0.005726337</v>
      </c>
      <c r="L332" s="1" t="n">
        <v>0.005872488</v>
      </c>
      <c r="M332" s="1" t="n">
        <v>0.00619483</v>
      </c>
      <c r="N332" s="1" t="n">
        <v>0.006013393</v>
      </c>
      <c r="O332" s="1" t="n">
        <v>0.006002903</v>
      </c>
      <c r="P332" s="1" t="n">
        <v>0.00599432</v>
      </c>
      <c r="R332" s="1" t="n">
        <f aca="false">PERCENTILE(G332:P332,0.9)</f>
        <v>0.0063277484</v>
      </c>
      <c r="S332" s="5" t="n">
        <f aca="false">spmv_1!R$18/R332</f>
        <v>12.2537629340636</v>
      </c>
      <c r="T332" s="6" t="n">
        <f aca="false">S332/64</f>
        <v>0.191465045844743</v>
      </c>
    </row>
    <row r="333" customFormat="false" ht="15" hidden="false" customHeight="false" outlineLevel="0" collapsed="false">
      <c r="A333" s="1" t="s">
        <v>19</v>
      </c>
      <c r="B333" s="1" t="n">
        <v>63</v>
      </c>
      <c r="D333" s="1" t="n">
        <v>595349</v>
      </c>
      <c r="E333" s="1" t="n">
        <v>0.198384</v>
      </c>
      <c r="G333" s="1" t="n">
        <v>0.007069826</v>
      </c>
      <c r="H333" s="1" t="n">
        <v>0.005873919</v>
      </c>
      <c r="I333" s="1" t="n">
        <v>0.005895376</v>
      </c>
      <c r="J333" s="1" t="n">
        <v>0.005857468</v>
      </c>
      <c r="K333" s="1" t="n">
        <v>0.005756378</v>
      </c>
      <c r="L333" s="1" t="n">
        <v>0.005879164</v>
      </c>
      <c r="M333" s="1" t="n">
        <v>0.005927563</v>
      </c>
      <c r="N333" s="1" t="n">
        <v>0.005900145</v>
      </c>
      <c r="O333" s="1" t="n">
        <v>0.005913258</v>
      </c>
      <c r="P333" s="1" t="n">
        <v>0.005946636</v>
      </c>
      <c r="R333" s="1" t="n">
        <f aca="false">PERCENTILE(G333:P333,0.9)</f>
        <v>0.006058955</v>
      </c>
      <c r="S333" s="5" t="n">
        <f aca="false">spmv_1!R$18/R333</f>
        <v>12.7973765773141</v>
      </c>
      <c r="T333" s="6" t="n">
        <f aca="false">S333/64</f>
        <v>0.199959009020532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653"/>
  <sheetViews>
    <sheetView showFormulas="false" showGridLines="true" showRowColHeaders="true" showZeros="true" rightToLeft="false" tabSelected="false" showOutlineSymbols="true" defaultGridColor="true" view="normal" topLeftCell="A250" colorId="64" zoomScale="100" zoomScaleNormal="100" zoomScalePageLayoutView="100" workbookViewId="0">
      <selection pane="topLeft" activeCell="F261" activeCellId="0" sqref="F261"/>
    </sheetView>
  </sheetViews>
  <sheetFormatPr defaultColWidth="8.6171875" defaultRowHeight="15" customHeight="true" zeroHeight="false" outlineLevelRow="0" outlineLevelCol="0"/>
  <cols>
    <col collapsed="false" customWidth="true" hidden="false" outlineLevel="0" max="1" min="1" style="1" width="13.34"/>
    <col collapsed="false" customWidth="true" hidden="false" outlineLevel="0" max="3" min="3" style="1" width="6.25"/>
    <col collapsed="false" customWidth="true" hidden="false" outlineLevel="0" max="5" min="4" style="1" width="13.34"/>
    <col collapsed="false" customWidth="true" hidden="false" outlineLevel="0" max="6" min="6" style="1" width="6.25"/>
    <col collapsed="false" customWidth="true" hidden="false" outlineLevel="0" max="16" min="7" style="1" width="13.34"/>
    <col collapsed="false" customWidth="true" hidden="false" outlineLevel="0" max="17" min="17" style="1" width="6.25"/>
    <col collapsed="false" customWidth="true" hidden="false" outlineLevel="0" max="18" min="18" style="1" width="13.34"/>
    <col collapsed="false" customWidth="true" hidden="false" outlineLevel="0" max="19" min="19" style="5" width="13.34"/>
    <col collapsed="false" customWidth="true" hidden="false" outlineLevel="0" max="20" min="20" style="6" width="13.34"/>
    <col collapsed="false" customWidth="true" hidden="false" outlineLevel="0" max="16384" min="16384" style="1" width="10.49"/>
  </cols>
  <sheetData>
    <row r="1" customFormat="false" ht="15" hidden="false" customHeight="false" outlineLevel="0" collapsed="false">
      <c r="A1" s="2" t="s">
        <v>0</v>
      </c>
      <c r="B1" s="2" t="s">
        <v>1</v>
      </c>
      <c r="C1" s="3"/>
      <c r="D1" s="2" t="s">
        <v>2</v>
      </c>
      <c r="E1" s="2" t="s">
        <v>3</v>
      </c>
      <c r="F1" s="3"/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R1" s="4" t="s">
        <v>14</v>
      </c>
      <c r="S1" s="7" t="s">
        <v>20</v>
      </c>
      <c r="T1" s="8" t="s">
        <v>21</v>
      </c>
    </row>
    <row r="2" customFormat="false" ht="15" hidden="false" customHeight="false" outlineLevel="0" collapsed="false">
      <c r="A2" s="1" t="s">
        <v>15</v>
      </c>
      <c r="B2" s="1" t="n">
        <v>0</v>
      </c>
      <c r="D2" s="1" t="n">
        <v>84788</v>
      </c>
      <c r="E2" s="1" t="n">
        <v>0.043537</v>
      </c>
      <c r="G2" s="1" t="n">
        <v>0.005342722</v>
      </c>
      <c r="H2" s="1" t="n">
        <v>0.004157782</v>
      </c>
      <c r="I2" s="1" t="n">
        <v>0.00366497</v>
      </c>
      <c r="J2" s="1" t="n">
        <v>0.003679037</v>
      </c>
      <c r="K2" s="1" t="n">
        <v>0.003547907</v>
      </c>
      <c r="L2" s="1" t="n">
        <v>0.003806114</v>
      </c>
      <c r="M2" s="1" t="n">
        <v>0.003496885</v>
      </c>
      <c r="N2" s="1" t="n">
        <v>0.00345993</v>
      </c>
      <c r="O2" s="1" t="n">
        <v>0.00361228</v>
      </c>
      <c r="P2" s="1" t="n">
        <v>0.0041821</v>
      </c>
      <c r="R2" s="1" t="n">
        <f aca="false">PERCENTILE(G2:P2,0.9)</f>
        <v>0.0042981622</v>
      </c>
      <c r="S2" s="5" t="n">
        <f aca="false">spmv_1!R$2/R2</f>
        <v>4.05365074403195</v>
      </c>
      <c r="T2" s="6" t="n">
        <f aca="false">S2/128</f>
        <v>0.0316691464377496</v>
      </c>
    </row>
    <row r="3" customFormat="false" ht="15" hidden="false" customHeight="false" outlineLevel="0" collapsed="false">
      <c r="A3" s="1" t="s">
        <v>15</v>
      </c>
      <c r="B3" s="1" t="n">
        <v>1</v>
      </c>
      <c r="D3" s="1" t="n">
        <v>84471</v>
      </c>
      <c r="E3" s="1" t="n">
        <v>0.044051</v>
      </c>
      <c r="G3" s="1" t="n">
        <v>0.005228996</v>
      </c>
      <c r="H3" s="1" t="n">
        <v>0.004104614</v>
      </c>
      <c r="I3" s="1" t="n">
        <v>0.003626347</v>
      </c>
      <c r="J3" s="1" t="n">
        <v>0.003611326</v>
      </c>
      <c r="K3" s="1" t="n">
        <v>0.003503084</v>
      </c>
      <c r="L3" s="1" t="n">
        <v>0.003738165</v>
      </c>
      <c r="M3" s="1" t="n">
        <v>0.003445864</v>
      </c>
      <c r="N3" s="1" t="n">
        <v>0.003398895</v>
      </c>
      <c r="O3" s="1" t="n">
        <v>0.00356555</v>
      </c>
      <c r="P3" s="1" t="n">
        <v>0.004128456</v>
      </c>
      <c r="R3" s="1" t="n">
        <f aca="false">PERCENTILE(G3:P3,0.9)</f>
        <v>0.00423851</v>
      </c>
      <c r="S3" s="5" t="n">
        <f aca="false">spmv_1!R$2/R3</f>
        <v>4.1107012605845</v>
      </c>
      <c r="T3" s="6" t="n">
        <f aca="false">S3/128</f>
        <v>0.0321148535983164</v>
      </c>
    </row>
    <row r="4" customFormat="false" ht="15" hidden="false" customHeight="false" outlineLevel="0" collapsed="false">
      <c r="A4" s="1" t="s">
        <v>15</v>
      </c>
      <c r="B4" s="1" t="n">
        <v>2</v>
      </c>
      <c r="D4" s="1" t="n">
        <v>84398</v>
      </c>
      <c r="E4" s="1" t="n">
        <v>0.041904</v>
      </c>
      <c r="G4" s="1" t="n">
        <v>0.005577803</v>
      </c>
      <c r="H4" s="1" t="n">
        <v>0.004320145</v>
      </c>
      <c r="I4" s="1" t="n">
        <v>0.003825188</v>
      </c>
      <c r="J4" s="1" t="n">
        <v>0.003796816</v>
      </c>
      <c r="K4" s="1" t="n">
        <v>0.003714085</v>
      </c>
      <c r="L4" s="1" t="n">
        <v>0.003926516</v>
      </c>
      <c r="M4" s="1" t="n">
        <v>0.003611088</v>
      </c>
      <c r="N4" s="1" t="n">
        <v>0.003578663</v>
      </c>
      <c r="O4" s="1" t="n">
        <v>0.003720284</v>
      </c>
      <c r="P4" s="1" t="n">
        <v>0.004210711</v>
      </c>
      <c r="R4" s="1" t="n">
        <f aca="false">PERCENTILE(G4:P4,0.9)</f>
        <v>0.0044459108</v>
      </c>
      <c r="S4" s="5" t="n">
        <f aca="false">spmv_1!R$2/R4</f>
        <v>3.91893791481377</v>
      </c>
      <c r="T4" s="6" t="n">
        <f aca="false">S4/128</f>
        <v>0.0306167024594825</v>
      </c>
    </row>
    <row r="5" customFormat="false" ht="15" hidden="false" customHeight="false" outlineLevel="0" collapsed="false">
      <c r="A5" s="1" t="s">
        <v>15</v>
      </c>
      <c r="B5" s="1" t="n">
        <v>3</v>
      </c>
      <c r="D5" s="1" t="n">
        <v>83229</v>
      </c>
      <c r="E5" s="1" t="n">
        <v>0.041783</v>
      </c>
      <c r="G5" s="1" t="n">
        <v>0.005484581</v>
      </c>
      <c r="H5" s="1" t="n">
        <v>0.004300594</v>
      </c>
      <c r="I5" s="1" t="n">
        <v>0.003820896</v>
      </c>
      <c r="J5" s="1" t="n">
        <v>0.003791332</v>
      </c>
      <c r="K5" s="1" t="n">
        <v>0.00370717</v>
      </c>
      <c r="L5" s="1" t="n">
        <v>0.00391674</v>
      </c>
      <c r="M5" s="1" t="n">
        <v>0.00359869</v>
      </c>
      <c r="N5" s="1" t="n">
        <v>0.003568411</v>
      </c>
      <c r="O5" s="1" t="n">
        <v>0.003748417</v>
      </c>
      <c r="P5" s="1" t="n">
        <v>0.00390172</v>
      </c>
      <c r="R5" s="1" t="n">
        <f aca="false">PERCENTILE(G5:P5,0.9)</f>
        <v>0.0044189927</v>
      </c>
      <c r="S5" s="5" t="n">
        <f aca="false">spmv_1!R$2/R5</f>
        <v>3.94280995304654</v>
      </c>
      <c r="T5" s="6" t="n">
        <f aca="false">S5/128</f>
        <v>0.0308032027581761</v>
      </c>
    </row>
    <row r="6" customFormat="false" ht="15" hidden="false" customHeight="false" outlineLevel="0" collapsed="false">
      <c r="A6" s="1" t="s">
        <v>15</v>
      </c>
      <c r="B6" s="1" t="n">
        <v>4</v>
      </c>
      <c r="D6" s="1" t="n">
        <v>83097</v>
      </c>
      <c r="E6" s="1" t="n">
        <v>0.044323</v>
      </c>
      <c r="G6" s="1" t="n">
        <v>0.005288839</v>
      </c>
      <c r="H6" s="1" t="n">
        <v>0.00399065</v>
      </c>
      <c r="I6" s="1" t="n">
        <v>0.003560781</v>
      </c>
      <c r="J6" s="1" t="n">
        <v>0.003551245</v>
      </c>
      <c r="K6" s="1" t="n">
        <v>0.003437757</v>
      </c>
      <c r="L6" s="1" t="n">
        <v>0.00368762</v>
      </c>
      <c r="M6" s="1" t="n">
        <v>0.003396988</v>
      </c>
      <c r="N6" s="1" t="n">
        <v>0.003352642</v>
      </c>
      <c r="O6" s="1" t="n">
        <v>0.003501177</v>
      </c>
      <c r="P6" s="1" t="n">
        <v>0.00372839</v>
      </c>
      <c r="R6" s="1" t="n">
        <f aca="false">PERCENTILE(G6:P6,0.9)</f>
        <v>0.0041204689</v>
      </c>
      <c r="S6" s="5" t="n">
        <f aca="false">spmv_1!R$2/R6</f>
        <v>4.22846254221213</v>
      </c>
      <c r="T6" s="6" t="n">
        <f aca="false">S6/128</f>
        <v>0.0330348636110322</v>
      </c>
    </row>
    <row r="7" customFormat="false" ht="15" hidden="false" customHeight="false" outlineLevel="0" collapsed="false">
      <c r="A7" s="1" t="s">
        <v>15</v>
      </c>
      <c r="B7" s="1" t="n">
        <v>5</v>
      </c>
      <c r="D7" s="1" t="n">
        <v>83185</v>
      </c>
      <c r="E7" s="1" t="n">
        <v>0.042033</v>
      </c>
      <c r="G7" s="1" t="n">
        <v>0.005454779</v>
      </c>
      <c r="H7" s="1" t="n">
        <v>0.004276991</v>
      </c>
      <c r="I7" s="1" t="n">
        <v>0.003794909</v>
      </c>
      <c r="J7" s="1" t="n">
        <v>0.003761292</v>
      </c>
      <c r="K7" s="1" t="n">
        <v>0.003682613</v>
      </c>
      <c r="L7" s="1" t="n">
        <v>0.003895283</v>
      </c>
      <c r="M7" s="1" t="n">
        <v>0.003580809</v>
      </c>
      <c r="N7" s="1" t="n">
        <v>0.00356102</v>
      </c>
      <c r="O7" s="1" t="n">
        <v>0.003695726</v>
      </c>
      <c r="P7" s="1" t="n">
        <v>0.003877163</v>
      </c>
      <c r="R7" s="1" t="n">
        <f aca="false">PERCENTILE(G7:P7,0.9)</f>
        <v>0.0043947698</v>
      </c>
      <c r="S7" s="5" t="n">
        <f aca="false">spmv_1!R$2/R7</f>
        <v>3.96454176052634</v>
      </c>
      <c r="T7" s="6" t="n">
        <f aca="false">S7/128</f>
        <v>0.030972982504112</v>
      </c>
    </row>
    <row r="8" customFormat="false" ht="15" hidden="false" customHeight="false" outlineLevel="0" collapsed="false">
      <c r="A8" s="1" t="s">
        <v>15</v>
      </c>
      <c r="B8" s="1" t="n">
        <v>6</v>
      </c>
      <c r="D8" s="1" t="n">
        <v>82696</v>
      </c>
      <c r="E8" s="1" t="n">
        <v>0.04198</v>
      </c>
      <c r="G8" s="1" t="n">
        <v>0.005414963</v>
      </c>
      <c r="H8" s="1" t="n">
        <v>0.004253149</v>
      </c>
      <c r="I8" s="1" t="n">
        <v>0.003776312</v>
      </c>
      <c r="J8" s="1" t="n">
        <v>0.003748894</v>
      </c>
      <c r="K8" s="1" t="n">
        <v>0.003664732</v>
      </c>
      <c r="L8" s="1" t="n">
        <v>0.003878117</v>
      </c>
      <c r="M8" s="1" t="n">
        <v>0.003568172</v>
      </c>
      <c r="N8" s="1" t="n">
        <v>0.003555059</v>
      </c>
      <c r="O8" s="1" t="n">
        <v>0.003680229</v>
      </c>
      <c r="P8" s="1" t="n">
        <v>0.003858566</v>
      </c>
      <c r="R8" s="1" t="n">
        <f aca="false">PERCENTILE(G8:P8,0.9)</f>
        <v>0.0043693304</v>
      </c>
      <c r="S8" s="5" t="n">
        <f aca="false">spmv_1!R$2/R8</f>
        <v>3.98762437374844</v>
      </c>
      <c r="T8" s="6" t="n">
        <f aca="false">S8/128</f>
        <v>0.0311533154199097</v>
      </c>
    </row>
    <row r="9" customFormat="false" ht="15" hidden="false" customHeight="false" outlineLevel="0" collapsed="false">
      <c r="A9" s="1" t="s">
        <v>15</v>
      </c>
      <c r="B9" s="1" t="n">
        <v>7</v>
      </c>
      <c r="D9" s="1" t="n">
        <v>82836</v>
      </c>
      <c r="E9" s="1" t="n">
        <v>0.042231</v>
      </c>
      <c r="G9" s="1" t="n">
        <v>0.00541091</v>
      </c>
      <c r="H9" s="1" t="n">
        <v>0.004224062</v>
      </c>
      <c r="I9" s="1" t="n">
        <v>0.00376153</v>
      </c>
      <c r="J9" s="1" t="n">
        <v>0.003733635</v>
      </c>
      <c r="K9" s="1" t="n">
        <v>0.003656387</v>
      </c>
      <c r="L9" s="1" t="n">
        <v>0.003866434</v>
      </c>
      <c r="M9" s="1" t="n">
        <v>0.003539324</v>
      </c>
      <c r="N9" s="1" t="n">
        <v>0.003544569</v>
      </c>
      <c r="O9" s="1" t="n">
        <v>0.003647566</v>
      </c>
      <c r="P9" s="1" t="n">
        <v>0.003845453</v>
      </c>
      <c r="R9" s="1" t="n">
        <f aca="false">PERCENTILE(G9:P9,0.9)</f>
        <v>0.0043427468</v>
      </c>
      <c r="S9" s="5" t="n">
        <f aca="false">spmv_1!R$2/R9</f>
        <v>4.0120341347094</v>
      </c>
      <c r="T9" s="6" t="n">
        <f aca="false">S9/128</f>
        <v>0.0313440166774172</v>
      </c>
    </row>
    <row r="10" customFormat="false" ht="15" hidden="false" customHeight="false" outlineLevel="0" collapsed="false">
      <c r="A10" s="1" t="s">
        <v>15</v>
      </c>
      <c r="B10" s="1" t="n">
        <v>8</v>
      </c>
      <c r="D10" s="1" t="n">
        <v>82791</v>
      </c>
      <c r="E10" s="1" t="n">
        <v>0.045259</v>
      </c>
      <c r="G10" s="1" t="n">
        <v>0.005111694</v>
      </c>
      <c r="H10" s="1" t="n">
        <v>0.003895521</v>
      </c>
      <c r="I10" s="1" t="n">
        <v>0.003489017</v>
      </c>
      <c r="J10" s="1" t="n">
        <v>0.003465176</v>
      </c>
      <c r="K10" s="1" t="n">
        <v>0.003369331</v>
      </c>
      <c r="L10" s="1" t="n">
        <v>0.003615141</v>
      </c>
      <c r="M10" s="1" t="n">
        <v>0.003315687</v>
      </c>
      <c r="N10" s="1" t="n">
        <v>0.003277302</v>
      </c>
      <c r="O10" s="1" t="n">
        <v>0.003415108</v>
      </c>
      <c r="P10" s="1" t="n">
        <v>0.003631592</v>
      </c>
      <c r="R10" s="1" t="n">
        <f aca="false">PERCENTILE(G10:P10,0.9)</f>
        <v>0.0040171383</v>
      </c>
      <c r="S10" s="5" t="n">
        <f aca="false">spmv_1!R$2/R10</f>
        <v>4.33722891741118</v>
      </c>
      <c r="T10" s="6" t="n">
        <f aca="false">S10/128</f>
        <v>0.0338846009172749</v>
      </c>
    </row>
    <row r="11" customFormat="false" ht="15" hidden="false" customHeight="false" outlineLevel="0" collapsed="false">
      <c r="A11" s="1" t="s">
        <v>15</v>
      </c>
      <c r="B11" s="1" t="n">
        <v>9</v>
      </c>
      <c r="D11" s="1" t="n">
        <v>82835</v>
      </c>
      <c r="E11" s="1" t="n">
        <v>0.045364</v>
      </c>
      <c r="G11" s="1" t="n">
        <v>0.005206347</v>
      </c>
      <c r="H11" s="1" t="n">
        <v>0.003868341</v>
      </c>
      <c r="I11" s="1" t="n">
        <v>0.003471613</v>
      </c>
      <c r="J11" s="1" t="n">
        <v>0.003448725</v>
      </c>
      <c r="K11" s="1" t="n">
        <v>0.003352642</v>
      </c>
      <c r="L11" s="1" t="n">
        <v>0.003600836</v>
      </c>
      <c r="M11" s="1" t="n">
        <v>0.003299713</v>
      </c>
      <c r="N11" s="1" t="n">
        <v>0.003261089</v>
      </c>
      <c r="O11" s="1" t="n">
        <v>0.00339365</v>
      </c>
      <c r="P11" s="1" t="n">
        <v>0.003617287</v>
      </c>
      <c r="R11" s="1" t="n">
        <f aca="false">PERCENTILE(G11:P11,0.9)</f>
        <v>0.0040021416</v>
      </c>
      <c r="S11" s="5" t="n">
        <f aca="false">spmv_1!R$2/R11</f>
        <v>4.35348124614082</v>
      </c>
      <c r="T11" s="6" t="n">
        <f aca="false">S11/128</f>
        <v>0.0340115722354751</v>
      </c>
    </row>
    <row r="12" customFormat="false" ht="15" hidden="false" customHeight="false" outlineLevel="0" collapsed="false">
      <c r="A12" s="1" t="s">
        <v>15</v>
      </c>
      <c r="B12" s="1" t="n">
        <v>10</v>
      </c>
      <c r="D12" s="1" t="n">
        <v>82711</v>
      </c>
      <c r="E12" s="1" t="n">
        <v>0.044594</v>
      </c>
      <c r="G12" s="1" t="n">
        <v>0.005172729</v>
      </c>
      <c r="H12" s="1" t="n">
        <v>0.003951073</v>
      </c>
      <c r="I12" s="1" t="n">
        <v>0.003567457</v>
      </c>
      <c r="J12" s="1" t="n">
        <v>0.00354743</v>
      </c>
      <c r="K12" s="1" t="n">
        <v>0.003419161</v>
      </c>
      <c r="L12" s="1" t="n">
        <v>0.00366807</v>
      </c>
      <c r="M12" s="1" t="n">
        <v>0.003373623</v>
      </c>
      <c r="N12" s="1" t="n">
        <v>0.003303051</v>
      </c>
      <c r="O12" s="1" t="n">
        <v>0.003441572</v>
      </c>
      <c r="P12" s="1" t="n">
        <v>0.003650904</v>
      </c>
      <c r="R12" s="1" t="n">
        <f aca="false">PERCENTILE(G12:P12,0.9)</f>
        <v>0.0040732386</v>
      </c>
      <c r="S12" s="5" t="n">
        <f aca="false">spmv_1!R$2/R12</f>
        <v>4.27749270568142</v>
      </c>
      <c r="T12" s="6" t="n">
        <f aca="false">S12/128</f>
        <v>0.0334179117631361</v>
      </c>
    </row>
    <row r="13" customFormat="false" ht="15" hidden="false" customHeight="false" outlineLevel="0" collapsed="false">
      <c r="A13" s="1" t="s">
        <v>15</v>
      </c>
      <c r="B13" s="1" t="n">
        <v>11</v>
      </c>
      <c r="D13" s="1" t="n">
        <v>82828</v>
      </c>
      <c r="E13" s="1" t="n">
        <v>0.046123</v>
      </c>
      <c r="G13" s="1" t="n">
        <v>0.005021811</v>
      </c>
      <c r="H13" s="1" t="n">
        <v>0.003794909</v>
      </c>
      <c r="I13" s="1" t="n">
        <v>0.003436804</v>
      </c>
      <c r="J13" s="1" t="n">
        <v>0.003389835</v>
      </c>
      <c r="K13" s="1" t="n">
        <v>0.003309011</v>
      </c>
      <c r="L13" s="1" t="n">
        <v>0.003561497</v>
      </c>
      <c r="M13" s="1" t="n">
        <v>0.003264427</v>
      </c>
      <c r="N13" s="1" t="n">
        <v>0.003213644</v>
      </c>
      <c r="O13" s="1" t="n">
        <v>0.003353834</v>
      </c>
      <c r="P13" s="1" t="n">
        <v>0.00357008</v>
      </c>
      <c r="R13" s="1" t="n">
        <f aca="false">PERCENTILE(G13:P13,0.9)</f>
        <v>0.0039175992</v>
      </c>
      <c r="S13" s="5" t="n">
        <f aca="false">spmv_1!R$2/R13</f>
        <v>4.4474300484848</v>
      </c>
      <c r="T13" s="6" t="n">
        <f aca="false">S13/128</f>
        <v>0.0347455472537875</v>
      </c>
    </row>
    <row r="14" customFormat="false" ht="15" hidden="false" customHeight="false" outlineLevel="0" collapsed="false">
      <c r="A14" s="1" t="s">
        <v>15</v>
      </c>
      <c r="B14" s="1" t="n">
        <v>12</v>
      </c>
      <c r="D14" s="1" t="n">
        <v>83382</v>
      </c>
      <c r="E14" s="1" t="n">
        <v>0.046712</v>
      </c>
      <c r="G14" s="1" t="n">
        <v>0.004987001</v>
      </c>
      <c r="H14" s="1" t="n">
        <v>0.003773451</v>
      </c>
      <c r="I14" s="1" t="n">
        <v>0.003406286</v>
      </c>
      <c r="J14" s="1" t="n">
        <v>0.003374815</v>
      </c>
      <c r="K14" s="1" t="n">
        <v>0.003290176</v>
      </c>
      <c r="L14" s="1" t="n">
        <v>0.003528118</v>
      </c>
      <c r="M14" s="1" t="n">
        <v>0.003246784</v>
      </c>
      <c r="N14" s="1" t="n">
        <v>0.0031991</v>
      </c>
      <c r="O14" s="1" t="n">
        <v>0.00333643</v>
      </c>
      <c r="P14" s="1" t="n">
        <v>0.003558159</v>
      </c>
      <c r="R14" s="1" t="n">
        <f aca="false">PERCENTILE(G14:P14,0.9)</f>
        <v>0.003894806</v>
      </c>
      <c r="S14" s="5" t="n">
        <f aca="false">spmv_1!R$2/R14</f>
        <v>4.47345731725791</v>
      </c>
      <c r="T14" s="6" t="n">
        <f aca="false">S14/128</f>
        <v>0.0349488852910774</v>
      </c>
    </row>
    <row r="15" customFormat="false" ht="15" hidden="false" customHeight="false" outlineLevel="0" collapsed="false">
      <c r="A15" s="1" t="s">
        <v>15</v>
      </c>
      <c r="B15" s="1" t="n">
        <v>13</v>
      </c>
      <c r="D15" s="1" t="n">
        <v>83647</v>
      </c>
      <c r="E15" s="1" t="n">
        <v>0.044364</v>
      </c>
      <c r="G15" s="1" t="n">
        <v>0.005232573</v>
      </c>
      <c r="H15" s="1" t="n">
        <v>0.003968239</v>
      </c>
      <c r="I15" s="1" t="n">
        <v>0.003629684</v>
      </c>
      <c r="J15" s="1" t="n">
        <v>0.00359416</v>
      </c>
      <c r="K15" s="1" t="n">
        <v>0.003519058</v>
      </c>
      <c r="L15" s="1" t="n">
        <v>0.003713369</v>
      </c>
      <c r="M15" s="1" t="n">
        <v>0.003406763</v>
      </c>
      <c r="N15" s="1" t="n">
        <v>0.003376245</v>
      </c>
      <c r="O15" s="1" t="n">
        <v>0.003530264</v>
      </c>
      <c r="P15" s="1" t="n">
        <v>0.003739357</v>
      </c>
      <c r="R15" s="1" t="n">
        <f aca="false">PERCENTILE(G15:P15,0.9)</f>
        <v>0.0040946724</v>
      </c>
      <c r="S15" s="5" t="n">
        <f aca="false">spmv_1!R$2/R15</f>
        <v>4.25510192219529</v>
      </c>
      <c r="T15" s="6" t="n">
        <f aca="false">S15/128</f>
        <v>0.0332429837671507</v>
      </c>
    </row>
    <row r="16" customFormat="false" ht="15" hidden="false" customHeight="false" outlineLevel="0" collapsed="false">
      <c r="A16" s="1" t="s">
        <v>15</v>
      </c>
      <c r="B16" s="1" t="n">
        <v>14</v>
      </c>
      <c r="D16" s="1" t="n">
        <v>83474</v>
      </c>
      <c r="E16" s="1" t="n">
        <v>0.046927</v>
      </c>
      <c r="G16" s="1" t="n">
        <v>0.004937649</v>
      </c>
      <c r="H16" s="1" t="n">
        <v>0.003768682</v>
      </c>
      <c r="I16" s="1" t="n">
        <v>0.003406048</v>
      </c>
      <c r="J16" s="1" t="n">
        <v>0.003373384</v>
      </c>
      <c r="K16" s="1" t="n">
        <v>0.00328207</v>
      </c>
      <c r="L16" s="1" t="n">
        <v>0.003528118</v>
      </c>
      <c r="M16" s="1" t="n">
        <v>0.003230095</v>
      </c>
      <c r="N16" s="1" t="n">
        <v>0.003185987</v>
      </c>
      <c r="O16" s="1" t="n">
        <v>0.003333092</v>
      </c>
      <c r="P16" s="1" t="n">
        <v>0.003530979</v>
      </c>
      <c r="R16" s="1" t="n">
        <f aca="false">PERCENTILE(G16:P16,0.9)</f>
        <v>0.0038855787</v>
      </c>
      <c r="S16" s="5" t="n">
        <f aca="false">spmv_1!R$2/R16</f>
        <v>4.48408068533009</v>
      </c>
      <c r="T16" s="6" t="n">
        <f aca="false">S16/128</f>
        <v>0.0350318803541413</v>
      </c>
    </row>
    <row r="17" customFormat="false" ht="15" hidden="false" customHeight="false" outlineLevel="0" collapsed="false">
      <c r="A17" s="1" t="s">
        <v>15</v>
      </c>
      <c r="B17" s="1" t="n">
        <v>15</v>
      </c>
      <c r="D17" s="1" t="n">
        <v>83108</v>
      </c>
      <c r="E17" s="1" t="n">
        <v>0.047315</v>
      </c>
      <c r="G17" s="1" t="n">
        <v>0.004888773</v>
      </c>
      <c r="H17" s="1" t="n">
        <v>0.003711939</v>
      </c>
      <c r="I17" s="1" t="n">
        <v>0.003350258</v>
      </c>
      <c r="J17" s="1" t="n">
        <v>0.003327608</v>
      </c>
      <c r="K17" s="1" t="n">
        <v>0.003250122</v>
      </c>
      <c r="L17" s="1" t="n">
        <v>0.00347662</v>
      </c>
      <c r="M17" s="1" t="n">
        <v>0.00319767</v>
      </c>
      <c r="N17" s="1" t="n">
        <v>0.003151655</v>
      </c>
      <c r="O17" s="1" t="n">
        <v>0.003285646</v>
      </c>
      <c r="P17" s="1" t="n">
        <v>0.003489017</v>
      </c>
      <c r="R17" s="1" t="n">
        <f aca="false">PERCENTILE(G17:P17,0.9)</f>
        <v>0.0038296224</v>
      </c>
      <c r="S17" s="5" t="n">
        <f aca="false">spmv_1!R$2/R17</f>
        <v>4.54959956365411</v>
      </c>
      <c r="T17" s="6" t="n">
        <f aca="false">S17/128</f>
        <v>0.0355437465910477</v>
      </c>
    </row>
    <row r="18" customFormat="false" ht="15" hidden="false" customHeight="false" outlineLevel="0" collapsed="false">
      <c r="A18" s="1" t="s">
        <v>15</v>
      </c>
      <c r="B18" s="1" t="n">
        <v>16</v>
      </c>
      <c r="D18" s="1" t="n">
        <v>82899</v>
      </c>
      <c r="E18" s="1" t="n">
        <v>0.046863</v>
      </c>
      <c r="G18" s="1" t="n">
        <v>0.005024195</v>
      </c>
      <c r="H18" s="1" t="n">
        <v>0.003721714</v>
      </c>
      <c r="I18" s="1" t="n">
        <v>0.003386259</v>
      </c>
      <c r="J18" s="1" t="n">
        <v>0.003348351</v>
      </c>
      <c r="K18" s="1" t="n">
        <v>0.003249884</v>
      </c>
      <c r="L18" s="1" t="n">
        <v>0.003495932</v>
      </c>
      <c r="M18" s="1" t="n">
        <v>0.003210306</v>
      </c>
      <c r="N18" s="1" t="n">
        <v>0.003146172</v>
      </c>
      <c r="O18" s="1" t="n">
        <v>0.003306389</v>
      </c>
      <c r="P18" s="1" t="n">
        <v>0.003489733</v>
      </c>
      <c r="R18" s="1" t="n">
        <f aca="false">PERCENTILE(G18:P18,0.9)</f>
        <v>0.0038519621</v>
      </c>
      <c r="S18" s="5" t="n">
        <f aca="false">spmv_1!R$2/R18</f>
        <v>4.52321387066607</v>
      </c>
      <c r="T18" s="6" t="n">
        <f aca="false">S18/128</f>
        <v>0.0353376083645787</v>
      </c>
    </row>
    <row r="19" customFormat="false" ht="15" hidden="false" customHeight="false" outlineLevel="0" collapsed="false">
      <c r="A19" s="1" t="s">
        <v>15</v>
      </c>
      <c r="B19" s="1" t="n">
        <v>17</v>
      </c>
      <c r="D19" s="1" t="n">
        <v>82819</v>
      </c>
      <c r="E19" s="1" t="n">
        <v>0.047585</v>
      </c>
      <c r="G19" s="1" t="n">
        <v>0.004843235</v>
      </c>
      <c r="H19" s="1" t="n">
        <v>0.003668308</v>
      </c>
      <c r="I19" s="1" t="n">
        <v>0.003334045</v>
      </c>
      <c r="J19" s="1" t="n">
        <v>0.003300428</v>
      </c>
      <c r="K19" s="1" t="n">
        <v>0.003226042</v>
      </c>
      <c r="L19" s="1" t="n">
        <v>0.0034585</v>
      </c>
      <c r="M19" s="1" t="n">
        <v>0.003174543</v>
      </c>
      <c r="N19" s="1" t="n">
        <v>0.003101587</v>
      </c>
      <c r="O19" s="1" t="n">
        <v>0.003259182</v>
      </c>
      <c r="P19" s="1" t="n">
        <v>0.003443241</v>
      </c>
      <c r="R19" s="1" t="n">
        <f aca="false">PERCENTILE(G19:P19,0.9)</f>
        <v>0.0037858007</v>
      </c>
      <c r="S19" s="5" t="n">
        <f aca="false">spmv_1!R$2/R19</f>
        <v>4.60226244873376</v>
      </c>
      <c r="T19" s="6" t="n">
        <f aca="false">S19/128</f>
        <v>0.0359551753807325</v>
      </c>
    </row>
    <row r="20" customFormat="false" ht="15" hidden="false" customHeight="false" outlineLevel="0" collapsed="false">
      <c r="A20" s="1" t="s">
        <v>15</v>
      </c>
      <c r="B20" s="1" t="n">
        <v>18</v>
      </c>
      <c r="D20" s="1" t="n">
        <v>82915</v>
      </c>
      <c r="E20" s="1" t="n">
        <v>0.047462</v>
      </c>
      <c r="G20" s="1" t="n">
        <v>0.004947424</v>
      </c>
      <c r="H20" s="1" t="n">
        <v>0.003638506</v>
      </c>
      <c r="I20" s="1" t="n">
        <v>0.00334239</v>
      </c>
      <c r="J20" s="1" t="n">
        <v>0.003320456</v>
      </c>
      <c r="K20" s="1" t="n">
        <v>0.003213882</v>
      </c>
      <c r="L20" s="1" t="n">
        <v>0.003483057</v>
      </c>
      <c r="M20" s="1" t="n">
        <v>0.003176928</v>
      </c>
      <c r="N20" s="1" t="n">
        <v>0.003096581</v>
      </c>
      <c r="O20" s="1" t="n">
        <v>0.003275633</v>
      </c>
      <c r="P20" s="1" t="n">
        <v>0.003444672</v>
      </c>
      <c r="R20" s="1" t="n">
        <f aca="false">PERCENTILE(G20:P20,0.9)</f>
        <v>0.0037693978</v>
      </c>
      <c r="S20" s="5" t="n">
        <f aca="false">spmv_1!R$2/R20</f>
        <v>4.62228964000563</v>
      </c>
      <c r="T20" s="6" t="n">
        <f aca="false">S20/128</f>
        <v>0.036111637812544</v>
      </c>
    </row>
    <row r="21" customFormat="false" ht="15" hidden="false" customHeight="false" outlineLevel="0" collapsed="false">
      <c r="A21" s="1" t="s">
        <v>15</v>
      </c>
      <c r="B21" s="1" t="n">
        <v>19</v>
      </c>
      <c r="D21" s="1" t="n">
        <v>82977</v>
      </c>
      <c r="E21" s="1" t="n">
        <v>0.046923</v>
      </c>
      <c r="G21" s="1" t="n">
        <v>0.004894733</v>
      </c>
      <c r="H21" s="1" t="n">
        <v>0.003688097</v>
      </c>
      <c r="I21" s="1" t="n">
        <v>0.003452063</v>
      </c>
      <c r="J21" s="1" t="n">
        <v>0.003390551</v>
      </c>
      <c r="K21" s="1" t="n">
        <v>0.003275156</v>
      </c>
      <c r="L21" s="1" t="n">
        <v>0.00351429</v>
      </c>
      <c r="M21" s="1" t="n">
        <v>0.003231049</v>
      </c>
      <c r="N21" s="1" t="n">
        <v>0.003146887</v>
      </c>
      <c r="O21" s="1" t="n">
        <v>0.003306389</v>
      </c>
      <c r="P21" s="1" t="n">
        <v>0.003468037</v>
      </c>
      <c r="R21" s="1" t="n">
        <f aca="false">PERCENTILE(G21:P21,0.9)</f>
        <v>0.0038087606</v>
      </c>
      <c r="S21" s="5" t="n">
        <f aca="false">spmv_1!R$2/R21</f>
        <v>4.57451917560794</v>
      </c>
      <c r="T21" s="6" t="n">
        <f aca="false">S21/128</f>
        <v>0.035738431059437</v>
      </c>
    </row>
    <row r="22" customFormat="false" ht="15" hidden="false" customHeight="false" outlineLevel="0" collapsed="false">
      <c r="A22" s="1" t="s">
        <v>15</v>
      </c>
      <c r="B22" s="1" t="n">
        <v>20</v>
      </c>
      <c r="D22" s="1" t="n">
        <v>82812</v>
      </c>
      <c r="E22" s="1" t="n">
        <v>0.048457</v>
      </c>
      <c r="G22" s="1" t="n">
        <v>0.004740953</v>
      </c>
      <c r="H22" s="1" t="n">
        <v>0.003564358</v>
      </c>
      <c r="I22" s="1" t="n">
        <v>0.003277302</v>
      </c>
      <c r="J22" s="1" t="n">
        <v>0.003254414</v>
      </c>
      <c r="K22" s="1" t="n">
        <v>0.003168344</v>
      </c>
      <c r="L22" s="1" t="n">
        <v>0.003401995</v>
      </c>
      <c r="M22" s="1" t="n">
        <v>0.003126144</v>
      </c>
      <c r="N22" s="1" t="n">
        <v>0.003055573</v>
      </c>
      <c r="O22" s="1" t="n">
        <v>0.003214598</v>
      </c>
      <c r="P22" s="1" t="n">
        <v>0.003376245</v>
      </c>
      <c r="R22" s="1" t="n">
        <f aca="false">PERCENTILE(G22:P22,0.9)</f>
        <v>0.0036820175</v>
      </c>
      <c r="S22" s="5" t="n">
        <f aca="false">spmv_1!R$2/R22</f>
        <v>4.73198413641434</v>
      </c>
      <c r="T22" s="6" t="n">
        <f aca="false">S22/128</f>
        <v>0.0369686260657371</v>
      </c>
    </row>
    <row r="23" customFormat="false" ht="15" hidden="false" customHeight="false" outlineLevel="0" collapsed="false">
      <c r="A23" s="1" t="s">
        <v>15</v>
      </c>
      <c r="B23" s="1" t="n">
        <v>21</v>
      </c>
      <c r="D23" s="1" t="n">
        <v>84584</v>
      </c>
      <c r="E23" s="1" t="n">
        <v>0.049899</v>
      </c>
      <c r="G23" s="1" t="n">
        <v>0.004705191</v>
      </c>
      <c r="H23" s="1" t="n">
        <v>0.003488779</v>
      </c>
      <c r="I23" s="1" t="n">
        <v>0.003250837</v>
      </c>
      <c r="J23" s="1" t="n">
        <v>0.00322485</v>
      </c>
      <c r="K23" s="1" t="n">
        <v>0.003151894</v>
      </c>
      <c r="L23" s="1" t="n">
        <v>0.003391743</v>
      </c>
      <c r="M23" s="1" t="n">
        <v>0.003111601</v>
      </c>
      <c r="N23" s="1" t="n">
        <v>0.003039837</v>
      </c>
      <c r="O23" s="1" t="n">
        <v>0.003180027</v>
      </c>
      <c r="P23" s="1" t="n">
        <v>0.00335741</v>
      </c>
      <c r="R23" s="1" t="n">
        <f aca="false">PERCENTILE(G23:P23,0.9)</f>
        <v>0.0036104202</v>
      </c>
      <c r="S23" s="5" t="n">
        <f aca="false">spmv_1!R$2/R23</f>
        <v>4.82582287790214</v>
      </c>
      <c r="T23" s="6" t="n">
        <f aca="false">S23/128</f>
        <v>0.0377017412336104</v>
      </c>
    </row>
    <row r="24" customFormat="false" ht="15" hidden="false" customHeight="false" outlineLevel="0" collapsed="false">
      <c r="A24" s="1" t="s">
        <v>15</v>
      </c>
      <c r="B24" s="1" t="n">
        <v>22</v>
      </c>
      <c r="D24" s="1" t="n">
        <v>84323</v>
      </c>
      <c r="E24" s="1" t="n">
        <v>0.049612</v>
      </c>
      <c r="G24" s="1" t="n">
        <v>0.004808426</v>
      </c>
      <c r="H24" s="1" t="n">
        <v>0.003475666</v>
      </c>
      <c r="I24" s="1" t="n">
        <v>0.003278732</v>
      </c>
      <c r="J24" s="1" t="n">
        <v>0.003243923</v>
      </c>
      <c r="K24" s="1" t="n">
        <v>0.003147125</v>
      </c>
      <c r="L24" s="1" t="n">
        <v>0.003382921</v>
      </c>
      <c r="M24" s="1" t="n">
        <v>0.003105164</v>
      </c>
      <c r="N24" s="1" t="n">
        <v>0.00303483</v>
      </c>
      <c r="O24" s="1" t="n">
        <v>0.003178358</v>
      </c>
      <c r="P24" s="1" t="n">
        <v>0.003337622</v>
      </c>
      <c r="R24" s="1" t="n">
        <f aca="false">PERCENTILE(G24:P24,0.9)</f>
        <v>0.003608942</v>
      </c>
      <c r="S24" s="5" t="n">
        <f aca="false">spmv_1!R$2/R24</f>
        <v>4.82779950467478</v>
      </c>
      <c r="T24" s="6" t="n">
        <f aca="false">S24/128</f>
        <v>0.0377171836302717</v>
      </c>
    </row>
    <row r="25" customFormat="false" ht="15" hidden="false" customHeight="false" outlineLevel="0" collapsed="false">
      <c r="A25" s="1" t="s">
        <v>15</v>
      </c>
      <c r="B25" s="1" t="n">
        <v>23</v>
      </c>
      <c r="D25" s="1" t="n">
        <v>84700</v>
      </c>
      <c r="E25" s="1" t="n">
        <v>0.050046</v>
      </c>
      <c r="G25" s="1" t="n">
        <v>0.004782915</v>
      </c>
      <c r="H25" s="1" t="n">
        <v>0.003395796</v>
      </c>
      <c r="I25" s="1" t="n">
        <v>0.00326848</v>
      </c>
      <c r="J25" s="1" t="n">
        <v>0.003229618</v>
      </c>
      <c r="K25" s="1" t="n">
        <v>0.003140688</v>
      </c>
      <c r="L25" s="1" t="n">
        <v>0.003376484</v>
      </c>
      <c r="M25" s="1" t="n">
        <v>0.003082752</v>
      </c>
      <c r="N25" s="1" t="n">
        <v>0.003012657</v>
      </c>
      <c r="O25" s="1" t="n">
        <v>0.003206968</v>
      </c>
      <c r="P25" s="1" t="n">
        <v>0.003352404</v>
      </c>
      <c r="R25" s="1" t="n">
        <f aca="false">PERCENTILE(G25:P25,0.9)</f>
        <v>0.0035345079</v>
      </c>
      <c r="S25" s="5" t="n">
        <f aca="false">spmv_1!R$2/R25</f>
        <v>4.92946936120867</v>
      </c>
      <c r="T25" s="6" t="n">
        <f aca="false">S25/128</f>
        <v>0.0385114793844427</v>
      </c>
    </row>
    <row r="26" customFormat="false" ht="15" hidden="false" customHeight="false" outlineLevel="0" collapsed="false">
      <c r="A26" s="1" t="s">
        <v>15</v>
      </c>
      <c r="B26" s="1" t="n">
        <v>24</v>
      </c>
      <c r="D26" s="1" t="n">
        <v>82685</v>
      </c>
      <c r="E26" s="1" t="n">
        <v>0.049741</v>
      </c>
      <c r="G26" s="1" t="n">
        <v>0.004640102</v>
      </c>
      <c r="H26" s="1" t="n">
        <v>0.003356218</v>
      </c>
      <c r="I26" s="1" t="n">
        <v>0.003207922</v>
      </c>
      <c r="J26" s="1" t="n">
        <v>0.003166199</v>
      </c>
      <c r="K26" s="1" t="n">
        <v>0.003092051</v>
      </c>
      <c r="L26" s="1" t="n">
        <v>0.003339767</v>
      </c>
      <c r="M26" s="1" t="n">
        <v>0.003032923</v>
      </c>
      <c r="N26" s="1" t="n">
        <v>0.002984285</v>
      </c>
      <c r="O26" s="1" t="n">
        <v>0.00313282</v>
      </c>
      <c r="P26" s="1" t="n">
        <v>0.00329423</v>
      </c>
      <c r="R26" s="1" t="n">
        <f aca="false">PERCENTILE(G26:P26,0.9)</f>
        <v>0.0034846064</v>
      </c>
      <c r="S26" s="5" t="n">
        <f aca="false">spmv_1!R$2/R26</f>
        <v>5.00006210170538</v>
      </c>
      <c r="T26" s="6" t="n">
        <f aca="false">S26/128</f>
        <v>0.0390629851695732</v>
      </c>
    </row>
    <row r="27" customFormat="false" ht="15" hidden="false" customHeight="false" outlineLevel="0" collapsed="false">
      <c r="A27" s="1" t="s">
        <v>15</v>
      </c>
      <c r="B27" s="1" t="n">
        <v>25</v>
      </c>
      <c r="D27" s="1" t="n">
        <v>83091</v>
      </c>
      <c r="E27" s="1" t="n">
        <v>0.050519</v>
      </c>
      <c r="G27" s="1" t="n">
        <v>0.004628658</v>
      </c>
      <c r="H27" s="1" t="n">
        <v>0.003310919</v>
      </c>
      <c r="I27" s="1" t="n">
        <v>0.003178835</v>
      </c>
      <c r="J27" s="1" t="n">
        <v>0.00312829</v>
      </c>
      <c r="K27" s="1" t="n">
        <v>0.003058672</v>
      </c>
      <c r="L27" s="1" t="n">
        <v>0.00329566</v>
      </c>
      <c r="M27" s="1" t="n">
        <v>0.002998114</v>
      </c>
      <c r="N27" s="1" t="n">
        <v>0.002949953</v>
      </c>
      <c r="O27" s="1" t="n">
        <v>0.003095388</v>
      </c>
      <c r="P27" s="1" t="n">
        <v>0.003250599</v>
      </c>
      <c r="R27" s="1" t="n">
        <f aca="false">PERCENTILE(G27:P27,0.9)</f>
        <v>0.0034426929</v>
      </c>
      <c r="S27" s="5" t="n">
        <f aca="false">spmv_1!R$2/R27</f>
        <v>5.06093598996297</v>
      </c>
      <c r="T27" s="6" t="n">
        <f aca="false">S27/128</f>
        <v>0.0395385624215857</v>
      </c>
    </row>
    <row r="28" customFormat="false" ht="15" hidden="false" customHeight="false" outlineLevel="0" collapsed="false">
      <c r="A28" s="1" t="s">
        <v>15</v>
      </c>
      <c r="B28" s="1" t="n">
        <v>26</v>
      </c>
      <c r="D28" s="1" t="n">
        <v>82839</v>
      </c>
      <c r="E28" s="1" t="n">
        <v>0.0507</v>
      </c>
      <c r="G28" s="1" t="n">
        <v>0.004596472</v>
      </c>
      <c r="H28" s="1" t="n">
        <v>0.00325036</v>
      </c>
      <c r="I28" s="1" t="n">
        <v>0.003151655</v>
      </c>
      <c r="J28" s="1" t="n">
        <v>0.003111362</v>
      </c>
      <c r="K28" s="1" t="n">
        <v>0.003045082</v>
      </c>
      <c r="L28" s="1" t="n">
        <v>0.003272057</v>
      </c>
      <c r="M28" s="1" t="n">
        <v>0.002990961</v>
      </c>
      <c r="N28" s="1" t="n">
        <v>0.002935886</v>
      </c>
      <c r="O28" s="1" t="n">
        <v>0.003080368</v>
      </c>
      <c r="P28" s="1" t="n">
        <v>0.003243685</v>
      </c>
      <c r="R28" s="1" t="n">
        <f aca="false">PERCENTILE(G28:P28,0.9)</f>
        <v>0.0034044985</v>
      </c>
      <c r="S28" s="5" t="n">
        <f aca="false">spmv_1!R$2/R28</f>
        <v>5.11771363682492</v>
      </c>
      <c r="T28" s="6" t="n">
        <f aca="false">S28/128</f>
        <v>0.0399821377876947</v>
      </c>
    </row>
    <row r="29" customFormat="false" ht="15" hidden="false" customHeight="false" outlineLevel="0" collapsed="false">
      <c r="A29" s="1" t="s">
        <v>15</v>
      </c>
      <c r="B29" s="1" t="n">
        <v>27</v>
      </c>
      <c r="D29" s="1" t="n">
        <v>83160</v>
      </c>
      <c r="E29" s="1" t="n">
        <v>0.051309</v>
      </c>
      <c r="G29" s="1" t="n">
        <v>0.004562855</v>
      </c>
      <c r="H29" s="1" t="n">
        <v>0.003196716</v>
      </c>
      <c r="I29" s="1" t="n">
        <v>0.003124714</v>
      </c>
      <c r="J29" s="1" t="n">
        <v>0.00308919</v>
      </c>
      <c r="K29" s="1" t="n">
        <v>0.003017187</v>
      </c>
      <c r="L29" s="1" t="n">
        <v>0.003258705</v>
      </c>
      <c r="M29" s="1" t="n">
        <v>0.002967119</v>
      </c>
      <c r="N29" s="1" t="n">
        <v>0.002915621</v>
      </c>
      <c r="O29" s="1" t="n">
        <v>0.003070354</v>
      </c>
      <c r="P29" s="1" t="n">
        <v>0.00321269</v>
      </c>
      <c r="R29" s="1" t="n">
        <f aca="false">PERCENTILE(G29:P29,0.9)</f>
        <v>0.00338912</v>
      </c>
      <c r="S29" s="5" t="n">
        <f aca="false">spmv_1!R$2/R29</f>
        <v>5.14093581814748</v>
      </c>
      <c r="T29" s="6" t="n">
        <f aca="false">S29/128</f>
        <v>0.0401635610792772</v>
      </c>
    </row>
    <row r="30" customFormat="false" ht="15" hidden="false" customHeight="false" outlineLevel="0" collapsed="false">
      <c r="A30" s="1" t="s">
        <v>15</v>
      </c>
      <c r="B30" s="1" t="n">
        <v>28</v>
      </c>
      <c r="D30" s="1" t="n">
        <v>82916</v>
      </c>
      <c r="E30" s="1" t="n">
        <v>0.051026</v>
      </c>
      <c r="G30" s="1" t="n">
        <v>0.004647493</v>
      </c>
      <c r="H30" s="1" t="n">
        <v>0.003180027</v>
      </c>
      <c r="I30" s="1" t="n">
        <v>0.003159285</v>
      </c>
      <c r="J30" s="1" t="n">
        <v>0.00311017</v>
      </c>
      <c r="K30" s="1" t="n">
        <v>0.003037453</v>
      </c>
      <c r="L30" s="1" t="n">
        <v>0.00323987</v>
      </c>
      <c r="M30" s="1" t="n">
        <v>0.002967358</v>
      </c>
      <c r="N30" s="1" t="n">
        <v>0.002910614</v>
      </c>
      <c r="O30" s="1" t="n">
        <v>0.003040314</v>
      </c>
      <c r="P30" s="1" t="n">
        <v>0.003206968</v>
      </c>
      <c r="R30" s="1" t="n">
        <f aca="false">PERCENTILE(G30:P30,0.9)</f>
        <v>0.0033806323</v>
      </c>
      <c r="S30" s="5" t="n">
        <f aca="false">spmv_1!R$2/R30</f>
        <v>5.15384308432479</v>
      </c>
      <c r="T30" s="6" t="n">
        <f aca="false">S30/128</f>
        <v>0.0402643990962874</v>
      </c>
    </row>
    <row r="31" customFormat="false" ht="15" hidden="false" customHeight="false" outlineLevel="0" collapsed="false">
      <c r="A31" s="1" t="s">
        <v>15</v>
      </c>
      <c r="B31" s="1" t="n">
        <v>29</v>
      </c>
      <c r="D31" s="1" t="n">
        <v>82921</v>
      </c>
      <c r="E31" s="1" t="n">
        <v>0.051412</v>
      </c>
      <c r="G31" s="1" t="n">
        <v>0.004575968</v>
      </c>
      <c r="H31" s="1" t="n">
        <v>0.003136635</v>
      </c>
      <c r="I31" s="1" t="n">
        <v>0.003138542</v>
      </c>
      <c r="J31" s="1" t="n">
        <v>0.003103018</v>
      </c>
      <c r="K31" s="1" t="n">
        <v>0.003027439</v>
      </c>
      <c r="L31" s="1" t="n">
        <v>0.003230095</v>
      </c>
      <c r="M31" s="1" t="n">
        <v>0.002948046</v>
      </c>
      <c r="N31" s="1" t="n">
        <v>0.002881765</v>
      </c>
      <c r="O31" s="1" t="n">
        <v>0.003023863</v>
      </c>
      <c r="P31" s="1" t="n">
        <v>0.003191948</v>
      </c>
      <c r="R31" s="1" t="n">
        <f aca="false">PERCENTILE(G31:P31,0.9)</f>
        <v>0.0033646823</v>
      </c>
      <c r="S31" s="5" t="n">
        <f aca="false">spmv_1!R$2/R31</f>
        <v>5.17827445402498</v>
      </c>
      <c r="T31" s="6" t="n">
        <f aca="false">S31/128</f>
        <v>0.0404552691720701</v>
      </c>
    </row>
    <row r="32" customFormat="false" ht="15" hidden="false" customHeight="false" outlineLevel="0" collapsed="false">
      <c r="A32" s="1" t="s">
        <v>15</v>
      </c>
      <c r="B32" s="1" t="n">
        <v>30</v>
      </c>
      <c r="D32" s="1" t="n">
        <v>82578</v>
      </c>
      <c r="E32" s="1" t="n">
        <v>0.05093</v>
      </c>
      <c r="G32" s="1" t="n">
        <v>0.00481987</v>
      </c>
      <c r="H32" s="1" t="n">
        <v>0.003178835</v>
      </c>
      <c r="I32" s="1" t="n">
        <v>0.003123999</v>
      </c>
      <c r="J32" s="1" t="n">
        <v>0.003087282</v>
      </c>
      <c r="K32" s="1" t="n">
        <v>0.003007412</v>
      </c>
      <c r="L32" s="1" t="n">
        <v>0.003220081</v>
      </c>
      <c r="M32" s="1" t="n">
        <v>0.002922535</v>
      </c>
      <c r="N32" s="1" t="n">
        <v>0.002861023</v>
      </c>
      <c r="O32" s="1" t="n">
        <v>0.00301671</v>
      </c>
      <c r="P32" s="1" t="n">
        <v>0.003190279</v>
      </c>
      <c r="R32" s="1" t="n">
        <f aca="false">PERCENTILE(G32:P32,0.9)</f>
        <v>0.0033800599</v>
      </c>
      <c r="S32" s="5" t="n">
        <f aca="false">spmv_1!R$2/R32</f>
        <v>5.15471586760933</v>
      </c>
      <c r="T32" s="6" t="n">
        <f aca="false">S32/128</f>
        <v>0.0402712177156979</v>
      </c>
    </row>
    <row r="33" customFormat="false" ht="15" hidden="false" customHeight="false" outlineLevel="0" collapsed="false">
      <c r="A33" s="1" t="s">
        <v>15</v>
      </c>
      <c r="B33" s="1" t="n">
        <v>31</v>
      </c>
      <c r="D33" s="1" t="n">
        <v>82974</v>
      </c>
      <c r="E33" s="1" t="n">
        <v>0.052698</v>
      </c>
      <c r="G33" s="1" t="n">
        <v>0.00443697</v>
      </c>
      <c r="H33" s="1" t="n">
        <v>0.003044605</v>
      </c>
      <c r="I33" s="1" t="n">
        <v>0.00304389</v>
      </c>
      <c r="J33" s="1" t="n">
        <v>0.003019094</v>
      </c>
      <c r="K33" s="1" t="n">
        <v>0.002964973</v>
      </c>
      <c r="L33" s="1" t="n">
        <v>0.003180027</v>
      </c>
      <c r="M33" s="1" t="n">
        <v>0.002873421</v>
      </c>
      <c r="N33" s="1" t="n">
        <v>0.002827406</v>
      </c>
      <c r="O33" s="1" t="n">
        <v>0.002983332</v>
      </c>
      <c r="P33" s="1" t="n">
        <v>0.003116608</v>
      </c>
      <c r="R33" s="1" t="n">
        <f aca="false">PERCENTILE(G33:P33,0.9)</f>
        <v>0.0033057213</v>
      </c>
      <c r="S33" s="5" t="n">
        <f aca="false">spmv_1!R$2/R33</f>
        <v>5.2706343998207</v>
      </c>
      <c r="T33" s="6" t="n">
        <f aca="false">S33/128</f>
        <v>0.0411768312485992</v>
      </c>
    </row>
    <row r="34" customFormat="false" ht="15" hidden="false" customHeight="false" outlineLevel="0" collapsed="false">
      <c r="A34" s="1" t="s">
        <v>15</v>
      </c>
      <c r="B34" s="1" t="n">
        <v>32</v>
      </c>
      <c r="D34" s="1" t="n">
        <v>82982</v>
      </c>
      <c r="E34" s="1" t="n">
        <v>0.048314</v>
      </c>
      <c r="G34" s="1" t="n">
        <v>0.004720449</v>
      </c>
      <c r="H34" s="1" t="n">
        <v>0.004736662</v>
      </c>
      <c r="I34" s="1" t="n">
        <v>0.003103256</v>
      </c>
      <c r="J34" s="1" t="n">
        <v>0.003129005</v>
      </c>
      <c r="K34" s="1" t="n">
        <v>0.003065348</v>
      </c>
      <c r="L34" s="1" t="n">
        <v>0.003280163</v>
      </c>
      <c r="M34" s="1" t="n">
        <v>0.003019094</v>
      </c>
      <c r="N34" s="1" t="n">
        <v>0.002943754</v>
      </c>
      <c r="O34" s="1" t="n">
        <v>0.003094196</v>
      </c>
      <c r="P34" s="1" t="n">
        <v>0.003258944</v>
      </c>
      <c r="R34" s="1" t="n">
        <f aca="false">PERCENTILE(G34:P34,0.9)</f>
        <v>0.0047220703</v>
      </c>
      <c r="S34" s="5" t="n">
        <f aca="false">spmv_1!R$2/R34</f>
        <v>3.68974777863853</v>
      </c>
      <c r="T34" s="6" t="n">
        <f aca="false">S34/128</f>
        <v>0.0288261545206136</v>
      </c>
    </row>
    <row r="35" customFormat="false" ht="15" hidden="false" customHeight="false" outlineLevel="0" collapsed="false">
      <c r="A35" s="1" t="s">
        <v>15</v>
      </c>
      <c r="B35" s="1" t="n">
        <v>33</v>
      </c>
      <c r="D35" s="1" t="n">
        <v>83811</v>
      </c>
      <c r="E35" s="1" t="n">
        <v>0.049431</v>
      </c>
      <c r="G35" s="1" t="n">
        <v>0.004658937</v>
      </c>
      <c r="H35" s="1" t="n">
        <v>0.004689455</v>
      </c>
      <c r="I35" s="1" t="n">
        <v>0.003070831</v>
      </c>
      <c r="J35" s="1" t="n">
        <v>0.003097534</v>
      </c>
      <c r="K35" s="1" t="n">
        <v>0.002990961</v>
      </c>
      <c r="L35" s="1" t="n">
        <v>0.003245354</v>
      </c>
      <c r="M35" s="1" t="n">
        <v>0.002987146</v>
      </c>
      <c r="N35" s="1" t="n">
        <v>0.002910137</v>
      </c>
      <c r="O35" s="1" t="n">
        <v>0.003056049</v>
      </c>
      <c r="P35" s="1" t="n">
        <v>0.003204107</v>
      </c>
      <c r="R35" s="1" t="n">
        <f aca="false">PERCENTILE(G35:P35,0.9)</f>
        <v>0.0046619888</v>
      </c>
      <c r="S35" s="5" t="n">
        <f aca="false">spmv_1!R$2/R35</f>
        <v>3.73729949758781</v>
      </c>
      <c r="T35" s="6" t="n">
        <f aca="false">S35/128</f>
        <v>0.0291976523249048</v>
      </c>
    </row>
    <row r="36" customFormat="false" ht="15" hidden="false" customHeight="false" outlineLevel="0" collapsed="false">
      <c r="A36" s="1" t="s">
        <v>15</v>
      </c>
      <c r="B36" s="1" t="n">
        <v>34</v>
      </c>
      <c r="D36" s="1" t="n">
        <v>83307</v>
      </c>
      <c r="E36" s="1" t="n">
        <v>0.049822</v>
      </c>
      <c r="G36" s="1" t="n">
        <v>0.004481316</v>
      </c>
      <c r="H36" s="1" t="n">
        <v>0.004677773</v>
      </c>
      <c r="I36" s="1" t="n">
        <v>0.003030062</v>
      </c>
      <c r="J36" s="1" t="n">
        <v>0.003062725</v>
      </c>
      <c r="K36" s="1" t="n">
        <v>0.002963066</v>
      </c>
      <c r="L36" s="1" t="n">
        <v>0.003204107</v>
      </c>
      <c r="M36" s="1" t="n">
        <v>0.002943516</v>
      </c>
      <c r="N36" s="1" t="n">
        <v>0.00289607</v>
      </c>
      <c r="O36" s="1" t="n">
        <v>0.002995253</v>
      </c>
      <c r="P36" s="1" t="n">
        <v>0.003188133</v>
      </c>
      <c r="R36" s="1" t="n">
        <f aca="false">PERCENTILE(G36:P36,0.9)</f>
        <v>0.0045009617</v>
      </c>
      <c r="S36" s="5" t="n">
        <f aca="false">spmv_1!R$2/R36</f>
        <v>3.87100570084833</v>
      </c>
      <c r="T36" s="6" t="n">
        <f aca="false">S36/128</f>
        <v>0.0302422320378776</v>
      </c>
    </row>
    <row r="37" customFormat="false" ht="15" hidden="false" customHeight="false" outlineLevel="0" collapsed="false">
      <c r="A37" s="1" t="s">
        <v>15</v>
      </c>
      <c r="B37" s="1" t="n">
        <v>35</v>
      </c>
      <c r="D37" s="1" t="n">
        <v>83143</v>
      </c>
      <c r="E37" s="1" t="n">
        <v>0.050037</v>
      </c>
      <c r="G37" s="1" t="n">
        <v>0.004468203</v>
      </c>
      <c r="H37" s="1" t="n">
        <v>0.004673719</v>
      </c>
      <c r="I37" s="1" t="n">
        <v>0.003013611</v>
      </c>
      <c r="J37" s="1" t="n">
        <v>0.003050327</v>
      </c>
      <c r="K37" s="1" t="n">
        <v>0.002948761</v>
      </c>
      <c r="L37" s="1" t="n">
        <v>0.003192186</v>
      </c>
      <c r="M37" s="1" t="n">
        <v>0.002932787</v>
      </c>
      <c r="N37" s="1" t="n">
        <v>0.002872467</v>
      </c>
      <c r="O37" s="1" t="n">
        <v>0.002962828</v>
      </c>
      <c r="P37" s="1" t="n">
        <v>0.003117561</v>
      </c>
      <c r="R37" s="1" t="n">
        <f aca="false">PERCENTILE(G37:P37,0.9)</f>
        <v>0.0044887546</v>
      </c>
      <c r="S37" s="5" t="n">
        <f aca="false">spmv_1!R$2/R37</f>
        <v>3.88153284209389</v>
      </c>
      <c r="T37" s="6" t="n">
        <f aca="false">S37/128</f>
        <v>0.0303244753288585</v>
      </c>
    </row>
    <row r="38" customFormat="false" ht="15" hidden="false" customHeight="false" outlineLevel="0" collapsed="false">
      <c r="A38" s="1" t="s">
        <v>15</v>
      </c>
      <c r="B38" s="1" t="n">
        <v>36</v>
      </c>
      <c r="D38" s="1" t="n">
        <v>82344</v>
      </c>
      <c r="E38" s="1" t="n">
        <v>0.049556</v>
      </c>
      <c r="G38" s="1" t="n">
        <v>0.004652977</v>
      </c>
      <c r="H38" s="1" t="n">
        <v>0.004636288</v>
      </c>
      <c r="I38" s="1" t="n">
        <v>0.002995491</v>
      </c>
      <c r="J38" s="1" t="n">
        <v>0.003025532</v>
      </c>
      <c r="K38" s="1" t="n">
        <v>0.002944231</v>
      </c>
      <c r="L38" s="1" t="n">
        <v>0.003166914</v>
      </c>
      <c r="M38" s="1" t="n">
        <v>0.002912283</v>
      </c>
      <c r="N38" s="1" t="n">
        <v>0.002859116</v>
      </c>
      <c r="O38" s="1" t="n">
        <v>0.002954483</v>
      </c>
      <c r="P38" s="1" t="n">
        <v>0.003085375</v>
      </c>
      <c r="R38" s="1" t="n">
        <f aca="false">PERCENTILE(G38:P38,0.9)</f>
        <v>0.0046379569</v>
      </c>
      <c r="S38" s="5" t="n">
        <f aca="false">spmv_1!R$2/R38</f>
        <v>3.75666457788773</v>
      </c>
      <c r="T38" s="6" t="n">
        <f aca="false">S38/128</f>
        <v>0.0293489420147479</v>
      </c>
    </row>
    <row r="39" customFormat="false" ht="15" hidden="false" customHeight="false" outlineLevel="0" collapsed="false">
      <c r="A39" s="1" t="s">
        <v>15</v>
      </c>
      <c r="B39" s="1" t="n">
        <v>37</v>
      </c>
      <c r="D39" s="1" t="n">
        <v>82597</v>
      </c>
      <c r="E39" s="1" t="n">
        <v>0.050296</v>
      </c>
      <c r="G39" s="1" t="n">
        <v>0.004447699</v>
      </c>
      <c r="H39" s="1" t="n">
        <v>0.004628181</v>
      </c>
      <c r="I39" s="1" t="n">
        <v>0.002971888</v>
      </c>
      <c r="J39" s="1" t="n">
        <v>0.003008604</v>
      </c>
      <c r="K39" s="1" t="n">
        <v>0.002908468</v>
      </c>
      <c r="L39" s="1" t="n">
        <v>0.003153801</v>
      </c>
      <c r="M39" s="1" t="n">
        <v>0.002895594</v>
      </c>
      <c r="N39" s="1" t="n">
        <v>0.002818346</v>
      </c>
      <c r="O39" s="1" t="n">
        <v>0.002934456</v>
      </c>
      <c r="P39" s="1" t="n">
        <v>0.003077269</v>
      </c>
      <c r="R39" s="1" t="n">
        <f aca="false">PERCENTILE(G39:P39,0.9)</f>
        <v>0.0044657472</v>
      </c>
      <c r="S39" s="5" t="n">
        <f aca="false">spmv_1!R$2/R39</f>
        <v>3.90153038667303</v>
      </c>
      <c r="T39" s="6" t="n">
        <f aca="false">S39/128</f>
        <v>0.030480706145883</v>
      </c>
    </row>
    <row r="40" customFormat="false" ht="15" hidden="false" customHeight="false" outlineLevel="0" collapsed="false">
      <c r="A40" s="1" t="s">
        <v>15</v>
      </c>
      <c r="B40" s="1" t="n">
        <v>38</v>
      </c>
      <c r="D40" s="1" t="n">
        <v>82672</v>
      </c>
      <c r="E40" s="1" t="n">
        <v>0.050515</v>
      </c>
      <c r="G40" s="1" t="n">
        <v>0.004443884</v>
      </c>
      <c r="H40" s="1" t="n">
        <v>0.004619598</v>
      </c>
      <c r="I40" s="1" t="n">
        <v>0.00296402</v>
      </c>
      <c r="J40" s="1" t="n">
        <v>0.003005743</v>
      </c>
      <c r="K40" s="1" t="n">
        <v>0.002906799</v>
      </c>
      <c r="L40" s="1" t="n">
        <v>0.003135443</v>
      </c>
      <c r="M40" s="1" t="n">
        <v>0.002859354</v>
      </c>
      <c r="N40" s="1" t="n">
        <v>0.002808809</v>
      </c>
      <c r="O40" s="1" t="n">
        <v>0.002928734</v>
      </c>
      <c r="P40" s="1" t="n">
        <v>0.003059149</v>
      </c>
      <c r="R40" s="1" t="n">
        <f aca="false">PERCENTILE(G40:P40,0.9)</f>
        <v>0.0044614554</v>
      </c>
      <c r="S40" s="5" t="n">
        <f aca="false">spmv_1!R$2/R40</f>
        <v>3.90528355388244</v>
      </c>
      <c r="T40" s="6" t="n">
        <f aca="false">S40/128</f>
        <v>0.0305100277647066</v>
      </c>
    </row>
    <row r="41" customFormat="false" ht="15" hidden="false" customHeight="false" outlineLevel="0" collapsed="false">
      <c r="A41" s="1" t="s">
        <v>15</v>
      </c>
      <c r="B41" s="1" t="n">
        <v>39</v>
      </c>
      <c r="D41" s="1" t="n">
        <v>83027</v>
      </c>
      <c r="E41" s="1" t="n">
        <v>0.051332</v>
      </c>
      <c r="G41" s="1" t="n">
        <v>0.004365206</v>
      </c>
      <c r="H41" s="1" t="n">
        <v>0.004726171</v>
      </c>
      <c r="I41" s="1" t="n">
        <v>0.002902269</v>
      </c>
      <c r="J41" s="1" t="n">
        <v>0.002966642</v>
      </c>
      <c r="K41" s="1" t="n">
        <v>0.002840042</v>
      </c>
      <c r="L41" s="1" t="n">
        <v>0.003080368</v>
      </c>
      <c r="M41" s="1" t="n">
        <v>0.002813101</v>
      </c>
      <c r="N41" s="1" t="n">
        <v>0.002753735</v>
      </c>
      <c r="O41" s="1" t="n">
        <v>0.002899408</v>
      </c>
      <c r="P41" s="1" t="n">
        <v>0.003002167</v>
      </c>
      <c r="R41" s="1" t="n">
        <f aca="false">PERCENTILE(G41:P41,0.9)</f>
        <v>0.0044013025</v>
      </c>
      <c r="S41" s="5" t="n">
        <f aca="false">spmv_1!R$2/R41</f>
        <v>3.95865732927923</v>
      </c>
      <c r="T41" s="6" t="n">
        <f aca="false">S41/128</f>
        <v>0.030927010384994</v>
      </c>
    </row>
    <row r="42" customFormat="false" ht="15" hidden="false" customHeight="false" outlineLevel="0" collapsed="false">
      <c r="A42" s="1" t="s">
        <v>15</v>
      </c>
      <c r="B42" s="1" t="n">
        <v>40</v>
      </c>
      <c r="D42" s="1" t="n">
        <v>82556</v>
      </c>
      <c r="E42" s="1" t="n">
        <v>0.05088</v>
      </c>
      <c r="G42" s="1" t="n">
        <v>0.004425526</v>
      </c>
      <c r="H42" s="1" t="n">
        <v>0.004745245</v>
      </c>
      <c r="I42" s="1" t="n">
        <v>0.002916574</v>
      </c>
      <c r="J42" s="1" t="n">
        <v>0.002973318</v>
      </c>
      <c r="K42" s="1" t="n">
        <v>0.002844572</v>
      </c>
      <c r="L42" s="1" t="n">
        <v>0.003076792</v>
      </c>
      <c r="M42" s="1" t="n">
        <v>0.002805233</v>
      </c>
      <c r="N42" s="1" t="n">
        <v>0.002761841</v>
      </c>
      <c r="O42" s="1" t="n">
        <v>0.002886772</v>
      </c>
      <c r="P42" s="1" t="n">
        <v>0.00301528</v>
      </c>
      <c r="R42" s="1" t="n">
        <f aca="false">PERCENTILE(G42:P42,0.9)</f>
        <v>0.0044574979</v>
      </c>
      <c r="S42" s="5" t="n">
        <f aca="false">spmv_1!R$2/R42</f>
        <v>3.90875078146419</v>
      </c>
      <c r="T42" s="6" t="n">
        <f aca="false">S42/128</f>
        <v>0.030537115480189</v>
      </c>
    </row>
    <row r="43" customFormat="false" ht="15" hidden="false" customHeight="false" outlineLevel="0" collapsed="false">
      <c r="A43" s="1" t="s">
        <v>15</v>
      </c>
      <c r="B43" s="1" t="n">
        <v>41</v>
      </c>
      <c r="D43" s="1" t="n">
        <v>82760</v>
      </c>
      <c r="E43" s="1" t="n">
        <v>0.05178</v>
      </c>
      <c r="G43" s="1" t="n">
        <v>0.004353285</v>
      </c>
      <c r="H43" s="1" t="n">
        <v>0.004728556</v>
      </c>
      <c r="I43" s="1" t="n">
        <v>0.002854586</v>
      </c>
      <c r="J43" s="1" t="n">
        <v>0.002906799</v>
      </c>
      <c r="K43" s="1" t="n">
        <v>0.002800226</v>
      </c>
      <c r="L43" s="1" t="n">
        <v>0.003046751</v>
      </c>
      <c r="M43" s="1" t="n">
        <v>0.002773523</v>
      </c>
      <c r="N43" s="1" t="n">
        <v>0.00269556</v>
      </c>
      <c r="O43" s="1" t="n">
        <v>0.002858162</v>
      </c>
      <c r="P43" s="1" t="n">
        <v>0.002948523</v>
      </c>
      <c r="R43" s="1" t="n">
        <f aca="false">PERCENTILE(G43:P43,0.9)</f>
        <v>0.0043908121</v>
      </c>
      <c r="S43" s="5" t="n">
        <f aca="false">spmv_1!R$2/R43</f>
        <v>3.96811523772561</v>
      </c>
      <c r="T43" s="6" t="n">
        <f aca="false">S43/128</f>
        <v>0.0310009002947314</v>
      </c>
    </row>
    <row r="44" customFormat="false" ht="15" hidden="false" customHeight="false" outlineLevel="0" collapsed="false">
      <c r="A44" s="1" t="s">
        <v>15</v>
      </c>
      <c r="B44" s="1" t="n">
        <v>42</v>
      </c>
      <c r="D44" s="1" t="n">
        <v>83967</v>
      </c>
      <c r="E44" s="1" t="n">
        <v>0.05288</v>
      </c>
      <c r="G44" s="1" t="n">
        <v>0.004347324</v>
      </c>
      <c r="H44" s="1" t="n">
        <v>0.0046978</v>
      </c>
      <c r="I44" s="1" t="n">
        <v>0.002845526</v>
      </c>
      <c r="J44" s="1" t="n">
        <v>0.002894402</v>
      </c>
      <c r="K44" s="1" t="n">
        <v>0.002787828</v>
      </c>
      <c r="L44" s="1" t="n">
        <v>0.003005743</v>
      </c>
      <c r="M44" s="1" t="n">
        <v>0.002762794</v>
      </c>
      <c r="N44" s="1" t="n">
        <v>0.002686739</v>
      </c>
      <c r="O44" s="1" t="n">
        <v>0.002813578</v>
      </c>
      <c r="P44" s="1" t="n">
        <v>0.002915621</v>
      </c>
      <c r="R44" s="1" t="n">
        <f aca="false">PERCENTILE(G44:P44,0.9)</f>
        <v>0.0043823716</v>
      </c>
      <c r="S44" s="5" t="n">
        <f aca="false">spmv_1!R$2/R44</f>
        <v>3.97575787502822</v>
      </c>
      <c r="T44" s="6" t="n">
        <f aca="false">S44/128</f>
        <v>0.0310606083986579</v>
      </c>
    </row>
    <row r="45" customFormat="false" ht="15" hidden="false" customHeight="false" outlineLevel="0" collapsed="false">
      <c r="A45" s="1" t="s">
        <v>15</v>
      </c>
      <c r="B45" s="1" t="n">
        <v>43</v>
      </c>
      <c r="D45" s="1" t="n">
        <v>84262</v>
      </c>
      <c r="E45" s="1" t="n">
        <v>0.053194</v>
      </c>
      <c r="G45" s="1" t="n">
        <v>0.00447917</v>
      </c>
      <c r="H45" s="1" t="n">
        <v>0.004694939</v>
      </c>
      <c r="I45" s="1" t="n">
        <v>0.002812862</v>
      </c>
      <c r="J45" s="1" t="n">
        <v>0.002842188</v>
      </c>
      <c r="K45" s="1" t="n">
        <v>0.002759457</v>
      </c>
      <c r="L45" s="1" t="n">
        <v>0.002999306</v>
      </c>
      <c r="M45" s="1" t="n">
        <v>0.002732515</v>
      </c>
      <c r="N45" s="1" t="n">
        <v>0.002655268</v>
      </c>
      <c r="O45" s="1" t="n">
        <v>0.002804041</v>
      </c>
      <c r="P45" s="1" t="n">
        <v>0.002901554</v>
      </c>
      <c r="R45" s="1" t="n">
        <f aca="false">PERCENTILE(G45:P45,0.9)</f>
        <v>0.0045007469</v>
      </c>
      <c r="S45" s="5" t="n">
        <f aca="false">spmv_1!R$2/R45</f>
        <v>3.87119044619016</v>
      </c>
      <c r="T45" s="6" t="n">
        <f aca="false">S45/128</f>
        <v>0.0302436753608607</v>
      </c>
    </row>
    <row r="46" customFormat="false" ht="15" hidden="false" customHeight="false" outlineLevel="0" collapsed="false">
      <c r="A46" s="1" t="s">
        <v>15</v>
      </c>
      <c r="B46" s="1" t="n">
        <v>44</v>
      </c>
      <c r="D46" s="1" t="n">
        <v>84497</v>
      </c>
      <c r="E46" s="1" t="n">
        <v>0.053248</v>
      </c>
      <c r="G46" s="1" t="n">
        <v>0.004490614</v>
      </c>
      <c r="H46" s="1" t="n">
        <v>0.004735231</v>
      </c>
      <c r="I46" s="1" t="n">
        <v>0.00280118</v>
      </c>
      <c r="J46" s="1" t="n">
        <v>0.002863884</v>
      </c>
      <c r="K46" s="1" t="n">
        <v>0.002773285</v>
      </c>
      <c r="L46" s="1" t="n">
        <v>0.002995729</v>
      </c>
      <c r="M46" s="1" t="n">
        <v>0.002714872</v>
      </c>
      <c r="N46" s="1" t="n">
        <v>0.002650023</v>
      </c>
      <c r="O46" s="1" t="n">
        <v>0.002798319</v>
      </c>
      <c r="P46" s="1" t="n">
        <v>0.00291419</v>
      </c>
      <c r="R46" s="1" t="n">
        <f aca="false">PERCENTILE(G46:P46,0.9)</f>
        <v>0.0045150757</v>
      </c>
      <c r="S46" s="5" t="n">
        <f aca="false">spmv_1!R$2/R46</f>
        <v>3.8589050456009</v>
      </c>
      <c r="T46" s="6" t="n">
        <f aca="false">S46/128</f>
        <v>0.030147695668757</v>
      </c>
    </row>
    <row r="47" customFormat="false" ht="15" hidden="false" customHeight="false" outlineLevel="0" collapsed="false">
      <c r="A47" s="1" t="s">
        <v>15</v>
      </c>
      <c r="B47" s="1" t="n">
        <v>45</v>
      </c>
      <c r="D47" s="1" t="n">
        <v>83010</v>
      </c>
      <c r="E47" s="1" t="n">
        <v>0.053227</v>
      </c>
      <c r="G47" s="1" t="n">
        <v>0.004364729</v>
      </c>
      <c r="H47" s="1" t="n">
        <v>0.004668474</v>
      </c>
      <c r="I47" s="1" t="n">
        <v>0.002763987</v>
      </c>
      <c r="J47" s="1" t="n">
        <v>0.002797604</v>
      </c>
      <c r="K47" s="1" t="n">
        <v>0.002736568</v>
      </c>
      <c r="L47" s="1" t="n">
        <v>0.00295949</v>
      </c>
      <c r="M47" s="1" t="n">
        <v>0.002670765</v>
      </c>
      <c r="N47" s="1" t="n">
        <v>0.002598763</v>
      </c>
      <c r="O47" s="1" t="n">
        <v>0.002765894</v>
      </c>
      <c r="P47" s="1" t="n">
        <v>0.002864599</v>
      </c>
      <c r="R47" s="1" t="n">
        <f aca="false">PERCENTILE(G47:P47,0.9)</f>
        <v>0.0043951035</v>
      </c>
      <c r="S47" s="5" t="n">
        <f aca="false">spmv_1!R$2/R47</f>
        <v>3.96424075109949</v>
      </c>
      <c r="T47" s="6" t="n">
        <f aca="false">S47/128</f>
        <v>0.0309706308679648</v>
      </c>
    </row>
    <row r="48" customFormat="false" ht="15" hidden="false" customHeight="false" outlineLevel="0" collapsed="false">
      <c r="A48" s="1" t="s">
        <v>15</v>
      </c>
      <c r="B48" s="1" t="n">
        <v>46</v>
      </c>
      <c r="D48" s="1" t="n">
        <v>83087</v>
      </c>
      <c r="E48" s="1" t="n">
        <v>0.05286</v>
      </c>
      <c r="G48" s="1" t="n">
        <v>0.004402161</v>
      </c>
      <c r="H48" s="1" t="n">
        <v>0.004727364</v>
      </c>
      <c r="I48" s="1" t="n">
        <v>0.002779245</v>
      </c>
      <c r="J48" s="1" t="n">
        <v>0.002837181</v>
      </c>
      <c r="K48" s="1" t="n">
        <v>0.002739668</v>
      </c>
      <c r="L48" s="1" t="n">
        <v>0.002966881</v>
      </c>
      <c r="M48" s="1" t="n">
        <v>0.00269866</v>
      </c>
      <c r="N48" s="1" t="n">
        <v>0.002629042</v>
      </c>
      <c r="O48" s="1" t="n">
        <v>0.002783775</v>
      </c>
      <c r="P48" s="1" t="n">
        <v>0.002872705</v>
      </c>
      <c r="R48" s="1" t="n">
        <f aca="false">PERCENTILE(G48:P48,0.9)</f>
        <v>0.0044346813</v>
      </c>
      <c r="S48" s="5" t="n">
        <f aca="false">spmv_1!R$2/R48</f>
        <v>3.92886144941238</v>
      </c>
      <c r="T48" s="6" t="n">
        <f aca="false">S48/128</f>
        <v>0.0306942300735343</v>
      </c>
    </row>
    <row r="49" customFormat="false" ht="15" hidden="false" customHeight="false" outlineLevel="0" collapsed="false">
      <c r="A49" s="1" t="s">
        <v>15</v>
      </c>
      <c r="B49" s="1" t="n">
        <v>47</v>
      </c>
      <c r="D49" s="1" t="n">
        <v>82982</v>
      </c>
      <c r="E49" s="1" t="n">
        <v>0.053173</v>
      </c>
      <c r="G49" s="1" t="n">
        <v>0.00455904</v>
      </c>
      <c r="H49" s="1" t="n">
        <v>0.004704475</v>
      </c>
      <c r="I49" s="1" t="n">
        <v>0.002733231</v>
      </c>
      <c r="J49" s="1" t="n">
        <v>0.002770662</v>
      </c>
      <c r="K49" s="1" t="n">
        <v>0.002712727</v>
      </c>
      <c r="L49" s="1" t="n">
        <v>0.002942324</v>
      </c>
      <c r="M49" s="1" t="n">
        <v>0.002659559</v>
      </c>
      <c r="N49" s="1" t="n">
        <v>0.00258708</v>
      </c>
      <c r="O49" s="1" t="n">
        <v>0.002729654</v>
      </c>
      <c r="P49" s="1" t="n">
        <v>0.002813101</v>
      </c>
      <c r="R49" s="1" t="n">
        <f aca="false">PERCENTILE(G49:P49,0.9)</f>
        <v>0.0045735835</v>
      </c>
      <c r="S49" s="5" t="n">
        <f aca="false">spmv_1!R$2/R49</f>
        <v>3.80953980614982</v>
      </c>
      <c r="T49" s="6" t="n">
        <f aca="false">S49/128</f>
        <v>0.0297620297355454</v>
      </c>
    </row>
    <row r="50" customFormat="false" ht="15" hidden="false" customHeight="false" outlineLevel="0" collapsed="false">
      <c r="A50" s="1" t="s">
        <v>15</v>
      </c>
      <c r="B50" s="1" t="n">
        <v>48</v>
      </c>
      <c r="D50" s="1" t="n">
        <v>83123</v>
      </c>
      <c r="E50" s="1" t="n">
        <v>0.053581</v>
      </c>
      <c r="G50" s="1" t="n">
        <v>0.00454545</v>
      </c>
      <c r="H50" s="1" t="n">
        <v>0.004662752</v>
      </c>
      <c r="I50" s="1" t="n">
        <v>0.00273037</v>
      </c>
      <c r="J50" s="1" t="n">
        <v>0.002761126</v>
      </c>
      <c r="K50" s="1" t="n">
        <v>0.002669811</v>
      </c>
      <c r="L50" s="1" t="n">
        <v>0.002919912</v>
      </c>
      <c r="M50" s="1" t="n">
        <v>0.002642632</v>
      </c>
      <c r="N50" s="1" t="n">
        <v>0.002573967</v>
      </c>
      <c r="O50" s="1" t="n">
        <v>0.002727747</v>
      </c>
      <c r="P50" s="1" t="n">
        <v>0.002793312</v>
      </c>
      <c r="R50" s="1" t="n">
        <f aca="false">PERCENTILE(G50:P50,0.9)</f>
        <v>0.0045571802</v>
      </c>
      <c r="S50" s="5" t="n">
        <f aca="false">spmv_1!R$2/R50</f>
        <v>3.82325201886904</v>
      </c>
      <c r="T50" s="6" t="n">
        <f aca="false">S50/128</f>
        <v>0.0298691563974143</v>
      </c>
    </row>
    <row r="51" customFormat="false" ht="15" hidden="false" customHeight="false" outlineLevel="0" collapsed="false">
      <c r="A51" s="1" t="s">
        <v>15</v>
      </c>
      <c r="B51" s="1" t="n">
        <v>49</v>
      </c>
      <c r="D51" s="1" t="n">
        <v>83012</v>
      </c>
      <c r="E51" s="1" t="n">
        <v>0.053833</v>
      </c>
      <c r="G51" s="1" t="n">
        <v>0.004385948</v>
      </c>
      <c r="H51" s="1" t="n">
        <v>0.004772663</v>
      </c>
      <c r="I51" s="1" t="n">
        <v>0.002696037</v>
      </c>
      <c r="J51" s="1" t="n">
        <v>0.002724886</v>
      </c>
      <c r="K51" s="1" t="n">
        <v>0.002657413</v>
      </c>
      <c r="L51" s="1" t="n">
        <v>0.002907991</v>
      </c>
      <c r="M51" s="1" t="n">
        <v>0.002639532</v>
      </c>
      <c r="N51" s="1" t="n">
        <v>0.002551079</v>
      </c>
      <c r="O51" s="1" t="n">
        <v>0.002713442</v>
      </c>
      <c r="P51" s="1" t="n">
        <v>0.002791643</v>
      </c>
      <c r="R51" s="1" t="n">
        <f aca="false">PERCENTILE(G51:P51,0.9)</f>
        <v>0.0044246195</v>
      </c>
      <c r="S51" s="5" t="n">
        <f aca="false">spmv_1!R$2/R51</f>
        <v>3.9377958714868</v>
      </c>
      <c r="T51" s="6" t="n">
        <f aca="false">S51/128</f>
        <v>0.0307640302459906</v>
      </c>
    </row>
    <row r="52" customFormat="false" ht="15" hidden="false" customHeight="false" outlineLevel="0" collapsed="false">
      <c r="A52" s="1" t="s">
        <v>15</v>
      </c>
      <c r="B52" s="1" t="n">
        <v>50</v>
      </c>
      <c r="D52" s="1" t="n">
        <v>82706</v>
      </c>
      <c r="E52" s="1" t="n">
        <v>0.054266</v>
      </c>
      <c r="G52" s="1" t="n">
        <v>0.004365206</v>
      </c>
      <c r="H52" s="1" t="n">
        <v>0.004762173</v>
      </c>
      <c r="I52" s="1" t="n">
        <v>0.00266099</v>
      </c>
      <c r="J52" s="1" t="n">
        <v>0.002690554</v>
      </c>
      <c r="K52" s="1" t="n">
        <v>0.002615452</v>
      </c>
      <c r="L52" s="1" t="n">
        <v>0.002837658</v>
      </c>
      <c r="M52" s="1" t="n">
        <v>0.002594471</v>
      </c>
      <c r="N52" s="1" t="n">
        <v>0.002527475</v>
      </c>
      <c r="O52" s="1" t="n">
        <v>0.002663374</v>
      </c>
      <c r="P52" s="1" t="n">
        <v>0.002764225</v>
      </c>
      <c r="R52" s="1" t="n">
        <f aca="false">PERCENTILE(G52:P52,0.9)</f>
        <v>0.0044049027</v>
      </c>
      <c r="S52" s="5" t="n">
        <f aca="false">spmv_1!R$2/R52</f>
        <v>3.95542185301846</v>
      </c>
      <c r="T52" s="6" t="n">
        <f aca="false">S52/128</f>
        <v>0.0309017332267067</v>
      </c>
    </row>
    <row r="53" customFormat="false" ht="15" hidden="false" customHeight="false" outlineLevel="0" collapsed="false">
      <c r="A53" s="1" t="s">
        <v>15</v>
      </c>
      <c r="B53" s="1" t="n">
        <v>51</v>
      </c>
      <c r="D53" s="1" t="n">
        <v>82466</v>
      </c>
      <c r="E53" s="1" t="n">
        <v>0.054494</v>
      </c>
      <c r="G53" s="1" t="n">
        <v>0.004350424</v>
      </c>
      <c r="H53" s="1" t="n">
        <v>0.004760027</v>
      </c>
      <c r="I53" s="1" t="n">
        <v>0.002647877</v>
      </c>
      <c r="J53" s="1" t="n">
        <v>0.002657175</v>
      </c>
      <c r="K53" s="1" t="n">
        <v>0.002600908</v>
      </c>
      <c r="L53" s="1" t="n">
        <v>0.002828598</v>
      </c>
      <c r="M53" s="1" t="n">
        <v>0.00258112</v>
      </c>
      <c r="N53" s="1" t="n">
        <v>0.002504826</v>
      </c>
      <c r="O53" s="1" t="n">
        <v>0.00262022</v>
      </c>
      <c r="P53" s="1" t="n">
        <v>0.002715111</v>
      </c>
      <c r="R53" s="1" t="n">
        <f aca="false">PERCENTILE(G53:P53,0.9)</f>
        <v>0.0043913843</v>
      </c>
      <c r="S53" s="5" t="n">
        <f aca="false">spmv_1!R$2/R53</f>
        <v>3.96759818993751</v>
      </c>
      <c r="T53" s="6" t="n">
        <f aca="false">S53/128</f>
        <v>0.0309968608588868</v>
      </c>
    </row>
    <row r="54" customFormat="false" ht="15" hidden="false" customHeight="false" outlineLevel="0" collapsed="false">
      <c r="A54" s="1" t="s">
        <v>15</v>
      </c>
      <c r="B54" s="1" t="n">
        <v>52</v>
      </c>
      <c r="D54" s="1" t="n">
        <v>82291</v>
      </c>
      <c r="E54" s="1" t="n">
        <v>0.054252</v>
      </c>
      <c r="G54" s="1" t="n">
        <v>0.004417181</v>
      </c>
      <c r="H54" s="1" t="n">
        <v>0.004745245</v>
      </c>
      <c r="I54" s="1" t="n">
        <v>0.002633095</v>
      </c>
      <c r="J54" s="1" t="n">
        <v>0.002653599</v>
      </c>
      <c r="K54" s="1" t="n">
        <v>0.002593279</v>
      </c>
      <c r="L54" s="1" t="n">
        <v>0.002829313</v>
      </c>
      <c r="M54" s="1" t="n">
        <v>0.002571344</v>
      </c>
      <c r="N54" s="1" t="n">
        <v>0.002500772</v>
      </c>
      <c r="O54" s="1" t="n">
        <v>0.002655745</v>
      </c>
      <c r="P54" s="1" t="n">
        <v>0.002736807</v>
      </c>
      <c r="R54" s="1" t="n">
        <f aca="false">PERCENTILE(G54:P54,0.9)</f>
        <v>0.0044499874</v>
      </c>
      <c r="S54" s="5" t="n">
        <f aca="false">spmv_1!R$2/R54</f>
        <v>3.91534780525446</v>
      </c>
      <c r="T54" s="6" t="n">
        <f aca="false">S54/128</f>
        <v>0.0305886547285505</v>
      </c>
    </row>
    <row r="55" customFormat="false" ht="15" hidden="false" customHeight="false" outlineLevel="0" collapsed="false">
      <c r="A55" s="1" t="s">
        <v>15</v>
      </c>
      <c r="B55" s="1" t="n">
        <v>53</v>
      </c>
      <c r="D55" s="1" t="n">
        <v>82408</v>
      </c>
      <c r="E55" s="1" t="n">
        <v>0.054619</v>
      </c>
      <c r="G55" s="1" t="n">
        <v>0.004418135</v>
      </c>
      <c r="H55" s="1" t="n">
        <v>0.004740715</v>
      </c>
      <c r="I55" s="1" t="n">
        <v>0.002619028</v>
      </c>
      <c r="J55" s="1" t="n">
        <v>0.002636909</v>
      </c>
      <c r="K55" s="1" t="n">
        <v>0.002580643</v>
      </c>
      <c r="L55" s="1" t="n">
        <v>0.002818823</v>
      </c>
      <c r="M55" s="1" t="n">
        <v>0.002561808</v>
      </c>
      <c r="N55" s="1" t="n">
        <v>0.002492666</v>
      </c>
      <c r="O55" s="1" t="n">
        <v>0.00261116</v>
      </c>
      <c r="P55" s="1" t="n">
        <v>0.002695799</v>
      </c>
      <c r="R55" s="1" t="n">
        <f aca="false">PERCENTILE(G55:P55,0.9)</f>
        <v>0.004450393</v>
      </c>
      <c r="S55" s="5" t="n">
        <f aca="false">spmv_1!R$2/R55</f>
        <v>3.91499096821337</v>
      </c>
      <c r="T55" s="6" t="n">
        <f aca="false">S55/128</f>
        <v>0.0305858669391669</v>
      </c>
    </row>
    <row r="56" customFormat="false" ht="15" hidden="false" customHeight="false" outlineLevel="0" collapsed="false">
      <c r="A56" s="1" t="s">
        <v>15</v>
      </c>
      <c r="B56" s="1" t="n">
        <v>54</v>
      </c>
      <c r="D56" s="1" t="n">
        <v>82856</v>
      </c>
      <c r="E56" s="1" t="n">
        <v>0.05545</v>
      </c>
      <c r="G56" s="1" t="n">
        <v>0.004366398</v>
      </c>
      <c r="H56" s="1" t="n">
        <v>0.004783392</v>
      </c>
      <c r="I56" s="1" t="n">
        <v>0.002570629</v>
      </c>
      <c r="J56" s="1" t="n">
        <v>0.002609253</v>
      </c>
      <c r="K56" s="1" t="n">
        <v>0.002555609</v>
      </c>
      <c r="L56" s="1" t="n">
        <v>0.002779722</v>
      </c>
      <c r="M56" s="1" t="n">
        <v>0.002524853</v>
      </c>
      <c r="N56" s="1" t="n">
        <v>0.002463341</v>
      </c>
      <c r="O56" s="1" t="n">
        <v>0.002573252</v>
      </c>
      <c r="P56" s="1" t="n">
        <v>0.002658367</v>
      </c>
      <c r="R56" s="1" t="n">
        <f aca="false">PERCENTILE(G56:P56,0.9)</f>
        <v>0.0044080974</v>
      </c>
      <c r="S56" s="5" t="n">
        <f aca="false">spmv_1!R$2/R56</f>
        <v>3.95255522257743</v>
      </c>
      <c r="T56" s="6" t="n">
        <f aca="false">S56/128</f>
        <v>0.0308793376763862</v>
      </c>
    </row>
    <row r="57" customFormat="false" ht="15" hidden="false" customHeight="false" outlineLevel="0" collapsed="false">
      <c r="A57" s="1" t="s">
        <v>15</v>
      </c>
      <c r="B57" s="1" t="n">
        <v>55</v>
      </c>
      <c r="D57" s="1" t="n">
        <v>83120</v>
      </c>
      <c r="E57" s="1" t="n">
        <v>0.055259</v>
      </c>
      <c r="G57" s="1" t="n">
        <v>0.004515409</v>
      </c>
      <c r="H57" s="1" t="n">
        <v>0.004829168</v>
      </c>
      <c r="I57" s="1" t="n">
        <v>0.002571344</v>
      </c>
      <c r="J57" s="1" t="n">
        <v>0.002603531</v>
      </c>
      <c r="K57" s="1" t="n">
        <v>0.002571344</v>
      </c>
      <c r="L57" s="1" t="n">
        <v>0.002791166</v>
      </c>
      <c r="M57" s="1" t="n">
        <v>0.002530575</v>
      </c>
      <c r="N57" s="1" t="n">
        <v>0.002442598</v>
      </c>
      <c r="O57" s="1" t="n">
        <v>0.002571344</v>
      </c>
      <c r="P57" s="1" t="n">
        <v>0.002657413</v>
      </c>
      <c r="R57" s="1" t="n">
        <f aca="false">PERCENTILE(G57:P57,0.9)</f>
        <v>0.0045467849</v>
      </c>
      <c r="S57" s="5" t="n">
        <f aca="false">spmv_1!R$2/R57</f>
        <v>3.83199310792116</v>
      </c>
      <c r="T57" s="6" t="n">
        <f aca="false">S57/128</f>
        <v>0.0299374461556341</v>
      </c>
    </row>
    <row r="58" customFormat="false" ht="15" hidden="false" customHeight="false" outlineLevel="0" collapsed="false">
      <c r="A58" s="1" t="s">
        <v>15</v>
      </c>
      <c r="B58" s="1" t="n">
        <v>56</v>
      </c>
      <c r="D58" s="1" t="n">
        <v>82694</v>
      </c>
      <c r="E58" s="1" t="n">
        <v>0.05539</v>
      </c>
      <c r="G58" s="1" t="n">
        <v>0.004471064</v>
      </c>
      <c r="H58" s="1" t="n">
        <v>0.004829168</v>
      </c>
      <c r="I58" s="1" t="n">
        <v>0.002543211</v>
      </c>
      <c r="J58" s="1" t="n">
        <v>0.00259304</v>
      </c>
      <c r="K58" s="1" t="n">
        <v>0.002555847</v>
      </c>
      <c r="L58" s="1" t="n">
        <v>0.002757788</v>
      </c>
      <c r="M58" s="1" t="n">
        <v>0.002497196</v>
      </c>
      <c r="N58" s="1" t="n">
        <v>0.002418756</v>
      </c>
      <c r="O58" s="1" t="n">
        <v>0.002550364</v>
      </c>
      <c r="P58" s="1" t="n">
        <v>0.002642393</v>
      </c>
      <c r="R58" s="1" t="n">
        <f aca="false">PERCENTILE(G58:P58,0.9)</f>
        <v>0.0045068744</v>
      </c>
      <c r="S58" s="5" t="n">
        <f aca="false">spmv_1!R$2/R58</f>
        <v>3.86592721554432</v>
      </c>
      <c r="T58" s="6" t="n">
        <f aca="false">S58/128</f>
        <v>0.03020255637144</v>
      </c>
    </row>
    <row r="59" customFormat="false" ht="15" hidden="false" customHeight="false" outlineLevel="0" collapsed="false">
      <c r="A59" s="1" t="s">
        <v>15</v>
      </c>
      <c r="B59" s="1" t="n">
        <v>57</v>
      </c>
      <c r="D59" s="1" t="n">
        <v>82523</v>
      </c>
      <c r="E59" s="1" t="n">
        <v>0.05576</v>
      </c>
      <c r="G59" s="1" t="n">
        <v>0.004410982</v>
      </c>
      <c r="H59" s="1" t="n">
        <v>0.004780054</v>
      </c>
      <c r="I59" s="1" t="n">
        <v>0.002518892</v>
      </c>
      <c r="J59" s="1" t="n">
        <v>0.002582073</v>
      </c>
      <c r="K59" s="1" t="n">
        <v>0.002539635</v>
      </c>
      <c r="L59" s="1" t="n">
        <v>0.002745867</v>
      </c>
      <c r="M59" s="1" t="n">
        <v>0.002489328</v>
      </c>
      <c r="N59" s="1" t="n">
        <v>0.002392054</v>
      </c>
      <c r="O59" s="1" t="n">
        <v>0.002533913</v>
      </c>
      <c r="P59" s="1" t="n">
        <v>0.002606392</v>
      </c>
      <c r="R59" s="1" t="n">
        <f aca="false">PERCENTILE(G59:P59,0.9)</f>
        <v>0.0044478892</v>
      </c>
      <c r="S59" s="5" t="n">
        <f aca="false">spmv_1!R$2/R59</f>
        <v>3.91719478983424</v>
      </c>
      <c r="T59" s="6" t="n">
        <f aca="false">S59/128</f>
        <v>0.03060308429558</v>
      </c>
    </row>
    <row r="60" customFormat="false" ht="15" hidden="false" customHeight="false" outlineLevel="0" collapsed="false">
      <c r="A60" s="1" t="s">
        <v>15</v>
      </c>
      <c r="B60" s="1" t="n">
        <v>58</v>
      </c>
      <c r="D60" s="1" t="n">
        <v>82052</v>
      </c>
      <c r="E60" s="1" t="n">
        <v>0.055484</v>
      </c>
      <c r="G60" s="1" t="n">
        <v>0.004472733</v>
      </c>
      <c r="H60" s="1" t="n">
        <v>0.004809856</v>
      </c>
      <c r="I60" s="1" t="n">
        <v>0.002493143</v>
      </c>
      <c r="J60" s="1" t="n">
        <v>0.002582312</v>
      </c>
      <c r="K60" s="1" t="n">
        <v>0.002533197</v>
      </c>
      <c r="L60" s="1" t="n">
        <v>0.002731562</v>
      </c>
      <c r="M60" s="1" t="n">
        <v>0.002453327</v>
      </c>
      <c r="N60" s="1" t="n">
        <v>0.002388239</v>
      </c>
      <c r="O60" s="1" t="n">
        <v>0.002516747</v>
      </c>
      <c r="P60" s="1" t="n">
        <v>0.002595901</v>
      </c>
      <c r="R60" s="1" t="n">
        <f aca="false">PERCENTILE(G60:P60,0.9)</f>
        <v>0.0045064453</v>
      </c>
      <c r="S60" s="5" t="n">
        <f aca="false">spmv_1!R$2/R60</f>
        <v>3.86629532594127</v>
      </c>
      <c r="T60" s="6" t="n">
        <f aca="false">S60/128</f>
        <v>0.0302054322339162</v>
      </c>
    </row>
    <row r="61" customFormat="false" ht="15" hidden="false" customHeight="false" outlineLevel="0" collapsed="false">
      <c r="A61" s="1" t="s">
        <v>15</v>
      </c>
      <c r="B61" s="1" t="n">
        <v>59</v>
      </c>
      <c r="D61" s="1" t="n">
        <v>82381</v>
      </c>
      <c r="E61" s="1" t="n">
        <v>0.056187</v>
      </c>
      <c r="G61" s="1" t="n">
        <v>0.004407644</v>
      </c>
      <c r="H61" s="1" t="n">
        <v>0.004754543</v>
      </c>
      <c r="I61" s="1" t="n">
        <v>0.00248456</v>
      </c>
      <c r="J61" s="1" t="n">
        <v>0.00254488</v>
      </c>
      <c r="K61" s="1" t="n">
        <v>0.002481937</v>
      </c>
      <c r="L61" s="1" t="n">
        <v>0.002725601</v>
      </c>
      <c r="M61" s="1" t="n">
        <v>0.00243926</v>
      </c>
      <c r="N61" s="1" t="n">
        <v>0.002379179</v>
      </c>
      <c r="O61" s="1" t="n">
        <v>0.002516747</v>
      </c>
      <c r="P61" s="1" t="n">
        <v>0.002589703</v>
      </c>
      <c r="R61" s="1" t="n">
        <f aca="false">PERCENTILE(G61:P61,0.9)</f>
        <v>0.0044423339</v>
      </c>
      <c r="S61" s="5" t="n">
        <f aca="false">spmv_1!R$2/R61</f>
        <v>3.92209338429063</v>
      </c>
      <c r="T61" s="6" t="n">
        <f aca="false">S61/128</f>
        <v>0.0306413545647706</v>
      </c>
    </row>
    <row r="62" customFormat="false" ht="15" hidden="false" customHeight="false" outlineLevel="0" collapsed="false">
      <c r="A62" s="1" t="s">
        <v>15</v>
      </c>
      <c r="B62" s="1" t="n">
        <v>60</v>
      </c>
      <c r="D62" s="1" t="n">
        <v>82111</v>
      </c>
      <c r="E62" s="1" t="n">
        <v>0.056256</v>
      </c>
      <c r="G62" s="1" t="n">
        <v>0.004448891</v>
      </c>
      <c r="H62" s="1" t="n">
        <v>0.004795074</v>
      </c>
      <c r="I62" s="1" t="n">
        <v>0.002443314</v>
      </c>
      <c r="J62" s="1" t="n">
        <v>0.002527714</v>
      </c>
      <c r="K62" s="1" t="n">
        <v>0.002463341</v>
      </c>
      <c r="L62" s="1" t="n">
        <v>0.002689362</v>
      </c>
      <c r="M62" s="1" t="n">
        <v>0.002432823</v>
      </c>
      <c r="N62" s="1" t="n">
        <v>0.002362251</v>
      </c>
      <c r="O62" s="1" t="n">
        <v>0.002486467</v>
      </c>
      <c r="P62" s="1" t="n">
        <v>0.002542496</v>
      </c>
      <c r="R62" s="1" t="n">
        <f aca="false">PERCENTILE(G62:P62,0.9)</f>
        <v>0.0044835093</v>
      </c>
      <c r="S62" s="5" t="n">
        <f aca="false">spmv_1!R$2/R62</f>
        <v>3.88607388413357</v>
      </c>
      <c r="T62" s="6" t="n">
        <f aca="false">S62/128</f>
        <v>0.0303599522197935</v>
      </c>
    </row>
    <row r="63" customFormat="false" ht="15" hidden="false" customHeight="false" outlineLevel="0" collapsed="false">
      <c r="A63" s="1" t="s">
        <v>15</v>
      </c>
      <c r="B63" s="1" t="n">
        <v>61</v>
      </c>
      <c r="D63" s="1" t="n">
        <v>82190</v>
      </c>
      <c r="E63" s="1" t="n">
        <v>0.057231</v>
      </c>
      <c r="G63" s="1" t="n">
        <v>0.004345655</v>
      </c>
      <c r="H63" s="1" t="n">
        <v>0.004720926</v>
      </c>
      <c r="I63" s="1" t="n">
        <v>0.002414942</v>
      </c>
      <c r="J63" s="1" t="n">
        <v>0.002488852</v>
      </c>
      <c r="K63" s="1" t="n">
        <v>0.00241828</v>
      </c>
      <c r="L63" s="1" t="n">
        <v>0.002658606</v>
      </c>
      <c r="M63" s="1" t="n">
        <v>0.002404928</v>
      </c>
      <c r="N63" s="1" t="n">
        <v>0.002319336</v>
      </c>
      <c r="O63" s="1" t="n">
        <v>0.002452612</v>
      </c>
      <c r="P63" s="1" t="n">
        <v>0.002497911</v>
      </c>
      <c r="R63" s="1" t="n">
        <f aca="false">PERCENTILE(G63:P63,0.9)</f>
        <v>0.0043831821</v>
      </c>
      <c r="S63" s="5" t="n">
        <f aca="false">spmv_1!R$2/R63</f>
        <v>3.97502271238058</v>
      </c>
      <c r="T63" s="6" t="n">
        <f aca="false">S63/128</f>
        <v>0.0310548649404733</v>
      </c>
    </row>
    <row r="64" customFormat="false" ht="15" hidden="false" customHeight="false" outlineLevel="0" collapsed="false">
      <c r="A64" s="1" t="s">
        <v>15</v>
      </c>
      <c r="B64" s="1" t="n">
        <v>62</v>
      </c>
      <c r="D64" s="1" t="n">
        <v>82321</v>
      </c>
      <c r="E64" s="1" t="n">
        <v>0.057125</v>
      </c>
      <c r="G64" s="1" t="n">
        <v>0.0043962</v>
      </c>
      <c r="H64" s="1" t="n">
        <v>0.004729271</v>
      </c>
      <c r="I64" s="1" t="n">
        <v>0.002390623</v>
      </c>
      <c r="J64" s="1" t="n">
        <v>0.002501249</v>
      </c>
      <c r="K64" s="1" t="n">
        <v>0.002408266</v>
      </c>
      <c r="L64" s="1" t="n">
        <v>0.002659559</v>
      </c>
      <c r="M64" s="1" t="n">
        <v>0.002422571</v>
      </c>
      <c r="N64" s="1" t="n">
        <v>0.002330303</v>
      </c>
      <c r="O64" s="1" t="n">
        <v>0.002465487</v>
      </c>
      <c r="P64" s="1" t="n">
        <v>0.0025177</v>
      </c>
      <c r="R64" s="1" t="n">
        <f aca="false">PERCENTILE(G64:P64,0.9)</f>
        <v>0.0044295071</v>
      </c>
      <c r="S64" s="5" t="n">
        <f aca="false">spmv_1!R$2/R64</f>
        <v>3.93345083474412</v>
      </c>
      <c r="T64" s="6" t="n">
        <f aca="false">S64/128</f>
        <v>0.0307300846464384</v>
      </c>
    </row>
    <row r="65" customFormat="false" ht="15" hidden="false" customHeight="false" outlineLevel="0" collapsed="false">
      <c r="A65" s="1" t="s">
        <v>15</v>
      </c>
      <c r="B65" s="1" t="n">
        <v>63</v>
      </c>
      <c r="D65" s="1" t="n">
        <v>83840</v>
      </c>
      <c r="E65" s="1" t="n">
        <v>0.058182</v>
      </c>
      <c r="G65" s="1" t="n">
        <v>0.004541636</v>
      </c>
      <c r="H65" s="1" t="n">
        <v>0.004756927</v>
      </c>
      <c r="I65" s="1" t="n">
        <v>0.00239253</v>
      </c>
      <c r="J65" s="1" t="n">
        <v>0.002471209</v>
      </c>
      <c r="K65" s="1" t="n">
        <v>0.002413273</v>
      </c>
      <c r="L65" s="1" t="n">
        <v>0.002651691</v>
      </c>
      <c r="M65" s="1" t="n">
        <v>0.002368212</v>
      </c>
      <c r="N65" s="1" t="n">
        <v>0.002300262</v>
      </c>
      <c r="O65" s="1" t="n">
        <v>0.002430916</v>
      </c>
      <c r="P65" s="1" t="n">
        <v>0.002493143</v>
      </c>
      <c r="R65" s="1" t="n">
        <f aca="false">PERCENTILE(G65:P65,0.9)</f>
        <v>0.0045631651</v>
      </c>
      <c r="S65" s="5" t="n">
        <f aca="false">spmv_1!R$2/R65</f>
        <v>3.81823756497436</v>
      </c>
      <c r="T65" s="6" t="n">
        <f aca="false">S65/128</f>
        <v>0.0298299809763622</v>
      </c>
    </row>
    <row r="66" customFormat="false" ht="15" hidden="false" customHeight="false" outlineLevel="0" collapsed="false">
      <c r="A66" s="1" t="s">
        <v>15</v>
      </c>
      <c r="B66" s="1" t="n">
        <v>64</v>
      </c>
      <c r="D66" s="1" t="n">
        <v>83921</v>
      </c>
      <c r="E66" s="1" t="n">
        <v>0.058503</v>
      </c>
      <c r="G66" s="1" t="n">
        <v>0.004433393</v>
      </c>
      <c r="H66" s="1" t="n">
        <v>0.004895449</v>
      </c>
      <c r="I66" s="1" t="n">
        <v>0.00239563</v>
      </c>
      <c r="J66" s="1" t="n">
        <v>0.002447844</v>
      </c>
      <c r="K66" s="1" t="n">
        <v>0.002386808</v>
      </c>
      <c r="L66" s="1" t="n">
        <v>0.002632618</v>
      </c>
      <c r="M66" s="1" t="n">
        <v>0.002339363</v>
      </c>
      <c r="N66" s="1" t="n">
        <v>0.002267599</v>
      </c>
      <c r="O66" s="1" t="n">
        <v>0.002418756</v>
      </c>
      <c r="P66" s="1" t="n">
        <v>0.002472162</v>
      </c>
      <c r="R66" s="1" t="n">
        <f aca="false">PERCENTILE(G66:P66,0.9)</f>
        <v>0.0044795986</v>
      </c>
      <c r="S66" s="5" t="n">
        <f aca="false">spmv_1!R$2/R66</f>
        <v>3.88946643567573</v>
      </c>
      <c r="T66" s="6" t="n">
        <f aca="false">S66/128</f>
        <v>0.0303864565287167</v>
      </c>
    </row>
    <row r="67" customFormat="false" ht="15" hidden="false" customHeight="false" outlineLevel="0" collapsed="false">
      <c r="A67" s="1" t="s">
        <v>15</v>
      </c>
      <c r="B67" s="1" t="n">
        <v>65</v>
      </c>
      <c r="D67" s="1" t="n">
        <v>84249</v>
      </c>
      <c r="E67" s="1" t="n">
        <v>0.059511</v>
      </c>
      <c r="G67" s="1" t="n">
        <v>0.004310369</v>
      </c>
      <c r="H67" s="1" t="n">
        <v>0.00488162</v>
      </c>
      <c r="I67" s="1" t="n">
        <v>0.002349377</v>
      </c>
      <c r="J67" s="1" t="n">
        <v>0.002401114</v>
      </c>
      <c r="K67" s="1" t="n">
        <v>0.002372742</v>
      </c>
      <c r="L67" s="1" t="n">
        <v>0.002618313</v>
      </c>
      <c r="M67" s="1" t="n">
        <v>0.002318621</v>
      </c>
      <c r="N67" s="1" t="n">
        <v>0.002249956</v>
      </c>
      <c r="O67" s="1" t="n">
        <v>0.002387047</v>
      </c>
      <c r="P67" s="1" t="n">
        <v>0.002424479</v>
      </c>
      <c r="R67" s="1" t="n">
        <f aca="false">PERCENTILE(G67:P67,0.9)</f>
        <v>0.0043674941</v>
      </c>
      <c r="S67" s="5" t="n">
        <f aca="false">spmv_1!R$2/R67</f>
        <v>3.98930095864354</v>
      </c>
      <c r="T67" s="6" t="n">
        <f aca="false">S67/128</f>
        <v>0.0311664137394026</v>
      </c>
    </row>
    <row r="68" customFormat="false" ht="15" hidden="false" customHeight="false" outlineLevel="0" collapsed="false">
      <c r="A68" s="1" t="s">
        <v>15</v>
      </c>
      <c r="B68" s="1" t="n">
        <v>66</v>
      </c>
      <c r="D68" s="1" t="n">
        <v>82763</v>
      </c>
      <c r="E68" s="1" t="n">
        <v>0.058487</v>
      </c>
      <c r="G68" s="1" t="n">
        <v>0.004330397</v>
      </c>
      <c r="H68" s="1" t="n">
        <v>0.004908323</v>
      </c>
      <c r="I68" s="1" t="n">
        <v>0.002342701</v>
      </c>
      <c r="J68" s="1" t="n">
        <v>0.00241518</v>
      </c>
      <c r="K68" s="1" t="n">
        <v>0.002350807</v>
      </c>
      <c r="L68" s="1" t="n">
        <v>0.002579212</v>
      </c>
      <c r="M68" s="1" t="n">
        <v>0.002319574</v>
      </c>
      <c r="N68" s="1" t="n">
        <v>0.002236605</v>
      </c>
      <c r="O68" s="1" t="n">
        <v>0.002395391</v>
      </c>
      <c r="P68" s="1" t="n">
        <v>0.002423048</v>
      </c>
      <c r="R68" s="1" t="n">
        <f aca="false">PERCENTILE(G68:P68,0.9)</f>
        <v>0.0043881896</v>
      </c>
      <c r="S68" s="5" t="n">
        <f aca="false">spmv_1!R$2/R68</f>
        <v>3.97048669000082</v>
      </c>
      <c r="T68" s="6" t="n">
        <f aca="false">S68/128</f>
        <v>0.0310194272656314</v>
      </c>
    </row>
    <row r="69" customFormat="false" ht="15" hidden="false" customHeight="false" outlineLevel="0" collapsed="false">
      <c r="A69" s="1" t="s">
        <v>15</v>
      </c>
      <c r="B69" s="1" t="n">
        <v>67</v>
      </c>
      <c r="D69" s="1" t="n">
        <v>83040</v>
      </c>
      <c r="E69" s="1" t="n">
        <v>0.058813</v>
      </c>
      <c r="G69" s="1" t="n">
        <v>0.00433135</v>
      </c>
      <c r="H69" s="1" t="n">
        <v>0.004920006</v>
      </c>
      <c r="I69" s="1" t="n">
        <v>0.002337217</v>
      </c>
      <c r="J69" s="1" t="n">
        <v>0.002403975</v>
      </c>
      <c r="K69" s="1" t="n">
        <v>0.002339602</v>
      </c>
      <c r="L69" s="1" t="n">
        <v>0.002582788</v>
      </c>
      <c r="M69" s="1" t="n">
        <v>0.002305984</v>
      </c>
      <c r="N69" s="1" t="n">
        <v>0.002226591</v>
      </c>
      <c r="O69" s="1" t="n">
        <v>0.002368212</v>
      </c>
      <c r="P69" s="1" t="n">
        <v>0.00242281</v>
      </c>
      <c r="R69" s="1" t="n">
        <f aca="false">PERCENTILE(G69:P69,0.9)</f>
        <v>0.0043902156</v>
      </c>
      <c r="S69" s="5" t="n">
        <f aca="false">spmv_1!R$2/R69</f>
        <v>3.96865438681417</v>
      </c>
      <c r="T69" s="6" t="n">
        <f aca="false">S69/128</f>
        <v>0.0310051123969857</v>
      </c>
    </row>
    <row r="70" customFormat="false" ht="15" hidden="false" customHeight="false" outlineLevel="0" collapsed="false">
      <c r="A70" s="1" t="s">
        <v>15</v>
      </c>
      <c r="B70" s="1" t="n">
        <v>68</v>
      </c>
      <c r="D70" s="1" t="n">
        <v>82569</v>
      </c>
      <c r="E70" s="1" t="n">
        <v>0.058647</v>
      </c>
      <c r="G70" s="1" t="n">
        <v>0.004338503</v>
      </c>
      <c r="H70" s="1" t="n">
        <v>0.004896164</v>
      </c>
      <c r="I70" s="1" t="n">
        <v>0.0023489</v>
      </c>
      <c r="J70" s="1" t="n">
        <v>0.002403498</v>
      </c>
      <c r="K70" s="1" t="n">
        <v>0.002322912</v>
      </c>
      <c r="L70" s="1" t="n">
        <v>0.002556086</v>
      </c>
      <c r="M70" s="1" t="n">
        <v>0.002304077</v>
      </c>
      <c r="N70" s="1" t="n">
        <v>0.002206802</v>
      </c>
      <c r="O70" s="1" t="n">
        <v>0.002365828</v>
      </c>
      <c r="P70" s="1" t="n">
        <v>0.002415419</v>
      </c>
      <c r="R70" s="1" t="n">
        <f aca="false">PERCENTILE(G70:P70,0.9)</f>
        <v>0.0043942691</v>
      </c>
      <c r="S70" s="5" t="n">
        <f aca="false">spmv_1!R$2/R70</f>
        <v>3.96499349573289</v>
      </c>
      <c r="T70" s="6" t="n">
        <f aca="false">S70/128</f>
        <v>0.0309765116854132</v>
      </c>
    </row>
    <row r="71" customFormat="false" ht="15" hidden="false" customHeight="false" outlineLevel="0" collapsed="false">
      <c r="A71" s="1" t="s">
        <v>15</v>
      </c>
      <c r="B71" s="1" t="n">
        <v>69</v>
      </c>
      <c r="D71" s="1" t="n">
        <v>83005</v>
      </c>
      <c r="E71" s="1" t="n">
        <v>0.058983</v>
      </c>
      <c r="G71" s="1" t="n">
        <v>0.00442791</v>
      </c>
      <c r="H71" s="1" t="n">
        <v>0.004914761</v>
      </c>
      <c r="I71" s="1" t="n">
        <v>0.002329588</v>
      </c>
      <c r="J71" s="1" t="n">
        <v>0.002370596</v>
      </c>
      <c r="K71" s="1" t="n">
        <v>0.002323627</v>
      </c>
      <c r="L71" s="1" t="n">
        <v>0.002560377</v>
      </c>
      <c r="M71" s="1" t="n">
        <v>0.00227499</v>
      </c>
      <c r="N71" s="1" t="n">
        <v>0.002201319</v>
      </c>
      <c r="O71" s="1" t="n">
        <v>0.00236392</v>
      </c>
      <c r="P71" s="1" t="n">
        <v>0.002378225</v>
      </c>
      <c r="R71" s="1" t="n">
        <f aca="false">PERCENTILE(G71:P71,0.9)</f>
        <v>0.0044765951</v>
      </c>
      <c r="S71" s="5" t="n">
        <f aca="false">spmv_1!R$2/R71</f>
        <v>3.89207601107368</v>
      </c>
      <c r="T71" s="6" t="n">
        <f aca="false">S71/128</f>
        <v>0.0304068438365132</v>
      </c>
    </row>
    <row r="72" customFormat="false" ht="15" hidden="false" customHeight="false" outlineLevel="0" collapsed="false">
      <c r="A72" s="1" t="s">
        <v>15</v>
      </c>
      <c r="B72" s="1" t="n">
        <v>70</v>
      </c>
      <c r="D72" s="1" t="n">
        <v>82934</v>
      </c>
      <c r="E72" s="1" t="n">
        <v>0.060626</v>
      </c>
      <c r="G72" s="1" t="n">
        <v>0.004259586</v>
      </c>
      <c r="H72" s="1" t="n">
        <v>0.004870176</v>
      </c>
      <c r="I72" s="1" t="n">
        <v>0.002231836</v>
      </c>
      <c r="J72" s="1" t="n">
        <v>0.002298594</v>
      </c>
      <c r="K72" s="1" t="n">
        <v>0.002229691</v>
      </c>
      <c r="L72" s="1" t="n">
        <v>0.002485752</v>
      </c>
      <c r="M72" s="1" t="n">
        <v>0.002226591</v>
      </c>
      <c r="N72" s="1" t="n">
        <v>0.002157927</v>
      </c>
      <c r="O72" s="1" t="n">
        <v>0.002293587</v>
      </c>
      <c r="P72" s="1" t="n">
        <v>0.002305269</v>
      </c>
      <c r="R72" s="1" t="n">
        <f aca="false">PERCENTILE(G72:P72,0.9)</f>
        <v>0.004320645</v>
      </c>
      <c r="S72" s="5" t="n">
        <f aca="false">spmv_1!R$2/R72</f>
        <v>4.03255726864855</v>
      </c>
      <c r="T72" s="6" t="n">
        <f aca="false">S72/128</f>
        <v>0.0315043536613168</v>
      </c>
    </row>
    <row r="73" customFormat="false" ht="15" hidden="false" customHeight="false" outlineLevel="0" collapsed="false">
      <c r="A73" s="1" t="s">
        <v>15</v>
      </c>
      <c r="B73" s="1" t="n">
        <v>71</v>
      </c>
      <c r="D73" s="1" t="n">
        <v>82896</v>
      </c>
      <c r="E73" s="1" t="n">
        <v>0.060166</v>
      </c>
      <c r="G73" s="1" t="n">
        <v>0.004293919</v>
      </c>
      <c r="H73" s="1" t="n">
        <v>0.004927874</v>
      </c>
      <c r="I73" s="1" t="n">
        <v>0.002229214</v>
      </c>
      <c r="J73" s="1" t="n">
        <v>0.00227499</v>
      </c>
      <c r="K73" s="1" t="n">
        <v>0.002236843</v>
      </c>
      <c r="L73" s="1" t="n">
        <v>0.002508879</v>
      </c>
      <c r="M73" s="1" t="n">
        <v>0.002245188</v>
      </c>
      <c r="N73" s="1" t="n">
        <v>0.00216198</v>
      </c>
      <c r="O73" s="1" t="n">
        <v>0.002303839</v>
      </c>
      <c r="P73" s="1" t="n">
        <v>0.002373219</v>
      </c>
      <c r="R73" s="1" t="n">
        <f aca="false">PERCENTILE(G73:P73,0.9)</f>
        <v>0.0043573145</v>
      </c>
      <c r="S73" s="5" t="n">
        <f aca="false">spmv_1!R$2/R73</f>
        <v>3.99862080187235</v>
      </c>
      <c r="T73" s="6" t="n">
        <f aca="false">S73/128</f>
        <v>0.0312392250146277</v>
      </c>
    </row>
    <row r="74" customFormat="false" ht="15" hidden="false" customHeight="false" outlineLevel="0" collapsed="false">
      <c r="A74" s="1" t="s">
        <v>15</v>
      </c>
      <c r="B74" s="1" t="n">
        <v>72</v>
      </c>
      <c r="D74" s="1" t="n">
        <v>82745</v>
      </c>
      <c r="E74" s="1" t="n">
        <v>0.060185</v>
      </c>
      <c r="G74" s="1" t="n">
        <v>0.004436731</v>
      </c>
      <c r="H74" s="1" t="n">
        <v>0.00493288</v>
      </c>
      <c r="I74" s="1" t="n">
        <v>0.00221467</v>
      </c>
      <c r="J74" s="1" t="n">
        <v>0.002283573</v>
      </c>
      <c r="K74" s="1" t="n">
        <v>0.002216101</v>
      </c>
      <c r="L74" s="1" t="n">
        <v>0.002471447</v>
      </c>
      <c r="M74" s="1" t="n">
        <v>0.002203703</v>
      </c>
      <c r="N74" s="1" t="n">
        <v>0.002167225</v>
      </c>
      <c r="O74" s="1" t="n">
        <v>0.002293587</v>
      </c>
      <c r="P74" s="1" t="n">
        <v>0.002277136</v>
      </c>
      <c r="R74" s="1" t="n">
        <f aca="false">PERCENTILE(G74:P74,0.9)</f>
        <v>0.0044863459</v>
      </c>
      <c r="S74" s="5" t="n">
        <f aca="false">spmv_1!R$2/R74</f>
        <v>3.88361682053985</v>
      </c>
      <c r="T74" s="6" t="n">
        <f aca="false">S74/128</f>
        <v>0.0303407564104676</v>
      </c>
    </row>
    <row r="75" customFormat="false" ht="15" hidden="false" customHeight="false" outlineLevel="0" collapsed="false">
      <c r="A75" s="1" t="s">
        <v>15</v>
      </c>
      <c r="B75" s="1" t="n">
        <v>73</v>
      </c>
      <c r="D75" s="1" t="n">
        <v>82900</v>
      </c>
      <c r="E75" s="1" t="n">
        <v>0.061139</v>
      </c>
      <c r="G75" s="1" t="n">
        <v>0.004325628</v>
      </c>
      <c r="H75" s="1" t="n">
        <v>0.004927874</v>
      </c>
      <c r="I75" s="1" t="n">
        <v>0.002166271</v>
      </c>
      <c r="J75" s="1" t="n">
        <v>0.002267122</v>
      </c>
      <c r="K75" s="1" t="n">
        <v>0.00218749</v>
      </c>
      <c r="L75" s="1" t="n">
        <v>0.002444029</v>
      </c>
      <c r="M75" s="1" t="n">
        <v>0.002183199</v>
      </c>
      <c r="N75" s="1" t="n">
        <v>0.002145767</v>
      </c>
      <c r="O75" s="1" t="n">
        <v>0.00223732</v>
      </c>
      <c r="P75" s="1" t="n">
        <v>0.002233744</v>
      </c>
      <c r="R75" s="1" t="n">
        <f aca="false">PERCENTILE(G75:P75,0.9)</f>
        <v>0.0043858526</v>
      </c>
      <c r="S75" s="5" t="n">
        <f aca="false">spmv_1!R$2/R75</f>
        <v>3.97260236242322</v>
      </c>
      <c r="T75" s="6" t="n">
        <f aca="false">S75/128</f>
        <v>0.0310359559564314</v>
      </c>
    </row>
    <row r="76" customFormat="false" ht="15" hidden="false" customHeight="false" outlineLevel="0" collapsed="false">
      <c r="A76" s="1" t="s">
        <v>15</v>
      </c>
      <c r="B76" s="1" t="n">
        <v>74</v>
      </c>
      <c r="D76" s="1" t="n">
        <v>82872</v>
      </c>
      <c r="E76" s="1" t="n">
        <v>0.06145</v>
      </c>
      <c r="G76" s="1" t="n">
        <v>0.004254103</v>
      </c>
      <c r="H76" s="1" t="n">
        <v>0.004923344</v>
      </c>
      <c r="I76" s="1" t="n">
        <v>0.002178192</v>
      </c>
      <c r="J76" s="1" t="n">
        <v>0.002245426</v>
      </c>
      <c r="K76" s="1" t="n">
        <v>0.002188444</v>
      </c>
      <c r="L76" s="1" t="n">
        <v>0.002421141</v>
      </c>
      <c r="M76" s="1" t="n">
        <v>0.002163887</v>
      </c>
      <c r="N76" s="1" t="n">
        <v>0.002146721</v>
      </c>
      <c r="O76" s="1" t="n">
        <v>0.002234459</v>
      </c>
      <c r="P76" s="1" t="n">
        <v>0.002216339</v>
      </c>
      <c r="R76" s="1" t="n">
        <f aca="false">PERCENTILE(G76:P76,0.9)</f>
        <v>0.0043210271</v>
      </c>
      <c r="S76" s="5" t="n">
        <f aca="false">spmv_1!R$2/R76</f>
        <v>4.03220067747319</v>
      </c>
      <c r="T76" s="6" t="n">
        <f aca="false">S76/128</f>
        <v>0.0315015677927593</v>
      </c>
    </row>
    <row r="77" customFormat="false" ht="15" hidden="false" customHeight="false" outlineLevel="0" collapsed="false">
      <c r="A77" s="1" t="s">
        <v>15</v>
      </c>
      <c r="B77" s="1" t="n">
        <v>75</v>
      </c>
      <c r="D77" s="1" t="n">
        <v>83221</v>
      </c>
      <c r="E77" s="1" t="n">
        <v>0.06235</v>
      </c>
      <c r="G77" s="1" t="n">
        <v>0.004255772</v>
      </c>
      <c r="H77" s="1" t="n">
        <v>0.004913807</v>
      </c>
      <c r="I77" s="1" t="n">
        <v>0.00213933</v>
      </c>
      <c r="J77" s="1" t="n">
        <v>0.002221346</v>
      </c>
      <c r="K77" s="1" t="n">
        <v>0.002142906</v>
      </c>
      <c r="L77" s="1" t="n">
        <v>0.002408743</v>
      </c>
      <c r="M77" s="1" t="n">
        <v>0.002142191</v>
      </c>
      <c r="N77" s="1" t="n">
        <v>0.002090216</v>
      </c>
      <c r="O77" s="1" t="n">
        <v>0.002197504</v>
      </c>
      <c r="P77" s="1" t="n">
        <v>0.002182961</v>
      </c>
      <c r="R77" s="1" t="n">
        <f aca="false">PERCENTILE(G77:P77,0.9)</f>
        <v>0.0043215755</v>
      </c>
      <c r="S77" s="5" t="n">
        <f aca="false">spmv_1!R$2/R77</f>
        <v>4.03168899860711</v>
      </c>
      <c r="T77" s="6" t="n">
        <f aca="false">S77/128</f>
        <v>0.031497570301618</v>
      </c>
    </row>
    <row r="78" customFormat="false" ht="15" hidden="false" customHeight="false" outlineLevel="0" collapsed="false">
      <c r="A78" s="1" t="s">
        <v>15</v>
      </c>
      <c r="B78" s="1" t="n">
        <v>76</v>
      </c>
      <c r="D78" s="1" t="n">
        <v>83219</v>
      </c>
      <c r="E78" s="1" t="n">
        <v>0.062799</v>
      </c>
      <c r="G78" s="1" t="n">
        <v>0.004206419</v>
      </c>
      <c r="H78" s="1" t="n">
        <v>0.0049119</v>
      </c>
      <c r="I78" s="1" t="n">
        <v>0.002110481</v>
      </c>
      <c r="J78" s="1" t="n">
        <v>0.002202988</v>
      </c>
      <c r="K78" s="1" t="n">
        <v>0.0021348</v>
      </c>
      <c r="L78" s="1" t="n">
        <v>0.002390862</v>
      </c>
      <c r="M78" s="1" t="n">
        <v>0.002116919</v>
      </c>
      <c r="N78" s="1" t="n">
        <v>0.002074242</v>
      </c>
      <c r="O78" s="1" t="n">
        <v>0.002184391</v>
      </c>
      <c r="P78" s="1" t="n">
        <v>0.002170324</v>
      </c>
      <c r="R78" s="1" t="n">
        <f aca="false">PERCENTILE(G78:P78,0.9)</f>
        <v>0.0042769671</v>
      </c>
      <c r="S78" s="5" t="n">
        <f aca="false">spmv_1!R$2/R78</f>
        <v>4.07373916904809</v>
      </c>
      <c r="T78" s="6" t="n">
        <f aca="false">S78/128</f>
        <v>0.0318260872581882</v>
      </c>
    </row>
    <row r="79" customFormat="false" ht="15" hidden="false" customHeight="false" outlineLevel="0" collapsed="false">
      <c r="A79" s="1" t="s">
        <v>15</v>
      </c>
      <c r="B79" s="1" t="n">
        <v>77</v>
      </c>
      <c r="D79" s="1" t="n">
        <v>83473</v>
      </c>
      <c r="E79" s="1" t="n">
        <v>0.063811</v>
      </c>
      <c r="G79" s="1" t="n">
        <v>0.004173517</v>
      </c>
      <c r="H79" s="1" t="n">
        <v>0.004886389</v>
      </c>
      <c r="I79" s="1" t="n">
        <v>0.002057076</v>
      </c>
      <c r="J79" s="1" t="n">
        <v>0.002167463</v>
      </c>
      <c r="K79" s="1" t="n">
        <v>0.002110004</v>
      </c>
      <c r="L79" s="1" t="n">
        <v>0.002358913</v>
      </c>
      <c r="M79" s="1" t="n">
        <v>0.0020895</v>
      </c>
      <c r="N79" s="1" t="n">
        <v>0.002043724</v>
      </c>
      <c r="O79" s="1" t="n">
        <v>0.002147198</v>
      </c>
      <c r="P79" s="1" t="n">
        <v>0.002128601</v>
      </c>
      <c r="R79" s="1" t="n">
        <f aca="false">PERCENTILE(G79:P79,0.9)</f>
        <v>0.0042448042</v>
      </c>
      <c r="S79" s="5" t="n">
        <f aca="false">spmv_1!R$2/R79</f>
        <v>4.10460590855993</v>
      </c>
      <c r="T79" s="6" t="n">
        <f aca="false">S79/128</f>
        <v>0.0320672336606244</v>
      </c>
    </row>
    <row r="80" customFormat="false" ht="15" hidden="false" customHeight="false" outlineLevel="0" collapsed="false">
      <c r="A80" s="1" t="s">
        <v>15</v>
      </c>
      <c r="B80" s="1" t="n">
        <v>78</v>
      </c>
      <c r="D80" s="1" t="n">
        <v>82939</v>
      </c>
      <c r="E80" s="1" t="n">
        <v>0.064277</v>
      </c>
      <c r="G80" s="1" t="n">
        <v>0.004163265</v>
      </c>
      <c r="H80" s="1" t="n">
        <v>0.004862309</v>
      </c>
      <c r="I80" s="1" t="n">
        <v>0.002009392</v>
      </c>
      <c r="J80" s="1" t="n">
        <v>0.002115011</v>
      </c>
      <c r="K80" s="1" t="n">
        <v>0.002059221</v>
      </c>
      <c r="L80" s="1" t="n">
        <v>0.002317905</v>
      </c>
      <c r="M80" s="1" t="n">
        <v>0.002067566</v>
      </c>
      <c r="N80" s="1" t="n">
        <v>0.002022743</v>
      </c>
      <c r="O80" s="1" t="n">
        <v>0.002104282</v>
      </c>
      <c r="P80" s="1" t="n">
        <v>0.002085209</v>
      </c>
      <c r="R80" s="1" t="n">
        <f aca="false">PERCENTILE(G80:P80,0.9)</f>
        <v>0.0042331694</v>
      </c>
      <c r="S80" s="5" t="n">
        <f aca="false">spmv_1!R$2/R80</f>
        <v>4.11588735381107</v>
      </c>
      <c r="T80" s="6" t="n">
        <f aca="false">S80/128</f>
        <v>0.032155369951649</v>
      </c>
    </row>
    <row r="81" customFormat="false" ht="15" hidden="false" customHeight="false" outlineLevel="0" collapsed="false">
      <c r="A81" s="1" t="s">
        <v>15</v>
      </c>
      <c r="B81" s="1" t="n">
        <v>79</v>
      </c>
      <c r="D81" s="1" t="n">
        <v>82717</v>
      </c>
      <c r="E81" s="1" t="n">
        <v>0.064044</v>
      </c>
      <c r="G81" s="1" t="n">
        <v>0.004118443</v>
      </c>
      <c r="H81" s="1" t="n">
        <v>0.004909992</v>
      </c>
      <c r="I81" s="1" t="n">
        <v>0.002038479</v>
      </c>
      <c r="J81" s="1" t="n">
        <v>0.002098083</v>
      </c>
      <c r="K81" s="1" t="n">
        <v>0.002069473</v>
      </c>
      <c r="L81" s="1" t="n">
        <v>0.002343178</v>
      </c>
      <c r="M81" s="1" t="n">
        <v>0.002040386</v>
      </c>
      <c r="N81" s="1" t="n">
        <v>0.002043247</v>
      </c>
      <c r="O81" s="1" t="n">
        <v>0.002086639</v>
      </c>
      <c r="P81" s="1" t="n">
        <v>0.00208354</v>
      </c>
      <c r="R81" s="1" t="n">
        <f aca="false">PERCENTILE(G81:P81,0.9)</f>
        <v>0.0041975979</v>
      </c>
      <c r="S81" s="5" t="n">
        <f aca="false">spmv_1!R$2/R81</f>
        <v>4.15076641809831</v>
      </c>
      <c r="T81" s="6" t="n">
        <f aca="false">S81/128</f>
        <v>0.0324278626413931</v>
      </c>
    </row>
    <row r="82" customFormat="false" ht="15" hidden="false" customHeight="false" outlineLevel="0" collapsed="false">
      <c r="A82" s="1" t="s">
        <v>15</v>
      </c>
      <c r="B82" s="1" t="n">
        <v>80</v>
      </c>
      <c r="D82" s="1" t="n">
        <v>82530</v>
      </c>
      <c r="E82" s="1" t="n">
        <v>0.064835</v>
      </c>
      <c r="G82" s="1" t="n">
        <v>0.004138708</v>
      </c>
      <c r="H82" s="1" t="n">
        <v>0.004880905</v>
      </c>
      <c r="I82" s="1" t="n">
        <v>0.001949787</v>
      </c>
      <c r="J82" s="1" t="n">
        <v>0.002049208</v>
      </c>
      <c r="K82" s="1" t="n">
        <v>0.002046347</v>
      </c>
      <c r="L82" s="1" t="n">
        <v>0.002276182</v>
      </c>
      <c r="M82" s="1" t="n">
        <v>0.002005816</v>
      </c>
      <c r="N82" s="1" t="n">
        <v>0.001979113</v>
      </c>
      <c r="O82" s="1" t="n">
        <v>0.002061605</v>
      </c>
      <c r="P82" s="1" t="n">
        <v>0.002070904</v>
      </c>
      <c r="R82" s="1" t="n">
        <f aca="false">PERCENTILE(G82:P82,0.9)</f>
        <v>0.0042129277</v>
      </c>
      <c r="S82" s="5" t="n">
        <f aca="false">spmv_1!R$2/R82</f>
        <v>4.13566280760052</v>
      </c>
      <c r="T82" s="6" t="n">
        <f aca="false">S82/128</f>
        <v>0.0323098656843791</v>
      </c>
    </row>
    <row r="83" customFormat="false" ht="15" hidden="false" customHeight="false" outlineLevel="0" collapsed="false">
      <c r="A83" s="1" t="s">
        <v>15</v>
      </c>
      <c r="B83" s="1" t="n">
        <v>81</v>
      </c>
      <c r="D83" s="1" t="n">
        <v>82574</v>
      </c>
      <c r="E83" s="1" t="n">
        <v>0.062617</v>
      </c>
      <c r="G83" s="1" t="n">
        <v>0.004270554</v>
      </c>
      <c r="H83" s="1" t="n">
        <v>0.004915714</v>
      </c>
      <c r="I83" s="1" t="n">
        <v>0.002037048</v>
      </c>
      <c r="J83" s="1" t="n">
        <v>0.002128124</v>
      </c>
      <c r="K83" s="1" t="n">
        <v>0.002142429</v>
      </c>
      <c r="L83" s="1" t="n">
        <v>0.002356052</v>
      </c>
      <c r="M83" s="1" t="n">
        <v>0.002109528</v>
      </c>
      <c r="N83" s="1" t="n">
        <v>0.00205493</v>
      </c>
      <c r="O83" s="1" t="n">
        <v>0.002164602</v>
      </c>
      <c r="P83" s="1" t="n">
        <v>0.00219512</v>
      </c>
      <c r="R83" s="1" t="n">
        <f aca="false">PERCENTILE(G83:P83,0.9)</f>
        <v>0.00433507</v>
      </c>
      <c r="S83" s="5" t="n">
        <f aca="false">spmv_1!R$2/R83</f>
        <v>4.01913888357051</v>
      </c>
      <c r="T83" s="6" t="n">
        <f aca="false">S83/128</f>
        <v>0.0313995225278946</v>
      </c>
    </row>
    <row r="84" customFormat="false" ht="15" hidden="false" customHeight="false" outlineLevel="0" collapsed="false">
      <c r="A84" s="1" t="s">
        <v>15</v>
      </c>
      <c r="B84" s="1" t="n">
        <v>82</v>
      </c>
      <c r="D84" s="1" t="n">
        <v>82389</v>
      </c>
      <c r="E84" s="1" t="n">
        <v>0.065066</v>
      </c>
      <c r="G84" s="1" t="n">
        <v>0.004120588</v>
      </c>
      <c r="H84" s="1" t="n">
        <v>0.004878283</v>
      </c>
      <c r="I84" s="1" t="n">
        <v>0.001958132</v>
      </c>
      <c r="J84" s="1" t="n">
        <v>0.002060413</v>
      </c>
      <c r="K84" s="1" t="n">
        <v>0.002024651</v>
      </c>
      <c r="L84" s="1" t="n">
        <v>0.002276659</v>
      </c>
      <c r="M84" s="1" t="n">
        <v>0.001981974</v>
      </c>
      <c r="N84" s="1" t="n">
        <v>0.001967669</v>
      </c>
      <c r="O84" s="1" t="n">
        <v>0.002017498</v>
      </c>
      <c r="P84" s="1" t="n">
        <v>0.002038956</v>
      </c>
      <c r="R84" s="1" t="n">
        <f aca="false">PERCENTILE(G84:P84,0.9)</f>
        <v>0.0041963575</v>
      </c>
      <c r="S84" s="5" t="n">
        <f aca="false">spmv_1!R$2/R84</f>
        <v>4.15199334184468</v>
      </c>
      <c r="T84" s="6" t="n">
        <f aca="false">S84/128</f>
        <v>0.0324374479831616</v>
      </c>
    </row>
    <row r="85" customFormat="false" ht="15" hidden="false" customHeight="false" outlineLevel="0" collapsed="false">
      <c r="A85" s="1" t="s">
        <v>15</v>
      </c>
      <c r="B85" s="1" t="n">
        <v>83</v>
      </c>
      <c r="D85" s="1" t="n">
        <v>82401</v>
      </c>
      <c r="E85" s="1" t="n">
        <v>0.065809</v>
      </c>
      <c r="G85" s="1" t="n">
        <v>0.004058361</v>
      </c>
      <c r="H85" s="1" t="n">
        <v>0.0048666</v>
      </c>
      <c r="I85" s="1" t="n">
        <v>0.001895428</v>
      </c>
      <c r="J85" s="1" t="n">
        <v>0.002055168</v>
      </c>
      <c r="K85" s="1" t="n">
        <v>0.001987696</v>
      </c>
      <c r="L85" s="1" t="n">
        <v>0.002254963</v>
      </c>
      <c r="M85" s="1" t="n">
        <v>0.00196147</v>
      </c>
      <c r="N85" s="1" t="n">
        <v>0.001950264</v>
      </c>
      <c r="O85" s="1" t="n">
        <v>0.001990795</v>
      </c>
      <c r="P85" s="1" t="n">
        <v>0.00202179</v>
      </c>
      <c r="R85" s="1" t="n">
        <f aca="false">PERCENTILE(G85:P85,0.9)</f>
        <v>0.0041391849</v>
      </c>
      <c r="S85" s="5" t="n">
        <f aca="false">spmv_1!R$2/R85</f>
        <v>4.20934285878362</v>
      </c>
      <c r="T85" s="6" t="n">
        <f aca="false">S85/128</f>
        <v>0.032885491084247</v>
      </c>
    </row>
    <row r="86" customFormat="false" ht="15" hidden="false" customHeight="false" outlineLevel="0" collapsed="false">
      <c r="A86" s="1" t="s">
        <v>15</v>
      </c>
      <c r="B86" s="1" t="n">
        <v>84</v>
      </c>
      <c r="D86" s="1" t="n">
        <v>83624</v>
      </c>
      <c r="E86" s="1" t="n">
        <v>0.067507</v>
      </c>
      <c r="G86" s="1" t="n">
        <v>0.004065037</v>
      </c>
      <c r="H86" s="1" t="n">
        <v>0.004860878</v>
      </c>
      <c r="I86" s="1" t="n">
        <v>0.001892567</v>
      </c>
      <c r="J86" s="1" t="n">
        <v>0.001965046</v>
      </c>
      <c r="K86" s="1" t="n">
        <v>0.001955986</v>
      </c>
      <c r="L86" s="1" t="n">
        <v>0.002212524</v>
      </c>
      <c r="M86" s="1" t="n">
        <v>0.001963854</v>
      </c>
      <c r="N86" s="1" t="n">
        <v>0.001902103</v>
      </c>
      <c r="O86" s="1" t="n">
        <v>0.002005816</v>
      </c>
      <c r="P86" s="1" t="n">
        <v>0.001950979</v>
      </c>
      <c r="R86" s="1" t="n">
        <f aca="false">PERCENTILE(G86:P86,0.9)</f>
        <v>0.0041446211</v>
      </c>
      <c r="S86" s="5" t="n">
        <f aca="false">spmv_1!R$2/R86</f>
        <v>4.20382176792952</v>
      </c>
      <c r="T86" s="6" t="n">
        <f aca="false">S86/128</f>
        <v>0.0328423575619494</v>
      </c>
    </row>
    <row r="87" customFormat="false" ht="15" hidden="false" customHeight="false" outlineLevel="0" collapsed="false">
      <c r="A87" s="1" t="s">
        <v>15</v>
      </c>
      <c r="B87" s="1" t="n">
        <v>85</v>
      </c>
      <c r="D87" s="1" t="n">
        <v>83877</v>
      </c>
      <c r="E87" s="1" t="n">
        <v>0.068069</v>
      </c>
      <c r="G87" s="1" t="n">
        <v>0.004062176</v>
      </c>
      <c r="H87" s="1" t="n">
        <v>0.00487113</v>
      </c>
      <c r="I87" s="1" t="n">
        <v>0.001893044</v>
      </c>
      <c r="J87" s="1" t="n">
        <v>0.001971483</v>
      </c>
      <c r="K87" s="1" t="n">
        <v>0.001932621</v>
      </c>
      <c r="L87" s="1" t="n">
        <v>0.002212763</v>
      </c>
      <c r="M87" s="1" t="n">
        <v>0.001941681</v>
      </c>
      <c r="N87" s="1" t="n">
        <v>0.001855373</v>
      </c>
      <c r="O87" s="1" t="n">
        <v>0.001973152</v>
      </c>
      <c r="P87" s="1" t="n">
        <v>0.001931429</v>
      </c>
      <c r="R87" s="1" t="n">
        <f aca="false">PERCENTILE(G87:P87,0.9)</f>
        <v>0.0041430714</v>
      </c>
      <c r="S87" s="5" t="n">
        <f aca="false">spmv_1!R$2/R87</f>
        <v>4.20539419137213</v>
      </c>
      <c r="T87" s="6" t="n">
        <f aca="false">S87/128</f>
        <v>0.0328546421200948</v>
      </c>
    </row>
    <row r="88" customFormat="false" ht="15" hidden="false" customHeight="false" outlineLevel="0" collapsed="false">
      <c r="A88" s="1" t="s">
        <v>15</v>
      </c>
      <c r="B88" s="1" t="n">
        <v>86</v>
      </c>
      <c r="D88" s="1" t="n">
        <v>84609</v>
      </c>
      <c r="E88" s="1" t="n">
        <v>0.06733</v>
      </c>
      <c r="G88" s="1" t="n">
        <v>0.004188776</v>
      </c>
      <c r="H88" s="1" t="n">
        <v>0.004972458</v>
      </c>
      <c r="I88" s="1" t="n">
        <v>0.001955271</v>
      </c>
      <c r="J88" s="1" t="n">
        <v>0.001994133</v>
      </c>
      <c r="K88" s="1" t="n">
        <v>0.001940727</v>
      </c>
      <c r="L88" s="1" t="n">
        <v>0.002234697</v>
      </c>
      <c r="M88" s="1" t="n">
        <v>0.001975536</v>
      </c>
      <c r="N88" s="1" t="n">
        <v>0.001917839</v>
      </c>
      <c r="O88" s="1" t="n">
        <v>0.001978636</v>
      </c>
      <c r="P88" s="1" t="n">
        <v>0.001974583</v>
      </c>
      <c r="R88" s="1" t="n">
        <f aca="false">PERCENTILE(G88:P88,0.9)</f>
        <v>0.0042671442</v>
      </c>
      <c r="S88" s="5" t="n">
        <f aca="false">spmv_1!R$2/R88</f>
        <v>4.08311685365589</v>
      </c>
      <c r="T88" s="6" t="n">
        <f aca="false">S88/128</f>
        <v>0.0318993504191867</v>
      </c>
    </row>
    <row r="89" customFormat="false" ht="15" hidden="false" customHeight="false" outlineLevel="0" collapsed="false">
      <c r="A89" s="1" t="s">
        <v>15</v>
      </c>
      <c r="B89" s="1" t="n">
        <v>87</v>
      </c>
      <c r="D89" s="1" t="n">
        <v>83735</v>
      </c>
      <c r="E89" s="1" t="n">
        <v>0.069697</v>
      </c>
      <c r="G89" s="1" t="n">
        <v>0.003963232</v>
      </c>
      <c r="H89" s="1" t="n">
        <v>0.004825115</v>
      </c>
      <c r="I89" s="1" t="n">
        <v>0.001811028</v>
      </c>
      <c r="J89" s="1" t="n">
        <v>0.001897812</v>
      </c>
      <c r="K89" s="1" t="n">
        <v>0.001876831</v>
      </c>
      <c r="L89" s="1" t="n">
        <v>0.002169609</v>
      </c>
      <c r="M89" s="1" t="n">
        <v>0.00186944</v>
      </c>
      <c r="N89" s="1" t="n">
        <v>0.00182724</v>
      </c>
      <c r="O89" s="1" t="n">
        <v>0.001909494</v>
      </c>
      <c r="P89" s="1" t="n">
        <v>0.0018785</v>
      </c>
      <c r="R89" s="1" t="n">
        <f aca="false">PERCENTILE(G89:P89,0.9)</f>
        <v>0.0040494203</v>
      </c>
      <c r="S89" s="5" t="n">
        <f aca="false">spmv_1!R$2/R89</f>
        <v>4.30265250559444</v>
      </c>
      <c r="T89" s="6" t="n">
        <f aca="false">S89/128</f>
        <v>0.0336144726999566</v>
      </c>
    </row>
    <row r="90" customFormat="false" ht="15" hidden="false" customHeight="false" outlineLevel="0" collapsed="false">
      <c r="A90" s="1" t="s">
        <v>15</v>
      </c>
      <c r="B90" s="1" t="n">
        <v>88</v>
      </c>
      <c r="D90" s="1" t="n">
        <v>83636</v>
      </c>
      <c r="E90" s="1" t="n">
        <v>0.070393</v>
      </c>
      <c r="G90" s="1" t="n">
        <v>0.003958225</v>
      </c>
      <c r="H90" s="1" t="n">
        <v>0.00482583</v>
      </c>
      <c r="I90" s="1" t="n">
        <v>0.001783133</v>
      </c>
      <c r="J90" s="1" t="n">
        <v>0.001898527</v>
      </c>
      <c r="K90" s="1" t="n">
        <v>0.001807213</v>
      </c>
      <c r="L90" s="1" t="n">
        <v>0.002138853</v>
      </c>
      <c r="M90" s="1" t="n">
        <v>0.00183773</v>
      </c>
      <c r="N90" s="1" t="n">
        <v>0.001793146</v>
      </c>
      <c r="O90" s="1" t="n">
        <v>0.001853704</v>
      </c>
      <c r="P90" s="1" t="n">
        <v>0.001866102</v>
      </c>
      <c r="R90" s="1" t="n">
        <f aca="false">PERCENTILE(G90:P90,0.9)</f>
        <v>0.0040449855</v>
      </c>
      <c r="S90" s="5" t="n">
        <f aca="false">spmv_1!R$2/R90</f>
        <v>4.30736980392142</v>
      </c>
      <c r="T90" s="6" t="n">
        <f aca="false">S90/128</f>
        <v>0.0336513265931361</v>
      </c>
    </row>
    <row r="91" customFormat="false" ht="15" hidden="false" customHeight="false" outlineLevel="0" collapsed="false">
      <c r="A91" s="1" t="s">
        <v>15</v>
      </c>
      <c r="B91" s="1" t="n">
        <v>89</v>
      </c>
      <c r="D91" s="1" t="n">
        <v>83024</v>
      </c>
      <c r="E91" s="1" t="n">
        <v>0.070791</v>
      </c>
      <c r="G91" s="1" t="n">
        <v>0.003905296</v>
      </c>
      <c r="H91" s="1" t="n">
        <v>0.004820108</v>
      </c>
      <c r="I91" s="1" t="n">
        <v>0.001749992</v>
      </c>
      <c r="J91" s="1" t="n">
        <v>0.001816988</v>
      </c>
      <c r="K91" s="1" t="n">
        <v>0.001796484</v>
      </c>
      <c r="L91" s="1" t="n">
        <v>0.002117395</v>
      </c>
      <c r="M91" s="1" t="n">
        <v>0.001810074</v>
      </c>
      <c r="N91" s="1" t="n">
        <v>0.001777887</v>
      </c>
      <c r="O91" s="1" t="n">
        <v>0.001831055</v>
      </c>
      <c r="P91" s="1" t="n">
        <v>0.001830816</v>
      </c>
      <c r="R91" s="1" t="n">
        <f aca="false">PERCENTILE(G91:P91,0.9)</f>
        <v>0.0039967772</v>
      </c>
      <c r="S91" s="5" t="n">
        <f aca="false">spmv_1!R$2/R91</f>
        <v>4.35932440767526</v>
      </c>
      <c r="T91" s="6" t="n">
        <f aca="false">S91/128</f>
        <v>0.034057221934963</v>
      </c>
    </row>
    <row r="92" customFormat="false" ht="15" hidden="false" customHeight="false" outlineLevel="0" collapsed="false">
      <c r="A92" s="1" t="s">
        <v>15</v>
      </c>
      <c r="B92" s="1" t="n">
        <v>90</v>
      </c>
      <c r="D92" s="1" t="n">
        <v>83145</v>
      </c>
      <c r="E92" s="1" t="n">
        <v>0.071789</v>
      </c>
      <c r="G92" s="1" t="n">
        <v>0.003853559</v>
      </c>
      <c r="H92" s="1" t="n">
        <v>0.004813194</v>
      </c>
      <c r="I92" s="1" t="n">
        <v>0.001729727</v>
      </c>
      <c r="J92" s="1" t="n">
        <v>0.001783848</v>
      </c>
      <c r="K92" s="1" t="n">
        <v>0.001769304</v>
      </c>
      <c r="L92" s="1" t="n">
        <v>0.002085686</v>
      </c>
      <c r="M92" s="1" t="n">
        <v>0.001805544</v>
      </c>
      <c r="N92" s="1" t="n">
        <v>0.001726151</v>
      </c>
      <c r="O92" s="1" t="n">
        <v>0.001802921</v>
      </c>
      <c r="P92" s="1" t="n">
        <v>0.001793861</v>
      </c>
      <c r="R92" s="1" t="n">
        <f aca="false">PERCENTILE(G92:P92,0.9)</f>
        <v>0.0039495225</v>
      </c>
      <c r="S92" s="5" t="n">
        <f aca="false">spmv_1!R$2/R92</f>
        <v>4.4114822488035</v>
      </c>
      <c r="T92" s="6" t="n">
        <f aca="false">S92/128</f>
        <v>0.0344647050687773</v>
      </c>
    </row>
    <row r="93" customFormat="false" ht="15" hidden="false" customHeight="false" outlineLevel="0" collapsed="false">
      <c r="A93" s="1" t="s">
        <v>15</v>
      </c>
      <c r="B93" s="1" t="n">
        <v>91</v>
      </c>
      <c r="D93" s="1" t="n">
        <v>83437</v>
      </c>
      <c r="E93" s="1" t="n">
        <v>0.071781</v>
      </c>
      <c r="G93" s="1" t="n">
        <v>0.003861189</v>
      </c>
      <c r="H93" s="1" t="n">
        <v>0.004856825</v>
      </c>
      <c r="I93" s="1" t="n">
        <v>0.001741886</v>
      </c>
      <c r="J93" s="1" t="n">
        <v>0.001786947</v>
      </c>
      <c r="K93" s="1" t="n">
        <v>0.001778364</v>
      </c>
      <c r="L93" s="1" t="n">
        <v>0.002102137</v>
      </c>
      <c r="M93" s="1" t="n">
        <v>0.001783371</v>
      </c>
      <c r="N93" s="1" t="n">
        <v>0.00171566</v>
      </c>
      <c r="O93" s="1" t="n">
        <v>0.001817226</v>
      </c>
      <c r="P93" s="1" t="n">
        <v>0.001804113</v>
      </c>
      <c r="R93" s="1" t="n">
        <f aca="false">PERCENTILE(G93:P93,0.9)</f>
        <v>0.0039607526</v>
      </c>
      <c r="S93" s="5" t="n">
        <f aca="false">spmv_1!R$2/R93</f>
        <v>4.39897417475659</v>
      </c>
      <c r="T93" s="6" t="n">
        <f aca="false">S93/128</f>
        <v>0.0343669857402858</v>
      </c>
    </row>
    <row r="94" customFormat="false" ht="15" hidden="false" customHeight="false" outlineLevel="0" collapsed="false">
      <c r="A94" s="1" t="s">
        <v>15</v>
      </c>
      <c r="B94" s="1" t="n">
        <v>92</v>
      </c>
      <c r="D94" s="1" t="n">
        <v>83286</v>
      </c>
      <c r="E94" s="1" t="n">
        <v>0.072559</v>
      </c>
      <c r="G94" s="1" t="n">
        <v>0.003805876</v>
      </c>
      <c r="H94" s="1" t="n">
        <v>0.004841328</v>
      </c>
      <c r="I94" s="1" t="n">
        <v>0.001683712</v>
      </c>
      <c r="J94" s="1" t="n">
        <v>0.001787186</v>
      </c>
      <c r="K94" s="1" t="n">
        <v>0.001758814</v>
      </c>
      <c r="L94" s="1" t="n">
        <v>0.002062082</v>
      </c>
      <c r="M94" s="1" t="n">
        <v>0.001739025</v>
      </c>
      <c r="N94" s="1" t="n">
        <v>0.001709938</v>
      </c>
      <c r="O94" s="1" t="n">
        <v>0.001777887</v>
      </c>
      <c r="P94" s="1" t="n">
        <v>0.001791</v>
      </c>
      <c r="R94" s="1" t="n">
        <f aca="false">PERCENTILE(G94:P94,0.9)</f>
        <v>0.0039094212</v>
      </c>
      <c r="S94" s="5" t="n">
        <f aca="false">spmv_1!R$2/R94</f>
        <v>4.45673349292729</v>
      </c>
      <c r="T94" s="6" t="n">
        <f aca="false">S94/128</f>
        <v>0.0348182304134945</v>
      </c>
    </row>
    <row r="95" customFormat="false" ht="15" hidden="false" customHeight="false" outlineLevel="0" collapsed="false">
      <c r="A95" s="1" t="s">
        <v>15</v>
      </c>
      <c r="B95" s="1" t="n">
        <v>93</v>
      </c>
      <c r="D95" s="1" t="n">
        <v>83166</v>
      </c>
      <c r="E95" s="1" t="n">
        <v>0.073821</v>
      </c>
      <c r="G95" s="1" t="n">
        <v>0.003833055</v>
      </c>
      <c r="H95" s="1" t="n">
        <v>0.004782438</v>
      </c>
      <c r="I95" s="1" t="n">
        <v>0.001626253</v>
      </c>
      <c r="J95" s="1" t="n">
        <v>0.001732349</v>
      </c>
      <c r="K95" s="1" t="n">
        <v>0.001703501</v>
      </c>
      <c r="L95" s="1" t="n">
        <v>0.001966953</v>
      </c>
      <c r="M95" s="1" t="n">
        <v>0.001687288</v>
      </c>
      <c r="N95" s="1" t="n">
        <v>0.001669884</v>
      </c>
      <c r="O95" s="1" t="n">
        <v>0.00174737</v>
      </c>
      <c r="P95" s="1" t="n">
        <v>0.001782656</v>
      </c>
      <c r="R95" s="1" t="n">
        <f aca="false">PERCENTILE(G95:P95,0.9)</f>
        <v>0.0039279933</v>
      </c>
      <c r="S95" s="5" t="n">
        <f aca="false">spmv_1!R$2/R95</f>
        <v>4.43566143557322</v>
      </c>
      <c r="T95" s="6" t="n">
        <f aca="false">S95/128</f>
        <v>0.0346536049654158</v>
      </c>
    </row>
    <row r="96" customFormat="false" ht="15" hidden="false" customHeight="false" outlineLevel="0" collapsed="false">
      <c r="A96" s="1" t="s">
        <v>15</v>
      </c>
      <c r="B96" s="1" t="n">
        <v>94</v>
      </c>
      <c r="D96" s="1" t="n">
        <v>82888</v>
      </c>
      <c r="E96" s="1" t="n">
        <v>0.0742</v>
      </c>
      <c r="G96" s="1" t="n">
        <v>0.003830194</v>
      </c>
      <c r="H96" s="1" t="n">
        <v>0.004755735</v>
      </c>
      <c r="I96" s="1" t="n">
        <v>0.001611471</v>
      </c>
      <c r="J96" s="1" t="n">
        <v>0.001705885</v>
      </c>
      <c r="K96" s="1" t="n">
        <v>0.001665354</v>
      </c>
      <c r="L96" s="1" t="n">
        <v>0.001946688</v>
      </c>
      <c r="M96" s="1" t="n">
        <v>0.001673698</v>
      </c>
      <c r="N96" s="1" t="n">
        <v>0.001642466</v>
      </c>
      <c r="O96" s="1" t="n">
        <v>0.001739502</v>
      </c>
      <c r="P96" s="1" t="n">
        <v>0.001770735</v>
      </c>
      <c r="R96" s="1" t="n">
        <f aca="false">PERCENTILE(G96:P96,0.9)</f>
        <v>0.0039227481</v>
      </c>
      <c r="S96" s="5" t="n">
        <f aca="false">spmv_1!R$2/R96</f>
        <v>4.4415924642217</v>
      </c>
      <c r="T96" s="6" t="n">
        <f aca="false">S96/128</f>
        <v>0.034699941126732</v>
      </c>
    </row>
    <row r="97" customFormat="false" ht="15" hidden="false" customHeight="false" outlineLevel="0" collapsed="false">
      <c r="A97" s="1" t="s">
        <v>15</v>
      </c>
      <c r="B97" s="1" t="n">
        <v>95</v>
      </c>
      <c r="D97" s="1" t="n">
        <v>82854</v>
      </c>
      <c r="E97" s="1" t="n">
        <v>0.070063</v>
      </c>
      <c r="G97" s="1" t="n">
        <v>0.004677296</v>
      </c>
      <c r="H97" s="1" t="n">
        <v>0.004813671</v>
      </c>
      <c r="I97" s="1" t="n">
        <v>0.001996279</v>
      </c>
      <c r="J97" s="1" t="n">
        <v>0.001727819</v>
      </c>
      <c r="K97" s="1" t="n">
        <v>0.001687527</v>
      </c>
      <c r="L97" s="1" t="n">
        <v>0.001953125</v>
      </c>
      <c r="M97" s="1" t="n">
        <v>0.00170064</v>
      </c>
      <c r="N97" s="1" t="n">
        <v>0.001647711</v>
      </c>
      <c r="O97" s="1" t="n">
        <v>0.001713753</v>
      </c>
      <c r="P97" s="1" t="n">
        <v>0.001733541</v>
      </c>
      <c r="R97" s="1" t="n">
        <f aca="false">PERCENTILE(G97:P97,0.9)</f>
        <v>0.0046909335</v>
      </c>
      <c r="S97" s="5" t="n">
        <f aca="false">spmv_1!R$2/R97</f>
        <v>3.71423905284524</v>
      </c>
      <c r="T97" s="6" t="n">
        <f aca="false">S97/128</f>
        <v>0.0290174926003534</v>
      </c>
    </row>
    <row r="98" customFormat="false" ht="15" hidden="false" customHeight="false" outlineLevel="0" collapsed="false">
      <c r="A98" s="1" t="s">
        <v>15</v>
      </c>
      <c r="B98" s="1" t="n">
        <v>96</v>
      </c>
      <c r="D98" s="1" t="n">
        <v>83076</v>
      </c>
      <c r="E98" s="1" t="n">
        <v>0.064216</v>
      </c>
      <c r="G98" s="1" t="n">
        <v>0.00543642</v>
      </c>
      <c r="H98" s="1" t="n">
        <v>0.004867077</v>
      </c>
      <c r="I98" s="1" t="n">
        <v>0.002489328</v>
      </c>
      <c r="J98" s="1" t="n">
        <v>0.002082825</v>
      </c>
      <c r="K98" s="1" t="n">
        <v>0.001776457</v>
      </c>
      <c r="L98" s="1" t="n">
        <v>0.002034187</v>
      </c>
      <c r="M98" s="1" t="n">
        <v>0.001839638</v>
      </c>
      <c r="N98" s="1" t="n">
        <v>0.001750469</v>
      </c>
      <c r="O98" s="1" t="n">
        <v>0.001785517</v>
      </c>
      <c r="P98" s="1" t="n">
        <v>0.001811981</v>
      </c>
      <c r="R98" s="1" t="n">
        <f aca="false">PERCENTILE(G98:P98,0.9)</f>
        <v>0.0049240113</v>
      </c>
      <c r="S98" s="5" t="n">
        <f aca="false">spmv_1!R$2/R98</f>
        <v>3.53842575462814</v>
      </c>
      <c r="T98" s="6" t="n">
        <f aca="false">S98/128</f>
        <v>0.0276439512080324</v>
      </c>
    </row>
    <row r="99" customFormat="false" ht="15" hidden="false" customHeight="false" outlineLevel="0" collapsed="false">
      <c r="A99" s="1" t="s">
        <v>15</v>
      </c>
      <c r="B99" s="1" t="n">
        <v>97</v>
      </c>
      <c r="D99" s="1" t="n">
        <v>83246</v>
      </c>
      <c r="E99" s="1" t="n">
        <v>0.065479</v>
      </c>
      <c r="G99" s="1" t="n">
        <v>0.005305052</v>
      </c>
      <c r="H99" s="1" t="n">
        <v>0.004815102</v>
      </c>
      <c r="I99" s="1" t="n">
        <v>0.002485752</v>
      </c>
      <c r="J99" s="1" t="n">
        <v>0.002067566</v>
      </c>
      <c r="K99" s="1" t="n">
        <v>0.00173831</v>
      </c>
      <c r="L99" s="1" t="n">
        <v>0.001997232</v>
      </c>
      <c r="M99" s="1" t="n">
        <v>0.001804352</v>
      </c>
      <c r="N99" s="1" t="n">
        <v>0.001721859</v>
      </c>
      <c r="O99" s="1" t="n">
        <v>0.001740217</v>
      </c>
      <c r="P99" s="1" t="n">
        <v>0.001751423</v>
      </c>
      <c r="R99" s="1" t="n">
        <f aca="false">PERCENTILE(G99:P99,0.9)</f>
        <v>0.004864097</v>
      </c>
      <c r="S99" s="5" t="n">
        <f aca="false">spmv_1!R$2/R99</f>
        <v>3.58201088506253</v>
      </c>
      <c r="T99" s="6" t="n">
        <f aca="false">S99/128</f>
        <v>0.027984460039551</v>
      </c>
    </row>
    <row r="100" customFormat="false" ht="15" hidden="false" customHeight="false" outlineLevel="0" collapsed="false">
      <c r="A100" s="1" t="s">
        <v>15</v>
      </c>
      <c r="B100" s="1" t="n">
        <v>98</v>
      </c>
      <c r="D100" s="1" t="n">
        <v>83753</v>
      </c>
      <c r="E100" s="1" t="n">
        <v>0.067321</v>
      </c>
      <c r="G100" s="1" t="n">
        <v>0.005252838</v>
      </c>
      <c r="H100" s="1" t="n">
        <v>0.004733086</v>
      </c>
      <c r="I100" s="1" t="n">
        <v>0.002441883</v>
      </c>
      <c r="J100" s="1" t="n">
        <v>0.002022266</v>
      </c>
      <c r="K100" s="1" t="n">
        <v>0.001688719</v>
      </c>
      <c r="L100" s="1" t="n">
        <v>0.001932621</v>
      </c>
      <c r="M100" s="1" t="n">
        <v>0.00176239</v>
      </c>
      <c r="N100" s="1" t="n">
        <v>0.001674652</v>
      </c>
      <c r="O100" s="1" t="n">
        <v>0.001698732</v>
      </c>
      <c r="P100" s="1" t="n">
        <v>0.001674652</v>
      </c>
      <c r="R100" s="1" t="n">
        <f aca="false">PERCENTILE(G100:P100,0.9)</f>
        <v>0.0047850612</v>
      </c>
      <c r="S100" s="5" t="n">
        <f aca="false">spmv_1!R$2/R100</f>
        <v>3.64117566563203</v>
      </c>
      <c r="T100" s="6" t="n">
        <f aca="false">S100/128</f>
        <v>0.0284466848877502</v>
      </c>
    </row>
    <row r="101" customFormat="false" ht="15" hidden="false" customHeight="false" outlineLevel="0" collapsed="false">
      <c r="A101" s="1" t="s">
        <v>15</v>
      </c>
      <c r="B101" s="1" t="n">
        <v>99</v>
      </c>
      <c r="D101" s="1" t="n">
        <v>83424</v>
      </c>
      <c r="E101" s="1" t="n">
        <v>0.067028</v>
      </c>
      <c r="G101" s="1" t="n">
        <v>0.005280733</v>
      </c>
      <c r="H101" s="1" t="n">
        <v>0.004740477</v>
      </c>
      <c r="I101" s="1" t="n">
        <v>0.002447605</v>
      </c>
      <c r="J101" s="1" t="n">
        <v>0.002030373</v>
      </c>
      <c r="K101" s="1" t="n">
        <v>0.001684666</v>
      </c>
      <c r="L101" s="1" t="n">
        <v>0.00191021</v>
      </c>
      <c r="M101" s="1" t="n">
        <v>0.00176239</v>
      </c>
      <c r="N101" s="1" t="n">
        <v>0.001658678</v>
      </c>
      <c r="O101" s="1" t="n">
        <v>0.001694441</v>
      </c>
      <c r="P101" s="1" t="n">
        <v>0.001682758</v>
      </c>
      <c r="R101" s="1" t="n">
        <f aca="false">PERCENTILE(G101:P101,0.9)</f>
        <v>0.0047945026</v>
      </c>
      <c r="S101" s="5" t="n">
        <f aca="false">spmv_1!R$2/R101</f>
        <v>3.63400541278255</v>
      </c>
      <c r="T101" s="6" t="n">
        <f aca="false">S101/128</f>
        <v>0.0283906672873637</v>
      </c>
    </row>
    <row r="102" customFormat="false" ht="15" hidden="false" customHeight="false" outlineLevel="0" collapsed="false">
      <c r="A102" s="1" t="s">
        <v>15</v>
      </c>
      <c r="B102" s="1" t="n">
        <v>100</v>
      </c>
      <c r="D102" s="1" t="n">
        <v>83425</v>
      </c>
      <c r="E102" s="1" t="n">
        <v>0.06765</v>
      </c>
      <c r="G102" s="1" t="n">
        <v>0.005292177</v>
      </c>
      <c r="H102" s="1" t="n">
        <v>0.004718781</v>
      </c>
      <c r="I102" s="1" t="n">
        <v>0.002437592</v>
      </c>
      <c r="J102" s="1" t="n">
        <v>0.002010107</v>
      </c>
      <c r="K102" s="1" t="n">
        <v>0.001660347</v>
      </c>
      <c r="L102" s="1" t="n">
        <v>0.001880646</v>
      </c>
      <c r="M102" s="1" t="n">
        <v>0.001745939</v>
      </c>
      <c r="N102" s="1" t="n">
        <v>0.001622677</v>
      </c>
      <c r="O102" s="1" t="n">
        <v>0.001660824</v>
      </c>
      <c r="P102" s="1" t="n">
        <v>0.001634598</v>
      </c>
      <c r="R102" s="1" t="n">
        <f aca="false">PERCENTILE(G102:P102,0.9)</f>
        <v>0.0047761206</v>
      </c>
      <c r="S102" s="5" t="n">
        <f aca="false">spmv_1!R$2/R102</f>
        <v>3.64799171947207</v>
      </c>
      <c r="T102" s="6" t="n">
        <f aca="false">S102/128</f>
        <v>0.0284999353083756</v>
      </c>
    </row>
    <row r="103" customFormat="false" ht="15" hidden="false" customHeight="false" outlineLevel="0" collapsed="false">
      <c r="A103" s="1" t="s">
        <v>15</v>
      </c>
      <c r="B103" s="1" t="n">
        <v>101</v>
      </c>
      <c r="D103" s="1" t="n">
        <v>83001</v>
      </c>
      <c r="E103" s="1" t="n">
        <v>0.067251</v>
      </c>
      <c r="G103" s="1" t="n">
        <v>0.005276918</v>
      </c>
      <c r="H103" s="1" t="n">
        <v>0.004700899</v>
      </c>
      <c r="I103" s="1" t="n">
        <v>0.002457857</v>
      </c>
      <c r="J103" s="1" t="n">
        <v>0.002019644</v>
      </c>
      <c r="K103" s="1" t="n">
        <v>0.001667023</v>
      </c>
      <c r="L103" s="1" t="n">
        <v>0.001869917</v>
      </c>
      <c r="M103" s="1" t="n">
        <v>0.001749277</v>
      </c>
      <c r="N103" s="1" t="n">
        <v>0.001628399</v>
      </c>
      <c r="O103" s="1" t="n">
        <v>0.001649857</v>
      </c>
      <c r="P103" s="1" t="n">
        <v>0.001664162</v>
      </c>
      <c r="R103" s="1" t="n">
        <f aca="false">PERCENTILE(G103:P103,0.9)</f>
        <v>0.0047585009</v>
      </c>
      <c r="S103" s="5" t="n">
        <f aca="false">spmv_1!R$2/R103</f>
        <v>3.66149944407912</v>
      </c>
      <c r="T103" s="6" t="n">
        <f aca="false">S103/128</f>
        <v>0.0286054644068681</v>
      </c>
    </row>
    <row r="104" customFormat="false" ht="15" hidden="false" customHeight="false" outlineLevel="0" collapsed="false">
      <c r="A104" s="1" t="s">
        <v>15</v>
      </c>
      <c r="B104" s="1" t="n">
        <v>102</v>
      </c>
      <c r="D104" s="1" t="n">
        <v>82913</v>
      </c>
      <c r="E104" s="1" t="n">
        <v>0.06695</v>
      </c>
      <c r="G104" s="1" t="n">
        <v>0.005384207</v>
      </c>
      <c r="H104" s="1" t="n">
        <v>0.004690886</v>
      </c>
      <c r="I104" s="1" t="n">
        <v>0.002483845</v>
      </c>
      <c r="J104" s="1" t="n">
        <v>0.00204134</v>
      </c>
      <c r="K104" s="1" t="n">
        <v>0.001678705</v>
      </c>
      <c r="L104" s="1" t="n">
        <v>0.001836538</v>
      </c>
      <c r="M104" s="1" t="n">
        <v>0.001780272</v>
      </c>
      <c r="N104" s="1" t="n">
        <v>0.001631975</v>
      </c>
      <c r="O104" s="1" t="n">
        <v>0.001621962</v>
      </c>
      <c r="P104" s="1" t="n">
        <v>0.001618862</v>
      </c>
      <c r="R104" s="1" t="n">
        <f aca="false">PERCENTILE(G104:P104,0.9)</f>
        <v>0.0047602181</v>
      </c>
      <c r="S104" s="5" t="n">
        <f aca="false">spmv_1!R$2/R104</f>
        <v>3.66017859559838</v>
      </c>
      <c r="T104" s="6" t="n">
        <f aca="false">S104/128</f>
        <v>0.0285951452781124</v>
      </c>
    </row>
    <row r="105" customFormat="false" ht="15" hidden="false" customHeight="false" outlineLevel="0" collapsed="false">
      <c r="A105" s="1" t="s">
        <v>15</v>
      </c>
      <c r="B105" s="1" t="n">
        <v>103</v>
      </c>
      <c r="D105" s="1" t="n">
        <v>82747</v>
      </c>
      <c r="E105" s="1" t="n">
        <v>0.066668</v>
      </c>
      <c r="G105" s="1" t="n">
        <v>0.005265236</v>
      </c>
      <c r="H105" s="1" t="n">
        <v>0.004731417</v>
      </c>
      <c r="I105" s="1" t="n">
        <v>0.002503157</v>
      </c>
      <c r="J105" s="1" t="n">
        <v>0.002064228</v>
      </c>
      <c r="K105" s="1" t="n">
        <v>0.001701832</v>
      </c>
      <c r="L105" s="1" t="n">
        <v>0.001853228</v>
      </c>
      <c r="M105" s="1" t="n">
        <v>0.001785994</v>
      </c>
      <c r="N105" s="1" t="n">
        <v>0.001648426</v>
      </c>
      <c r="O105" s="1" t="n">
        <v>0.00164175</v>
      </c>
      <c r="P105" s="1" t="n">
        <v>0.00162816</v>
      </c>
      <c r="R105" s="1" t="n">
        <f aca="false">PERCENTILE(G105:P105,0.9)</f>
        <v>0.0047847989</v>
      </c>
      <c r="S105" s="5" t="n">
        <f aca="false">spmv_1!R$2/R105</f>
        <v>3.64137527284585</v>
      </c>
      <c r="T105" s="6" t="n">
        <f aca="false">S105/128</f>
        <v>0.0284482443191082</v>
      </c>
    </row>
    <row r="106" customFormat="false" ht="15" hidden="false" customHeight="false" outlineLevel="0" collapsed="false">
      <c r="A106" s="1" t="s">
        <v>15</v>
      </c>
      <c r="B106" s="1" t="n">
        <v>104</v>
      </c>
      <c r="D106" s="1" t="n">
        <v>82784</v>
      </c>
      <c r="E106" s="1" t="n">
        <v>0.067137</v>
      </c>
      <c r="G106" s="1" t="n">
        <v>0.005335093</v>
      </c>
      <c r="H106" s="1" t="n">
        <v>0.004689693</v>
      </c>
      <c r="I106" s="1" t="n">
        <v>0.002485037</v>
      </c>
      <c r="J106" s="1" t="n">
        <v>0.002045631</v>
      </c>
      <c r="K106" s="1" t="n">
        <v>0.001680613</v>
      </c>
      <c r="L106" s="1" t="n">
        <v>0.001810551</v>
      </c>
      <c r="M106" s="1" t="n">
        <v>0.001766443</v>
      </c>
      <c r="N106" s="1" t="n">
        <v>0.001636505</v>
      </c>
      <c r="O106" s="1" t="n">
        <v>0.001605988</v>
      </c>
      <c r="P106" s="1" t="n">
        <v>0.001605511</v>
      </c>
      <c r="R106" s="1" t="n">
        <f aca="false">PERCENTILE(G106:P106,0.9)</f>
        <v>0.004754233</v>
      </c>
      <c r="S106" s="5" t="n">
        <f aca="false">spmv_1!R$2/R106</f>
        <v>3.66478639141161</v>
      </c>
      <c r="T106" s="6" t="n">
        <f aca="false">S106/128</f>
        <v>0.0286311436829032</v>
      </c>
    </row>
    <row r="107" customFormat="false" ht="15" hidden="false" customHeight="false" outlineLevel="0" collapsed="false">
      <c r="A107" s="1" t="s">
        <v>15</v>
      </c>
      <c r="B107" s="1" t="n">
        <v>105</v>
      </c>
      <c r="D107" s="1" t="n">
        <v>83824</v>
      </c>
      <c r="E107" s="1" t="n">
        <v>0.068298</v>
      </c>
      <c r="G107" s="1" t="n">
        <v>0.005217552</v>
      </c>
      <c r="H107" s="1" t="n">
        <v>0.00466609</v>
      </c>
      <c r="I107" s="1" t="n">
        <v>0.00248456</v>
      </c>
      <c r="J107" s="1" t="n">
        <v>0.002047062</v>
      </c>
      <c r="K107" s="1" t="n">
        <v>0.001689434</v>
      </c>
      <c r="L107" s="1" t="n">
        <v>0.001802444</v>
      </c>
      <c r="M107" s="1" t="n">
        <v>0.001772165</v>
      </c>
      <c r="N107" s="1" t="n">
        <v>0.001624584</v>
      </c>
      <c r="O107" s="1" t="n">
        <v>0.001617432</v>
      </c>
      <c r="P107" s="1" t="n">
        <v>0.001625061</v>
      </c>
      <c r="R107" s="1" t="n">
        <f aca="false">PERCENTILE(G107:P107,0.9)</f>
        <v>0.0047212362</v>
      </c>
      <c r="S107" s="5" t="n">
        <f aca="false">spmv_1!R$2/R107</f>
        <v>3.6903996457538</v>
      </c>
      <c r="T107" s="6" t="n">
        <f aca="false">S107/128</f>
        <v>0.0288312472324515</v>
      </c>
    </row>
    <row r="108" customFormat="false" ht="15" hidden="false" customHeight="false" outlineLevel="0" collapsed="false">
      <c r="A108" s="1" t="s">
        <v>15</v>
      </c>
      <c r="B108" s="1" t="n">
        <v>106</v>
      </c>
      <c r="D108" s="1" t="n">
        <v>83804</v>
      </c>
      <c r="E108" s="1" t="n">
        <v>0.069096</v>
      </c>
      <c r="G108" s="1" t="n">
        <v>0.005248785</v>
      </c>
      <c r="H108" s="1" t="n">
        <v>0.004603148</v>
      </c>
      <c r="I108" s="1" t="n">
        <v>0.002468824</v>
      </c>
      <c r="J108" s="1" t="n">
        <v>0.002022743</v>
      </c>
      <c r="K108" s="1" t="n">
        <v>0.001665592</v>
      </c>
      <c r="L108" s="1" t="n">
        <v>0.001756907</v>
      </c>
      <c r="M108" s="1" t="n">
        <v>0.001765013</v>
      </c>
      <c r="N108" s="1" t="n">
        <v>0.001576185</v>
      </c>
      <c r="O108" s="1" t="n">
        <v>0.001583338</v>
      </c>
      <c r="P108" s="1" t="n">
        <v>0.001566648</v>
      </c>
      <c r="R108" s="1" t="n">
        <f aca="false">PERCENTILE(G108:P108,0.9)</f>
        <v>0.0046677117</v>
      </c>
      <c r="S108" s="5" t="n">
        <f aca="false">spmv_1!R$2/R108</f>
        <v>3.7327173398477</v>
      </c>
      <c r="T108" s="6" t="n">
        <f aca="false">S108/128</f>
        <v>0.0291618542175602</v>
      </c>
    </row>
    <row r="109" customFormat="false" ht="15" hidden="false" customHeight="false" outlineLevel="0" collapsed="false">
      <c r="A109" s="1" t="s">
        <v>15</v>
      </c>
      <c r="B109" s="1" t="n">
        <v>107</v>
      </c>
      <c r="D109" s="1" t="n">
        <v>85017</v>
      </c>
      <c r="E109" s="1" t="n">
        <v>0.070558</v>
      </c>
      <c r="G109" s="1" t="n">
        <v>0.005243778</v>
      </c>
      <c r="H109" s="1" t="n">
        <v>0.004567862</v>
      </c>
      <c r="I109" s="1" t="n">
        <v>0.002451897</v>
      </c>
      <c r="J109" s="1" t="n">
        <v>0.002012014</v>
      </c>
      <c r="K109" s="1" t="n">
        <v>0.001656771</v>
      </c>
      <c r="L109" s="1" t="n">
        <v>0.001717806</v>
      </c>
      <c r="M109" s="1" t="n">
        <v>0.001752853</v>
      </c>
      <c r="N109" s="1" t="n">
        <v>0.00157094</v>
      </c>
      <c r="O109" s="1" t="n">
        <v>0.001565933</v>
      </c>
      <c r="P109" s="1" t="n">
        <v>0.001558542</v>
      </c>
      <c r="R109" s="1" t="n">
        <f aca="false">PERCENTILE(G109:P109,0.9)</f>
        <v>0.0046354536</v>
      </c>
      <c r="S109" s="5" t="n">
        <f aca="false">spmv_1!R$2/R109</f>
        <v>3.75869330242029</v>
      </c>
      <c r="T109" s="6" t="n">
        <f aca="false">S109/128</f>
        <v>0.0293647914251585</v>
      </c>
    </row>
    <row r="110" customFormat="false" ht="15" hidden="false" customHeight="false" outlineLevel="0" collapsed="false">
      <c r="A110" s="1" t="s">
        <v>15</v>
      </c>
      <c r="B110" s="1" t="n">
        <v>108</v>
      </c>
      <c r="D110" s="1" t="n">
        <v>84107</v>
      </c>
      <c r="E110" s="1" t="n">
        <v>0.070133</v>
      </c>
      <c r="G110" s="1" t="n">
        <v>0.005250454</v>
      </c>
      <c r="H110" s="1" t="n">
        <v>0.004540682</v>
      </c>
      <c r="I110" s="1" t="n">
        <v>0.00243926</v>
      </c>
      <c r="J110" s="1" t="n">
        <v>0.002006054</v>
      </c>
      <c r="K110" s="1" t="n">
        <v>0.001643896</v>
      </c>
      <c r="L110" s="1" t="n">
        <v>0.001681566</v>
      </c>
      <c r="M110" s="1" t="n">
        <v>0.001754284</v>
      </c>
      <c r="N110" s="1" t="n">
        <v>0.001564264</v>
      </c>
      <c r="O110" s="1" t="n">
        <v>0.001555443</v>
      </c>
      <c r="P110" s="1" t="n">
        <v>0.001549006</v>
      </c>
      <c r="R110" s="1" t="n">
        <f aca="false">PERCENTILE(G110:P110,0.9)</f>
        <v>0.0046116592</v>
      </c>
      <c r="S110" s="5" t="n">
        <f aca="false">spmv_1!R$2/R110</f>
        <v>3.77808672418812</v>
      </c>
      <c r="T110" s="6" t="n">
        <f aca="false">S110/128</f>
        <v>0.0295163025327197</v>
      </c>
    </row>
    <row r="111" customFormat="false" ht="15" hidden="false" customHeight="false" outlineLevel="0" collapsed="false">
      <c r="A111" s="1" t="s">
        <v>15</v>
      </c>
      <c r="B111" s="1" t="n">
        <v>109</v>
      </c>
      <c r="D111" s="1" t="n">
        <v>84217</v>
      </c>
      <c r="E111" s="1" t="n">
        <v>0.071578</v>
      </c>
      <c r="G111" s="1" t="n">
        <v>0.005124092</v>
      </c>
      <c r="H111" s="1" t="n">
        <v>0.004508734</v>
      </c>
      <c r="I111" s="1" t="n">
        <v>0.002383471</v>
      </c>
      <c r="J111" s="1" t="n">
        <v>0.001952887</v>
      </c>
      <c r="K111" s="1" t="n">
        <v>0.001610041</v>
      </c>
      <c r="L111" s="1" t="n">
        <v>0.001630306</v>
      </c>
      <c r="M111" s="1" t="n">
        <v>0.0017066</v>
      </c>
      <c r="N111" s="1" t="n">
        <v>0.001544237</v>
      </c>
      <c r="O111" s="1" t="n">
        <v>0.001539707</v>
      </c>
      <c r="P111" s="1" t="n">
        <v>0.001531363</v>
      </c>
      <c r="R111" s="1" t="n">
        <f aca="false">PERCENTILE(G111:P111,0.9)</f>
        <v>0.0045702698</v>
      </c>
      <c r="S111" s="5" t="n">
        <f aca="false">spmv_1!R$2/R111</f>
        <v>3.81230193455975</v>
      </c>
      <c r="T111" s="6" t="n">
        <f aca="false">S111/128</f>
        <v>0.029783608863748</v>
      </c>
    </row>
    <row r="112" customFormat="false" ht="15" hidden="false" customHeight="false" outlineLevel="0" collapsed="false">
      <c r="A112" s="1" t="s">
        <v>15</v>
      </c>
      <c r="B112" s="1" t="n">
        <v>110</v>
      </c>
      <c r="D112" s="1" t="n">
        <v>82926</v>
      </c>
      <c r="E112" s="1" t="n">
        <v>0.070963</v>
      </c>
      <c r="G112" s="1" t="n">
        <v>0.005096912</v>
      </c>
      <c r="H112" s="1" t="n">
        <v>0.004481316</v>
      </c>
      <c r="I112" s="1" t="n">
        <v>0.002374172</v>
      </c>
      <c r="J112" s="1" t="n">
        <v>0.001943111</v>
      </c>
      <c r="K112" s="1" t="n">
        <v>0.001603842</v>
      </c>
      <c r="L112" s="1" t="n">
        <v>0.001605749</v>
      </c>
      <c r="M112" s="1" t="n">
        <v>0.001693249</v>
      </c>
      <c r="N112" s="1" t="n">
        <v>0.001521349</v>
      </c>
      <c r="O112" s="1" t="n">
        <v>0.001526833</v>
      </c>
      <c r="P112" s="1" t="n">
        <v>0.001525164</v>
      </c>
      <c r="R112" s="1" t="n">
        <f aca="false">PERCENTILE(G112:P112,0.9)</f>
        <v>0.0045428756</v>
      </c>
      <c r="S112" s="5" t="n">
        <f aca="false">spmv_1!R$2/R112</f>
        <v>3.8352906691964</v>
      </c>
      <c r="T112" s="6" t="n">
        <f aca="false">S112/128</f>
        <v>0.0299632083530969</v>
      </c>
    </row>
    <row r="113" customFormat="false" ht="15" hidden="false" customHeight="false" outlineLevel="0" collapsed="false">
      <c r="A113" s="1" t="s">
        <v>15</v>
      </c>
      <c r="B113" s="1" t="n">
        <v>111</v>
      </c>
      <c r="D113" s="1" t="n">
        <v>83137</v>
      </c>
      <c r="E113" s="1" t="n">
        <v>0.070282</v>
      </c>
      <c r="G113" s="1" t="n">
        <v>0.005262613</v>
      </c>
      <c r="H113" s="1" t="n">
        <v>0.004458666</v>
      </c>
      <c r="I113" s="1" t="n">
        <v>0.002397537</v>
      </c>
      <c r="J113" s="1" t="n">
        <v>0.001991749</v>
      </c>
      <c r="K113" s="1" t="n">
        <v>0.001620293</v>
      </c>
      <c r="L113" s="1" t="n">
        <v>0.001605511</v>
      </c>
      <c r="M113" s="1" t="n">
        <v>0.001733065</v>
      </c>
      <c r="N113" s="1" t="n">
        <v>0.001530886</v>
      </c>
      <c r="O113" s="1" t="n">
        <v>0.00153017</v>
      </c>
      <c r="P113" s="1" t="n">
        <v>0.001527548</v>
      </c>
      <c r="R113" s="1" t="n">
        <f aca="false">PERCENTILE(G113:P113,0.9)</f>
        <v>0.0045390607</v>
      </c>
      <c r="S113" s="5" t="n">
        <f aca="false">spmv_1!R$2/R113</f>
        <v>3.83851407847443</v>
      </c>
      <c r="T113" s="6" t="n">
        <f aca="false">S113/128</f>
        <v>0.0299883912380815</v>
      </c>
    </row>
    <row r="114" customFormat="false" ht="15" hidden="false" customHeight="false" outlineLevel="0" collapsed="false">
      <c r="A114" s="1" t="s">
        <v>15</v>
      </c>
      <c r="B114" s="1" t="n">
        <v>112</v>
      </c>
      <c r="D114" s="1" t="n">
        <v>83133</v>
      </c>
      <c r="E114" s="1" t="n">
        <v>0.070779</v>
      </c>
      <c r="G114" s="1" t="n">
        <v>0.005183458</v>
      </c>
      <c r="H114" s="1" t="n">
        <v>0.004443884</v>
      </c>
      <c r="I114" s="1" t="n">
        <v>0.002391815</v>
      </c>
      <c r="J114" s="1" t="n">
        <v>0.001971722</v>
      </c>
      <c r="K114" s="1" t="n">
        <v>0.001610279</v>
      </c>
      <c r="L114" s="1" t="n">
        <v>0.00159049</v>
      </c>
      <c r="M114" s="1" t="n">
        <v>0.001732588</v>
      </c>
      <c r="N114" s="1" t="n">
        <v>0.00152421</v>
      </c>
      <c r="O114" s="1" t="n">
        <v>0.001528025</v>
      </c>
      <c r="P114" s="1" t="n">
        <v>0.001514435</v>
      </c>
      <c r="R114" s="1" t="n">
        <f aca="false">PERCENTILE(G114:P114,0.9)</f>
        <v>0.0045178414</v>
      </c>
      <c r="S114" s="5" t="n">
        <f aca="false">spmv_1!R$2/R114</f>
        <v>3.85654272856944</v>
      </c>
      <c r="T114" s="6" t="n">
        <f aca="false">S114/128</f>
        <v>0.0301292400669488</v>
      </c>
    </row>
    <row r="115" customFormat="false" ht="15" hidden="false" customHeight="false" outlineLevel="0" collapsed="false">
      <c r="A115" s="1" t="s">
        <v>15</v>
      </c>
      <c r="B115" s="1" t="n">
        <v>113</v>
      </c>
      <c r="D115" s="1" t="n">
        <v>83164</v>
      </c>
      <c r="E115" s="1" t="n">
        <v>0.070905</v>
      </c>
      <c r="G115" s="1" t="n">
        <v>0.005235195</v>
      </c>
      <c r="H115" s="1" t="n">
        <v>0.004416704</v>
      </c>
      <c r="I115" s="1" t="n">
        <v>0.002367496</v>
      </c>
      <c r="J115" s="1" t="n">
        <v>0.00197506</v>
      </c>
      <c r="K115" s="1" t="n">
        <v>0.001609325</v>
      </c>
      <c r="L115" s="1" t="n">
        <v>0.001579762</v>
      </c>
      <c r="M115" s="1" t="n">
        <v>0.001722097</v>
      </c>
      <c r="N115" s="1" t="n">
        <v>0.001520395</v>
      </c>
      <c r="O115" s="1" t="n">
        <v>0.001523495</v>
      </c>
      <c r="P115" s="1" t="n">
        <v>0.001508236</v>
      </c>
      <c r="R115" s="1" t="n">
        <f aca="false">PERCENTILE(G115:P115,0.9)</f>
        <v>0.0044985531</v>
      </c>
      <c r="S115" s="5" t="n">
        <f aca="false">spmv_1!R$2/R115</f>
        <v>3.87307830155434</v>
      </c>
      <c r="T115" s="6" t="n">
        <f aca="false">S115/128</f>
        <v>0.0302584242308933</v>
      </c>
    </row>
    <row r="116" customFormat="false" ht="15" hidden="false" customHeight="false" outlineLevel="0" collapsed="false">
      <c r="A116" s="1" t="s">
        <v>15</v>
      </c>
      <c r="B116" s="1" t="n">
        <v>114</v>
      </c>
      <c r="D116" s="1" t="n">
        <v>82857</v>
      </c>
      <c r="E116" s="1" t="n">
        <v>0.071659</v>
      </c>
      <c r="G116" s="1" t="n">
        <v>0.005079508</v>
      </c>
      <c r="H116" s="1" t="n">
        <v>0.004393101</v>
      </c>
      <c r="I116" s="1" t="n">
        <v>0.002373219</v>
      </c>
      <c r="J116" s="1" t="n">
        <v>0.001934767</v>
      </c>
      <c r="K116" s="1" t="n">
        <v>0.001591682</v>
      </c>
      <c r="L116" s="1" t="n">
        <v>0.00153923</v>
      </c>
      <c r="M116" s="1" t="n">
        <v>0.001681566</v>
      </c>
      <c r="N116" s="1" t="n">
        <v>0.001510143</v>
      </c>
      <c r="O116" s="1" t="n">
        <v>0.00151515</v>
      </c>
      <c r="P116" s="1" t="n">
        <v>0.001507044</v>
      </c>
      <c r="R116" s="1" t="n">
        <f aca="false">PERCENTILE(G116:P116,0.9)</f>
        <v>0.0044617417</v>
      </c>
      <c r="S116" s="5" t="n">
        <f aca="false">spmv_1!R$2/R116</f>
        <v>3.90503296055888</v>
      </c>
      <c r="T116" s="6" t="n">
        <f aca="false">S116/128</f>
        <v>0.0305080700043662</v>
      </c>
    </row>
    <row r="117" customFormat="false" ht="15" hidden="false" customHeight="false" outlineLevel="0" collapsed="false">
      <c r="A117" s="1" t="s">
        <v>15</v>
      </c>
      <c r="B117" s="1" t="n">
        <v>115</v>
      </c>
      <c r="D117" s="1" t="n">
        <v>82695</v>
      </c>
      <c r="E117" s="1" t="n">
        <v>0.071281</v>
      </c>
      <c r="G117" s="1" t="n">
        <v>0.005142212</v>
      </c>
      <c r="H117" s="1" t="n">
        <v>0.004351616</v>
      </c>
      <c r="I117" s="1" t="n">
        <v>0.002394438</v>
      </c>
      <c r="J117" s="1" t="n">
        <v>0.001940966</v>
      </c>
      <c r="K117" s="1" t="n">
        <v>0.001603365</v>
      </c>
      <c r="L117" s="1" t="n">
        <v>0.00152874</v>
      </c>
      <c r="M117" s="1" t="n">
        <v>0.001715899</v>
      </c>
      <c r="N117" s="1" t="n">
        <v>0.001514196</v>
      </c>
      <c r="O117" s="1" t="n">
        <v>0.001512289</v>
      </c>
      <c r="P117" s="1" t="n">
        <v>0.001498938</v>
      </c>
      <c r="R117" s="1" t="n">
        <f aca="false">PERCENTILE(G117:P117,0.9)</f>
        <v>0.0044306756</v>
      </c>
      <c r="S117" s="5" t="n">
        <f aca="false">spmv_1!R$2/R117</f>
        <v>3.93241346759849</v>
      </c>
      <c r="T117" s="6" t="n">
        <f aca="false">S117/128</f>
        <v>0.0307219802156132</v>
      </c>
    </row>
    <row r="118" customFormat="false" ht="15" hidden="false" customHeight="false" outlineLevel="0" collapsed="false">
      <c r="A118" s="1" t="s">
        <v>15</v>
      </c>
      <c r="B118" s="1" t="n">
        <v>116</v>
      </c>
      <c r="D118" s="1" t="n">
        <v>82536</v>
      </c>
      <c r="E118" s="1" t="n">
        <v>0.071683</v>
      </c>
      <c r="G118" s="1" t="n">
        <v>0.005059481</v>
      </c>
      <c r="H118" s="1" t="n">
        <v>0.004315853</v>
      </c>
      <c r="I118" s="1" t="n">
        <v>0.00239706</v>
      </c>
      <c r="J118" s="1" t="n">
        <v>0.00193882</v>
      </c>
      <c r="K118" s="1" t="n">
        <v>0.001600027</v>
      </c>
      <c r="L118" s="1" t="n">
        <v>0.001508236</v>
      </c>
      <c r="M118" s="1" t="n">
        <v>0.001711607</v>
      </c>
      <c r="N118" s="1" t="n">
        <v>0.001507998</v>
      </c>
      <c r="O118" s="1" t="n">
        <v>0.001499414</v>
      </c>
      <c r="P118" s="1" t="n">
        <v>0.001489401</v>
      </c>
      <c r="R118" s="1" t="n">
        <f aca="false">PERCENTILE(G118:P118,0.9)</f>
        <v>0.0043902158</v>
      </c>
      <c r="S118" s="5" t="n">
        <f aca="false">spmv_1!R$2/R118</f>
        <v>3.96865420601876</v>
      </c>
      <c r="T118" s="6" t="n">
        <f aca="false">S118/128</f>
        <v>0.0310051109845215</v>
      </c>
    </row>
    <row r="119" customFormat="false" ht="15" hidden="false" customHeight="false" outlineLevel="0" collapsed="false">
      <c r="A119" s="1" t="s">
        <v>15</v>
      </c>
      <c r="B119" s="1" t="n">
        <v>117</v>
      </c>
      <c r="D119" s="1" t="n">
        <v>82937</v>
      </c>
      <c r="E119" s="1" t="n">
        <v>0.072693</v>
      </c>
      <c r="G119" s="1" t="n">
        <v>0.005041838</v>
      </c>
      <c r="H119" s="1" t="n">
        <v>0.004288435</v>
      </c>
      <c r="I119" s="1" t="n">
        <v>0.002342463</v>
      </c>
      <c r="J119" s="1" t="n">
        <v>0.001912594</v>
      </c>
      <c r="K119" s="1" t="n">
        <v>0.001581669</v>
      </c>
      <c r="L119" s="1" t="n">
        <v>0.001487017</v>
      </c>
      <c r="M119" s="1" t="n">
        <v>0.001664162</v>
      </c>
      <c r="N119" s="1" t="n">
        <v>0.001495838</v>
      </c>
      <c r="O119" s="1" t="n">
        <v>0.001501322</v>
      </c>
      <c r="P119" s="1" t="n">
        <v>0.001503229</v>
      </c>
      <c r="R119" s="1" t="n">
        <f aca="false">PERCENTILE(G119:P119,0.9)</f>
        <v>0.0043637753</v>
      </c>
      <c r="S119" s="5" t="n">
        <f aca="false">spmv_1!R$2/R119</f>
        <v>3.99270063240882</v>
      </c>
      <c r="T119" s="6" t="n">
        <f aca="false">S119/128</f>
        <v>0.0311929736906939</v>
      </c>
    </row>
    <row r="120" customFormat="false" ht="15" hidden="false" customHeight="false" outlineLevel="0" collapsed="false">
      <c r="A120" s="1" t="s">
        <v>15</v>
      </c>
      <c r="B120" s="1" t="n">
        <v>118</v>
      </c>
      <c r="D120" s="1" t="n">
        <v>82709</v>
      </c>
      <c r="E120" s="1" t="n">
        <v>0.072858</v>
      </c>
      <c r="G120" s="1" t="n">
        <v>0.005032301</v>
      </c>
      <c r="H120" s="1" t="n">
        <v>0.004236937</v>
      </c>
      <c r="I120" s="1" t="n">
        <v>0.002325058</v>
      </c>
      <c r="J120" s="1" t="n">
        <v>0.001911402</v>
      </c>
      <c r="K120" s="1" t="n">
        <v>0.001579762</v>
      </c>
      <c r="L120" s="1" t="n">
        <v>0.001482248</v>
      </c>
      <c r="M120" s="1" t="n">
        <v>0.001660585</v>
      </c>
      <c r="N120" s="1" t="n">
        <v>0.001494646</v>
      </c>
      <c r="O120" s="1" t="n">
        <v>0.001484632</v>
      </c>
      <c r="P120" s="1" t="n">
        <v>0.001496553</v>
      </c>
      <c r="R120" s="1" t="n">
        <f aca="false">PERCENTILE(G120:P120,0.9)</f>
        <v>0.0043164734</v>
      </c>
      <c r="S120" s="5" t="n">
        <f aca="false">spmv_1!R$2/R120</f>
        <v>4.03645448156822</v>
      </c>
      <c r="T120" s="6" t="n">
        <f aca="false">S120/128</f>
        <v>0.0315348006372517</v>
      </c>
    </row>
    <row r="121" customFormat="false" ht="15" hidden="false" customHeight="false" outlineLevel="0" collapsed="false">
      <c r="A121" s="1" t="s">
        <v>15</v>
      </c>
      <c r="B121" s="1" t="n">
        <v>119</v>
      </c>
      <c r="D121" s="1" t="n">
        <v>83504</v>
      </c>
      <c r="E121" s="1" t="n">
        <v>0.073877</v>
      </c>
      <c r="G121" s="1" t="n">
        <v>0.00502634</v>
      </c>
      <c r="H121" s="1" t="n">
        <v>0.004220963</v>
      </c>
      <c r="I121" s="1" t="n">
        <v>0.002313614</v>
      </c>
      <c r="J121" s="1" t="n">
        <v>0.00189805</v>
      </c>
      <c r="K121" s="1" t="n">
        <v>0.001570225</v>
      </c>
      <c r="L121" s="1" t="n">
        <v>0.001478434</v>
      </c>
      <c r="M121" s="1" t="n">
        <v>0.001658678</v>
      </c>
      <c r="N121" s="1" t="n">
        <v>0.001473427</v>
      </c>
      <c r="O121" s="1" t="n">
        <v>0.001479387</v>
      </c>
      <c r="P121" s="1" t="n">
        <v>0.001487017</v>
      </c>
      <c r="R121" s="1" t="n">
        <f aca="false">PERCENTILE(G121:P121,0.9)</f>
        <v>0.0043015007</v>
      </c>
      <c r="S121" s="5" t="n">
        <f aca="false">spmv_1!R$2/R121</f>
        <v>4.05050460645049</v>
      </c>
      <c r="T121" s="6" t="n">
        <f aca="false">S121/128</f>
        <v>0.0316445672378944</v>
      </c>
    </row>
    <row r="122" customFormat="false" ht="15" hidden="false" customHeight="false" outlineLevel="0" collapsed="false">
      <c r="A122" s="1" t="s">
        <v>15</v>
      </c>
      <c r="B122" s="1" t="n">
        <v>120</v>
      </c>
      <c r="D122" s="1" t="n">
        <v>83301</v>
      </c>
      <c r="E122" s="1" t="n">
        <v>0.073886</v>
      </c>
      <c r="G122" s="1" t="n">
        <v>0.005089283</v>
      </c>
      <c r="H122" s="1" t="n">
        <v>0.004188776</v>
      </c>
      <c r="I122" s="1" t="n">
        <v>0.002306938</v>
      </c>
      <c r="J122" s="1" t="n">
        <v>0.001889706</v>
      </c>
      <c r="K122" s="1" t="n">
        <v>0.001553297</v>
      </c>
      <c r="L122" s="1" t="n">
        <v>0.001466513</v>
      </c>
      <c r="M122" s="1" t="n">
        <v>0.001644611</v>
      </c>
      <c r="N122" s="1" t="n">
        <v>0.001460791</v>
      </c>
      <c r="O122" s="1" t="n">
        <v>0.00146699</v>
      </c>
      <c r="P122" s="1" t="n">
        <v>0.001481533</v>
      </c>
      <c r="R122" s="1" t="n">
        <f aca="false">PERCENTILE(G122:P122,0.9)</f>
        <v>0.0042788267</v>
      </c>
      <c r="S122" s="5" t="n">
        <f aca="false">spmv_1!R$2/R122</f>
        <v>4.0719687011395</v>
      </c>
      <c r="T122" s="6" t="n">
        <f aca="false">S122/128</f>
        <v>0.0318122554776523</v>
      </c>
    </row>
    <row r="123" customFormat="false" ht="15" hidden="false" customHeight="false" outlineLevel="0" collapsed="false">
      <c r="A123" s="1" t="s">
        <v>15</v>
      </c>
      <c r="B123" s="1" t="n">
        <v>121</v>
      </c>
      <c r="D123" s="1" t="n">
        <v>83781</v>
      </c>
      <c r="E123" s="1" t="n">
        <v>0.07486</v>
      </c>
      <c r="G123" s="1" t="n">
        <v>0.005003452</v>
      </c>
      <c r="H123" s="1" t="n">
        <v>0.004168272</v>
      </c>
      <c r="I123" s="1" t="n">
        <v>0.002280712</v>
      </c>
      <c r="J123" s="1" t="n">
        <v>0.001877785</v>
      </c>
      <c r="K123" s="1" t="n">
        <v>0.001555443</v>
      </c>
      <c r="L123" s="1" t="n">
        <v>0.001470804</v>
      </c>
      <c r="M123" s="1" t="n">
        <v>0.001639128</v>
      </c>
      <c r="N123" s="1" t="n">
        <v>0.001457691</v>
      </c>
      <c r="O123" s="1" t="n">
        <v>0.001461983</v>
      </c>
      <c r="P123" s="1" t="n">
        <v>0.001468182</v>
      </c>
      <c r="R123" s="1" t="n">
        <f aca="false">PERCENTILE(G123:P123,0.9)</f>
        <v>0.00425179</v>
      </c>
      <c r="S123" s="5" t="n">
        <f aca="false">spmv_1!R$2/R123</f>
        <v>4.09786193579645</v>
      </c>
      <c r="T123" s="6" t="n">
        <f aca="false">S123/128</f>
        <v>0.0320145463734098</v>
      </c>
    </row>
    <row r="124" customFormat="false" ht="15" hidden="false" customHeight="false" outlineLevel="0" collapsed="false">
      <c r="A124" s="1" t="s">
        <v>15</v>
      </c>
      <c r="B124" s="1" t="n">
        <v>122</v>
      </c>
      <c r="D124" s="1" t="n">
        <v>83201</v>
      </c>
      <c r="E124" s="1" t="n">
        <v>0.074713</v>
      </c>
      <c r="G124" s="1" t="n">
        <v>0.004963875</v>
      </c>
      <c r="H124" s="1" t="n">
        <v>0.00416398</v>
      </c>
      <c r="I124" s="1" t="n">
        <v>0.002268791</v>
      </c>
      <c r="J124" s="1" t="n">
        <v>0.001869917</v>
      </c>
      <c r="K124" s="1" t="n">
        <v>0.001536369</v>
      </c>
      <c r="L124" s="1" t="n">
        <v>0.001460552</v>
      </c>
      <c r="M124" s="1" t="n">
        <v>0.001637697</v>
      </c>
      <c r="N124" s="1" t="n">
        <v>0.001448154</v>
      </c>
      <c r="O124" s="1" t="n">
        <v>0.001460552</v>
      </c>
      <c r="P124" s="1" t="n">
        <v>0.001462221</v>
      </c>
      <c r="R124" s="1" t="n">
        <f aca="false">PERCENTILE(G124:P124,0.9)</f>
        <v>0.0042439695</v>
      </c>
      <c r="S124" s="5" t="n">
        <f aca="false">spmv_1!R$2/R124</f>
        <v>4.10541319865753</v>
      </c>
      <c r="T124" s="6" t="n">
        <f aca="false">S124/128</f>
        <v>0.032073540614512</v>
      </c>
    </row>
    <row r="125" customFormat="false" ht="15" hidden="false" customHeight="false" outlineLevel="0" collapsed="false">
      <c r="A125" s="1" t="s">
        <v>15</v>
      </c>
      <c r="B125" s="1" t="n">
        <v>123</v>
      </c>
      <c r="D125" s="1" t="n">
        <v>83379</v>
      </c>
      <c r="E125" s="1" t="n">
        <v>0.075451</v>
      </c>
      <c r="G125" s="1" t="n">
        <v>0.004939318</v>
      </c>
      <c r="H125" s="1" t="n">
        <v>0.004150629</v>
      </c>
      <c r="I125" s="1" t="n">
        <v>0.00225234</v>
      </c>
      <c r="J125" s="1" t="n">
        <v>0.001848936</v>
      </c>
      <c r="K125" s="1" t="n">
        <v>0.001522303</v>
      </c>
      <c r="L125" s="1" t="n">
        <v>0.001435518</v>
      </c>
      <c r="M125" s="1" t="n">
        <v>0.001615763</v>
      </c>
      <c r="N125" s="1" t="n">
        <v>0.001442194</v>
      </c>
      <c r="O125" s="1" t="n">
        <v>0.001441717</v>
      </c>
      <c r="P125" s="1" t="n">
        <v>0.001452923</v>
      </c>
      <c r="R125" s="1" t="n">
        <f aca="false">PERCENTILE(G125:P125,0.9)</f>
        <v>0.0042294979</v>
      </c>
      <c r="S125" s="5" t="n">
        <f aca="false">spmv_1!R$2/R125</f>
        <v>4.11946023191074</v>
      </c>
      <c r="T125" s="6" t="n">
        <f aca="false">S125/128</f>
        <v>0.0321832830618027</v>
      </c>
    </row>
    <row r="126" customFormat="false" ht="15" hidden="false" customHeight="false" outlineLevel="0" collapsed="false">
      <c r="A126" s="1" t="s">
        <v>15</v>
      </c>
      <c r="B126" s="1" t="n">
        <v>124</v>
      </c>
      <c r="D126" s="1" t="n">
        <v>82939</v>
      </c>
      <c r="E126" s="1" t="n">
        <v>0.075321</v>
      </c>
      <c r="G126" s="1" t="n">
        <v>0.004927397</v>
      </c>
      <c r="H126" s="1" t="n">
        <v>0.004138708</v>
      </c>
      <c r="I126" s="1" t="n">
        <v>0.002236605</v>
      </c>
      <c r="J126" s="1" t="n">
        <v>0.001839399</v>
      </c>
      <c r="K126" s="1" t="n">
        <v>0.001512289</v>
      </c>
      <c r="L126" s="1" t="n">
        <v>0.001434565</v>
      </c>
      <c r="M126" s="1" t="n">
        <v>0.001609325</v>
      </c>
      <c r="N126" s="1" t="n">
        <v>0.001443386</v>
      </c>
      <c r="O126" s="1" t="n">
        <v>0.001433372</v>
      </c>
      <c r="P126" s="1" t="n">
        <v>0.001447678</v>
      </c>
      <c r="R126" s="1" t="n">
        <f aca="false">PERCENTILE(G126:P126,0.9)</f>
        <v>0.0042175769</v>
      </c>
      <c r="S126" s="5" t="n">
        <f aca="false">spmv_1!R$2/R126</f>
        <v>4.13110390470889</v>
      </c>
      <c r="T126" s="6" t="n">
        <f aca="false">S126/128</f>
        <v>0.0322742492555382</v>
      </c>
    </row>
    <row r="127" customFormat="false" ht="15" hidden="false" customHeight="false" outlineLevel="0" collapsed="false">
      <c r="A127" s="1" t="s">
        <v>15</v>
      </c>
      <c r="B127" s="1" t="n">
        <v>125</v>
      </c>
      <c r="D127" s="1" t="n">
        <v>83202</v>
      </c>
      <c r="E127" s="1" t="n">
        <v>0.075911</v>
      </c>
      <c r="G127" s="1" t="n">
        <v>0.004911661</v>
      </c>
      <c r="H127" s="1" t="n">
        <v>0.004103899</v>
      </c>
      <c r="I127" s="1" t="n">
        <v>0.002230644</v>
      </c>
      <c r="J127" s="1" t="n">
        <v>0.001837254</v>
      </c>
      <c r="K127" s="1" t="n">
        <v>0.001499653</v>
      </c>
      <c r="L127" s="1" t="n">
        <v>0.001431942</v>
      </c>
      <c r="M127" s="1" t="n">
        <v>0.001603603</v>
      </c>
      <c r="N127" s="1" t="n">
        <v>0.001437664</v>
      </c>
      <c r="O127" s="1" t="n">
        <v>0.001420736</v>
      </c>
      <c r="P127" s="1" t="n">
        <v>0.001443863</v>
      </c>
      <c r="R127" s="1" t="n">
        <f aca="false">PERCENTILE(G127:P127,0.9)</f>
        <v>0.0041846752</v>
      </c>
      <c r="S127" s="5" t="n">
        <f aca="false">spmv_1!R$2/R127</f>
        <v>4.16358440435234</v>
      </c>
      <c r="T127" s="6" t="n">
        <f aca="false">S127/128</f>
        <v>0.0325280031590026</v>
      </c>
    </row>
    <row r="128" customFormat="false" ht="15" hidden="false" customHeight="false" outlineLevel="0" collapsed="false">
      <c r="A128" s="1" t="s">
        <v>15</v>
      </c>
      <c r="B128" s="1" t="n">
        <v>126</v>
      </c>
      <c r="D128" s="1" t="n">
        <v>83449</v>
      </c>
      <c r="E128" s="1" t="n">
        <v>0.076673</v>
      </c>
      <c r="G128" s="1" t="n">
        <v>0.004875422</v>
      </c>
      <c r="H128" s="1" t="n">
        <v>0.004074335</v>
      </c>
      <c r="I128" s="1" t="n">
        <v>0.002206087</v>
      </c>
      <c r="J128" s="1" t="n">
        <v>0.001828671</v>
      </c>
      <c r="K128" s="1" t="n">
        <v>0.001495361</v>
      </c>
      <c r="L128" s="1" t="n">
        <v>0.001417637</v>
      </c>
      <c r="M128" s="1" t="n">
        <v>0.001600266</v>
      </c>
      <c r="N128" s="1" t="n">
        <v>0.001415491</v>
      </c>
      <c r="O128" s="1" t="n">
        <v>0.001414061</v>
      </c>
      <c r="P128" s="1" t="n">
        <v>0.001440048</v>
      </c>
      <c r="R128" s="1" t="n">
        <f aca="false">PERCENTILE(G128:P128,0.9)</f>
        <v>0.0041544437</v>
      </c>
      <c r="S128" s="5" t="n">
        <f aca="false">spmv_1!R$2/R128</f>
        <v>4.19388242040685</v>
      </c>
      <c r="T128" s="6" t="n">
        <f aca="false">S128/128</f>
        <v>0.0327647064094285</v>
      </c>
    </row>
    <row r="129" customFormat="false" ht="15" hidden="false" customHeight="false" outlineLevel="0" collapsed="false">
      <c r="A129" s="1" t="s">
        <v>15</v>
      </c>
      <c r="B129" s="1" t="n">
        <v>127</v>
      </c>
      <c r="D129" s="1" t="n">
        <v>83409</v>
      </c>
      <c r="E129" s="1" t="n">
        <v>0.077354</v>
      </c>
      <c r="G129" s="1" t="n">
        <v>0.004840136</v>
      </c>
      <c r="H129" s="1" t="n">
        <v>0.004037857</v>
      </c>
      <c r="I129" s="1" t="n">
        <v>0.002187252</v>
      </c>
      <c r="J129" s="1" t="n">
        <v>0.001802206</v>
      </c>
      <c r="K129" s="1" t="n">
        <v>0.001482964</v>
      </c>
      <c r="L129" s="1" t="n">
        <v>0.001398802</v>
      </c>
      <c r="M129" s="1" t="n">
        <v>0.001594067</v>
      </c>
      <c r="N129" s="1" t="n">
        <v>0.001405001</v>
      </c>
      <c r="O129" s="1" t="n">
        <v>0.001394749</v>
      </c>
      <c r="P129" s="1" t="n">
        <v>0.001422405</v>
      </c>
      <c r="R129" s="1" t="n">
        <f aca="false">PERCENTILE(G129:P129,0.9)</f>
        <v>0.0041180849</v>
      </c>
      <c r="S129" s="5" t="n">
        <f aca="false">spmv_1!R$2/R129</f>
        <v>4.23091044091879</v>
      </c>
      <c r="T129" s="6" t="n">
        <f aca="false">S129/128</f>
        <v>0.033053987819678</v>
      </c>
    </row>
    <row r="132" customFormat="false" ht="15" hidden="false" customHeight="false" outlineLevel="0" collapsed="false">
      <c r="A132" s="2" t="s">
        <v>0</v>
      </c>
      <c r="B132" s="2" t="s">
        <v>1</v>
      </c>
      <c r="C132" s="3"/>
      <c r="D132" s="2" t="s">
        <v>2</v>
      </c>
      <c r="E132" s="2" t="s">
        <v>3</v>
      </c>
      <c r="F132" s="3"/>
      <c r="G132" s="2" t="s">
        <v>4</v>
      </c>
      <c r="H132" s="2" t="s">
        <v>5</v>
      </c>
      <c r="I132" s="2" t="s">
        <v>6</v>
      </c>
      <c r="J132" s="2" t="s">
        <v>7</v>
      </c>
      <c r="K132" s="2" t="s">
        <v>8</v>
      </c>
      <c r="L132" s="2" t="s">
        <v>9</v>
      </c>
      <c r="M132" s="2" t="s">
        <v>10</v>
      </c>
      <c r="N132" s="2" t="s">
        <v>11</v>
      </c>
      <c r="O132" s="2" t="s">
        <v>12</v>
      </c>
      <c r="P132" s="2" t="s">
        <v>13</v>
      </c>
      <c r="R132" s="4" t="s">
        <v>14</v>
      </c>
      <c r="S132" s="7" t="s">
        <v>20</v>
      </c>
      <c r="T132" s="8" t="s">
        <v>21</v>
      </c>
    </row>
    <row r="133" customFormat="false" ht="15" hidden="false" customHeight="false" outlineLevel="0" collapsed="false">
      <c r="A133" s="1" t="s">
        <v>16</v>
      </c>
      <c r="B133" s="1" t="n">
        <v>0</v>
      </c>
      <c r="D133" s="1" t="n">
        <v>866294</v>
      </c>
      <c r="E133" s="1" t="n">
        <v>0.07611</v>
      </c>
      <c r="G133" s="1" t="n">
        <v>0.023957729</v>
      </c>
      <c r="H133" s="1" t="n">
        <v>0.022907257</v>
      </c>
      <c r="I133" s="1" t="n">
        <v>0.023103952</v>
      </c>
      <c r="J133" s="1" t="n">
        <v>0.022654772</v>
      </c>
      <c r="K133" s="1" t="n">
        <v>0.022586346</v>
      </c>
      <c r="L133" s="1" t="n">
        <v>0.022607565</v>
      </c>
      <c r="M133" s="1" t="n">
        <v>0.022428751</v>
      </c>
      <c r="N133" s="1" t="n">
        <v>0.022380114</v>
      </c>
      <c r="O133" s="1" t="n">
        <v>0.022414684</v>
      </c>
      <c r="P133" s="1" t="n">
        <v>0.022601604</v>
      </c>
      <c r="R133" s="1" t="n">
        <f aca="false">PERCENTILE(G133:P133,0.9)</f>
        <v>0.0231893297</v>
      </c>
      <c r="S133" s="5" t="n">
        <f aca="false">spmv_1!R$6/R133</f>
        <v>7.25482852572492</v>
      </c>
      <c r="T133" s="6" t="n">
        <f aca="false">S133/128</f>
        <v>0.0566783478572259</v>
      </c>
    </row>
    <row r="134" customFormat="false" ht="15" hidden="false" customHeight="false" outlineLevel="0" collapsed="false">
      <c r="A134" s="1" t="s">
        <v>16</v>
      </c>
      <c r="B134" s="1" t="n">
        <v>1</v>
      </c>
      <c r="D134" s="1" t="n">
        <v>866312</v>
      </c>
      <c r="E134" s="1" t="n">
        <v>0.075869</v>
      </c>
      <c r="G134" s="1" t="n">
        <v>0.023740292</v>
      </c>
      <c r="H134" s="1" t="n">
        <v>0.022670507</v>
      </c>
      <c r="I134" s="1" t="n">
        <v>0.02299118</v>
      </c>
      <c r="J134" s="1" t="n">
        <v>0.022646189</v>
      </c>
      <c r="K134" s="1" t="n">
        <v>0.022462845</v>
      </c>
      <c r="L134" s="1" t="n">
        <v>0.022734165</v>
      </c>
      <c r="M134" s="1" t="n">
        <v>0.022808075</v>
      </c>
      <c r="N134" s="1" t="n">
        <v>0.022820234</v>
      </c>
      <c r="O134" s="1" t="n">
        <v>0.022641659</v>
      </c>
      <c r="P134" s="1" t="n">
        <v>0.022856712</v>
      </c>
      <c r="R134" s="1" t="n">
        <f aca="false">PERCENTILE(G134:P134,0.9)</f>
        <v>0.0230660912</v>
      </c>
      <c r="S134" s="5" t="n">
        <f aca="false">spmv_1!R$6/R134</f>
        <v>7.29358993430148</v>
      </c>
      <c r="T134" s="6" t="n">
        <f aca="false">S134/128</f>
        <v>0.0569811713617303</v>
      </c>
    </row>
    <row r="135" customFormat="false" ht="15" hidden="false" customHeight="false" outlineLevel="0" collapsed="false">
      <c r="A135" s="1" t="s">
        <v>16</v>
      </c>
      <c r="B135" s="1" t="n">
        <v>2</v>
      </c>
      <c r="D135" s="1" t="n">
        <v>866138</v>
      </c>
      <c r="E135" s="1" t="n">
        <v>0.08155</v>
      </c>
      <c r="G135" s="1" t="n">
        <v>0.021695375</v>
      </c>
      <c r="H135" s="1" t="n">
        <v>0.021042585</v>
      </c>
      <c r="I135" s="1" t="n">
        <v>0.021417618</v>
      </c>
      <c r="J135" s="1" t="n">
        <v>0.021322727</v>
      </c>
      <c r="K135" s="1" t="n">
        <v>0.021000147</v>
      </c>
      <c r="L135" s="1" t="n">
        <v>0.02117753</v>
      </c>
      <c r="M135" s="1" t="n">
        <v>0.02112174</v>
      </c>
      <c r="N135" s="1" t="n">
        <v>0.021139622</v>
      </c>
      <c r="O135" s="1" t="n">
        <v>0.021313667</v>
      </c>
      <c r="P135" s="1" t="n">
        <v>0.021186829</v>
      </c>
      <c r="R135" s="1" t="n">
        <f aca="false">PERCENTILE(G135:P135,0.9)</f>
        <v>0.0214453937</v>
      </c>
      <c r="S135" s="5" t="n">
        <f aca="false">spmv_1!R$6/R135</f>
        <v>7.84479002593457</v>
      </c>
      <c r="T135" s="6" t="n">
        <f aca="false">S135/128</f>
        <v>0.0612874220776138</v>
      </c>
    </row>
    <row r="136" customFormat="false" ht="15" hidden="false" customHeight="false" outlineLevel="0" collapsed="false">
      <c r="A136" s="1" t="s">
        <v>16</v>
      </c>
      <c r="B136" s="1" t="n">
        <v>3</v>
      </c>
      <c r="D136" s="1" t="n">
        <v>866152</v>
      </c>
      <c r="E136" s="1" t="n">
        <v>0.081249</v>
      </c>
      <c r="G136" s="1" t="n">
        <v>0.021721363</v>
      </c>
      <c r="H136" s="1" t="n">
        <v>0.021144867</v>
      </c>
      <c r="I136" s="1" t="n">
        <v>0.021472454</v>
      </c>
      <c r="J136" s="1" t="n">
        <v>0.021425962</v>
      </c>
      <c r="K136" s="1" t="n">
        <v>0.021092415</v>
      </c>
      <c r="L136" s="1" t="n">
        <v>0.021244049</v>
      </c>
      <c r="M136" s="1" t="n">
        <v>0.021184444</v>
      </c>
      <c r="N136" s="1" t="n">
        <v>0.021232367</v>
      </c>
      <c r="O136" s="1" t="n">
        <v>0.021397114</v>
      </c>
      <c r="P136" s="1" t="n">
        <v>0.021295309</v>
      </c>
      <c r="R136" s="1" t="n">
        <f aca="false">PERCENTILE(G136:P136,0.9)</f>
        <v>0.0214973449</v>
      </c>
      <c r="S136" s="5" t="n">
        <f aca="false">spmv_1!R$6/R136</f>
        <v>7.82583204496105</v>
      </c>
      <c r="T136" s="6" t="n">
        <f aca="false">S136/128</f>
        <v>0.0611393128512582</v>
      </c>
    </row>
    <row r="137" customFormat="false" ht="15" hidden="false" customHeight="false" outlineLevel="0" collapsed="false">
      <c r="A137" s="1" t="s">
        <v>16</v>
      </c>
      <c r="B137" s="1" t="n">
        <v>4</v>
      </c>
      <c r="D137" s="1" t="n">
        <v>865948</v>
      </c>
      <c r="E137" s="1" t="n">
        <v>0.074376</v>
      </c>
      <c r="G137" s="1" t="n">
        <v>0.024256468</v>
      </c>
      <c r="H137" s="1" t="n">
        <v>0.023186207</v>
      </c>
      <c r="I137" s="1" t="n">
        <v>0.023421049</v>
      </c>
      <c r="J137" s="1" t="n">
        <v>0.023205996</v>
      </c>
      <c r="K137" s="1" t="n">
        <v>0.023034573</v>
      </c>
      <c r="L137" s="1" t="n">
        <v>0.023185253</v>
      </c>
      <c r="M137" s="1" t="n">
        <v>0.023217201</v>
      </c>
      <c r="N137" s="1" t="n">
        <v>0.023257256</v>
      </c>
      <c r="O137" s="1" t="n">
        <v>0.023091316</v>
      </c>
      <c r="P137" s="1" t="n">
        <v>0.023002625</v>
      </c>
      <c r="R137" s="1" t="n">
        <f aca="false">PERCENTILE(G137:P137,0.9)</f>
        <v>0.0235045909</v>
      </c>
      <c r="S137" s="5" t="n">
        <f aca="false">spmv_1!R$6/R137</f>
        <v>7.15752132490849</v>
      </c>
      <c r="T137" s="6" t="n">
        <f aca="false">S137/128</f>
        <v>0.0559181353508476</v>
      </c>
    </row>
    <row r="138" customFormat="false" ht="15" hidden="false" customHeight="false" outlineLevel="0" collapsed="false">
      <c r="A138" s="1" t="s">
        <v>16</v>
      </c>
      <c r="B138" s="1" t="n">
        <v>5</v>
      </c>
      <c r="D138" s="1" t="n">
        <v>865930</v>
      </c>
      <c r="E138" s="1" t="n">
        <v>0.080717</v>
      </c>
      <c r="G138" s="1" t="n">
        <v>0.021874189</v>
      </c>
      <c r="H138" s="1" t="n">
        <v>0.021267176</v>
      </c>
      <c r="I138" s="1" t="n">
        <v>0.021564722</v>
      </c>
      <c r="J138" s="1" t="n">
        <v>0.021593571</v>
      </c>
      <c r="K138" s="1" t="n">
        <v>0.02124548</v>
      </c>
      <c r="L138" s="1" t="n">
        <v>0.0213449</v>
      </c>
      <c r="M138" s="1" t="n">
        <v>0.021339178</v>
      </c>
      <c r="N138" s="1" t="n">
        <v>0.02137661</v>
      </c>
      <c r="O138" s="1" t="n">
        <v>0.02155304</v>
      </c>
      <c r="P138" s="1" t="n">
        <v>0.021400928</v>
      </c>
      <c r="R138" s="1" t="n">
        <f aca="false">PERCENTILE(G138:P138,0.9)</f>
        <v>0.0216216328</v>
      </c>
      <c r="S138" s="5" t="n">
        <f aca="false">spmv_1!R$6/R138</f>
        <v>7.78084671755225</v>
      </c>
      <c r="T138" s="6" t="n">
        <f aca="false">S138/128</f>
        <v>0.0607878649808769</v>
      </c>
    </row>
    <row r="139" customFormat="false" ht="15" hidden="false" customHeight="false" outlineLevel="0" collapsed="false">
      <c r="A139" s="1" t="s">
        <v>16</v>
      </c>
      <c r="B139" s="1" t="n">
        <v>6</v>
      </c>
      <c r="D139" s="1" t="n">
        <v>866424</v>
      </c>
      <c r="E139" s="1" t="n">
        <v>0.073681</v>
      </c>
      <c r="G139" s="1" t="n">
        <v>0.024543285</v>
      </c>
      <c r="H139" s="1" t="n">
        <v>0.023382187</v>
      </c>
      <c r="I139" s="1" t="n">
        <v>0.023524046</v>
      </c>
      <c r="J139" s="1" t="n">
        <v>0.023454905</v>
      </c>
      <c r="K139" s="1" t="n">
        <v>0.023173332</v>
      </c>
      <c r="L139" s="1" t="n">
        <v>0.023309469</v>
      </c>
      <c r="M139" s="1" t="n">
        <v>0.023398876</v>
      </c>
      <c r="N139" s="1" t="n">
        <v>0.023525</v>
      </c>
      <c r="O139" s="1" t="n">
        <v>0.023292065</v>
      </c>
      <c r="P139" s="1" t="n">
        <v>0.023578405</v>
      </c>
      <c r="R139" s="1" t="n">
        <f aca="false">PERCENTILE(G139:P139,0.9)</f>
        <v>0.023674893</v>
      </c>
      <c r="S139" s="5" t="n">
        <f aca="false">spmv_1!R$6/R139</f>
        <v>7.10603467563718</v>
      </c>
      <c r="T139" s="6" t="n">
        <f aca="false">S139/128</f>
        <v>0.0555158959034155</v>
      </c>
    </row>
    <row r="140" customFormat="false" ht="15" hidden="false" customHeight="false" outlineLevel="0" collapsed="false">
      <c r="A140" s="1" t="s">
        <v>16</v>
      </c>
      <c r="B140" s="1" t="n">
        <v>7</v>
      </c>
      <c r="D140" s="1" t="n">
        <v>866436</v>
      </c>
      <c r="E140" s="1" t="n">
        <v>0.073577</v>
      </c>
      <c r="G140" s="1" t="n">
        <v>0.024528027</v>
      </c>
      <c r="H140" s="1" t="n">
        <v>0.023444653</v>
      </c>
      <c r="I140" s="1" t="n">
        <v>0.02359271</v>
      </c>
      <c r="J140" s="1" t="n">
        <v>0.023532867</v>
      </c>
      <c r="K140" s="1" t="n">
        <v>0.023284912</v>
      </c>
      <c r="L140" s="1" t="n">
        <v>0.023376703</v>
      </c>
      <c r="M140" s="1" t="n">
        <v>0.023470402</v>
      </c>
      <c r="N140" s="1" t="n">
        <v>0.023594379</v>
      </c>
      <c r="O140" s="1" t="n">
        <v>0.023393869</v>
      </c>
      <c r="P140" s="1" t="n">
        <v>0.023299932</v>
      </c>
      <c r="R140" s="1" t="n">
        <f aca="false">PERCENTILE(G140:P140,0.9)</f>
        <v>0.0236877438</v>
      </c>
      <c r="S140" s="5" t="n">
        <f aca="false">spmv_1!R$6/R140</f>
        <v>7.10217959213152</v>
      </c>
      <c r="T140" s="6" t="n">
        <f aca="false">S140/128</f>
        <v>0.0554857780635275</v>
      </c>
    </row>
    <row r="141" customFormat="false" ht="15" hidden="false" customHeight="false" outlineLevel="0" collapsed="false">
      <c r="A141" s="1" t="s">
        <v>16</v>
      </c>
      <c r="B141" s="1" t="n">
        <v>8</v>
      </c>
      <c r="D141" s="1" t="n">
        <v>866362</v>
      </c>
      <c r="E141" s="1" t="n">
        <v>0.067739</v>
      </c>
      <c r="G141" s="1" t="n">
        <v>0.026306152</v>
      </c>
      <c r="H141" s="1" t="n">
        <v>0.025361776</v>
      </c>
      <c r="I141" s="1" t="n">
        <v>0.025659561</v>
      </c>
      <c r="J141" s="1" t="n">
        <v>0.025514841</v>
      </c>
      <c r="K141" s="1" t="n">
        <v>0.025286198</v>
      </c>
      <c r="L141" s="1" t="n">
        <v>0.025376797</v>
      </c>
      <c r="M141" s="1" t="n">
        <v>0.025467396</v>
      </c>
      <c r="N141" s="1" t="n">
        <v>0.025571585</v>
      </c>
      <c r="O141" s="1" t="n">
        <v>0.02563715</v>
      </c>
      <c r="P141" s="1" t="n">
        <v>0.025612116</v>
      </c>
      <c r="R141" s="1" t="n">
        <f aca="false">PERCENTILE(G141:P141,0.9)</f>
        <v>0.0257242201</v>
      </c>
      <c r="S141" s="5" t="n">
        <f aca="false">spmv_1!R$6/R141</f>
        <v>6.53993046032132</v>
      </c>
      <c r="T141" s="6" t="n">
        <f aca="false">S141/128</f>
        <v>0.0510932067212603</v>
      </c>
    </row>
    <row r="142" customFormat="false" ht="15" hidden="false" customHeight="false" outlineLevel="0" collapsed="false">
      <c r="A142" s="1" t="s">
        <v>16</v>
      </c>
      <c r="B142" s="1" t="n">
        <v>9</v>
      </c>
      <c r="D142" s="1" t="n">
        <v>866372</v>
      </c>
      <c r="E142" s="1" t="n">
        <v>0.080297</v>
      </c>
      <c r="G142" s="1" t="n">
        <v>0.0220263</v>
      </c>
      <c r="H142" s="1" t="n">
        <v>0.021392345</v>
      </c>
      <c r="I142" s="1" t="n">
        <v>0.021679401</v>
      </c>
      <c r="J142" s="1" t="n">
        <v>0.021720409</v>
      </c>
      <c r="K142" s="1" t="n">
        <v>0.021354198</v>
      </c>
      <c r="L142" s="1" t="n">
        <v>0.021452427</v>
      </c>
      <c r="M142" s="1" t="n">
        <v>0.021458149</v>
      </c>
      <c r="N142" s="1" t="n">
        <v>0.021488428</v>
      </c>
      <c r="O142" s="1" t="n">
        <v>0.02167654</v>
      </c>
      <c r="P142" s="1" t="n">
        <v>0.021543741</v>
      </c>
      <c r="R142" s="1" t="n">
        <f aca="false">PERCENTILE(G142:P142,0.9)</f>
        <v>0.0217509981</v>
      </c>
      <c r="S142" s="5" t="n">
        <f aca="false">spmv_1!R$6/R142</f>
        <v>7.73456968855144</v>
      </c>
      <c r="T142" s="6" t="n">
        <f aca="false">S142/128</f>
        <v>0.0604263256918081</v>
      </c>
    </row>
    <row r="143" customFormat="false" ht="15" hidden="false" customHeight="false" outlineLevel="0" collapsed="false">
      <c r="A143" s="1" t="s">
        <v>16</v>
      </c>
      <c r="B143" s="1" t="n">
        <v>10</v>
      </c>
      <c r="D143" s="1" t="n">
        <v>866434</v>
      </c>
      <c r="E143" s="1" t="n">
        <v>0.067627</v>
      </c>
      <c r="G143" s="1" t="n">
        <v>0.026405811</v>
      </c>
      <c r="H143" s="1" t="n">
        <v>0.025403023</v>
      </c>
      <c r="I143" s="1" t="n">
        <v>0.025712967</v>
      </c>
      <c r="J143" s="1" t="n">
        <v>0.025597811</v>
      </c>
      <c r="K143" s="1" t="n">
        <v>0.025319338</v>
      </c>
      <c r="L143" s="1" t="n">
        <v>0.025388241</v>
      </c>
      <c r="M143" s="1" t="n">
        <v>0.025492191</v>
      </c>
      <c r="N143" s="1" t="n">
        <v>0.025601387</v>
      </c>
      <c r="O143" s="1" t="n">
        <v>0.025674105</v>
      </c>
      <c r="P143" s="1" t="n">
        <v>0.025644302</v>
      </c>
      <c r="R143" s="1" t="n">
        <f aca="false">PERCENTILE(G143:P143,0.9)</f>
        <v>0.0257822514</v>
      </c>
      <c r="S143" s="5" t="n">
        <f aca="false">spmv_1!R$6/R143</f>
        <v>6.52521023047661</v>
      </c>
      <c r="T143" s="6" t="n">
        <f aca="false">S143/128</f>
        <v>0.0509782049255985</v>
      </c>
    </row>
    <row r="144" customFormat="false" ht="15" hidden="false" customHeight="false" outlineLevel="0" collapsed="false">
      <c r="A144" s="1" t="s">
        <v>16</v>
      </c>
      <c r="B144" s="1" t="n">
        <v>11</v>
      </c>
      <c r="D144" s="1" t="n">
        <v>866406</v>
      </c>
      <c r="E144" s="1" t="n">
        <v>0.073382</v>
      </c>
      <c r="G144" s="1" t="n">
        <v>0.024656773</v>
      </c>
      <c r="H144" s="1" t="n">
        <v>0.023511648</v>
      </c>
      <c r="I144" s="1" t="n">
        <v>0.023646593</v>
      </c>
      <c r="J144" s="1" t="n">
        <v>0.023581743</v>
      </c>
      <c r="K144" s="1" t="n">
        <v>0.023312807</v>
      </c>
      <c r="L144" s="1" t="n">
        <v>0.023425817</v>
      </c>
      <c r="M144" s="1" t="n">
        <v>0.023533583</v>
      </c>
      <c r="N144" s="1" t="n">
        <v>0.02367568</v>
      </c>
      <c r="O144" s="1" t="n">
        <v>0.023445129</v>
      </c>
      <c r="P144" s="1" t="n">
        <v>0.023346424</v>
      </c>
      <c r="R144" s="1" t="n">
        <f aca="false">PERCENTILE(G144:P144,0.9)</f>
        <v>0.0237737893</v>
      </c>
      <c r="S144" s="5" t="n">
        <f aca="false">spmv_1!R$6/R144</f>
        <v>7.07647436750859</v>
      </c>
      <c r="T144" s="6" t="n">
        <f aca="false">S144/128</f>
        <v>0.0552849559961609</v>
      </c>
    </row>
    <row r="145" customFormat="false" ht="15" hidden="false" customHeight="false" outlineLevel="0" collapsed="false">
      <c r="A145" s="1" t="s">
        <v>16</v>
      </c>
      <c r="B145" s="1" t="n">
        <v>12</v>
      </c>
      <c r="D145" s="1" t="n">
        <v>866428</v>
      </c>
      <c r="E145" s="1" t="n">
        <v>0.073534</v>
      </c>
      <c r="G145" s="1" t="n">
        <v>0.024648428</v>
      </c>
      <c r="H145" s="1" t="n">
        <v>0.023470879</v>
      </c>
      <c r="I145" s="1" t="n">
        <v>0.023614883</v>
      </c>
      <c r="J145" s="1" t="n">
        <v>0.023524284</v>
      </c>
      <c r="K145" s="1" t="n">
        <v>0.02327776</v>
      </c>
      <c r="L145" s="1" t="n">
        <v>0.023375511</v>
      </c>
      <c r="M145" s="1" t="n">
        <v>0.023487329</v>
      </c>
      <c r="N145" s="1" t="n">
        <v>0.023612261</v>
      </c>
      <c r="O145" s="1" t="n">
        <v>0.023334503</v>
      </c>
      <c r="P145" s="1" t="n">
        <v>0.0233078</v>
      </c>
      <c r="R145" s="1" t="n">
        <f aca="false">PERCENTILE(G145:P145,0.9)</f>
        <v>0.0237182375</v>
      </c>
      <c r="S145" s="5" t="n">
        <f aca="false">spmv_1!R$6/R145</f>
        <v>7.09304857074646</v>
      </c>
      <c r="T145" s="6" t="n">
        <f aca="false">S145/128</f>
        <v>0.0554144419589567</v>
      </c>
    </row>
    <row r="146" customFormat="false" ht="15" hidden="false" customHeight="false" outlineLevel="0" collapsed="false">
      <c r="A146" s="1" t="s">
        <v>16</v>
      </c>
      <c r="B146" s="1" t="n">
        <v>13</v>
      </c>
      <c r="D146" s="1" t="n">
        <v>866438</v>
      </c>
      <c r="E146" s="1" t="n">
        <v>0.067696</v>
      </c>
      <c r="G146" s="1" t="n">
        <v>0.026426554</v>
      </c>
      <c r="H146" s="1" t="n">
        <v>0.02536726</v>
      </c>
      <c r="I146" s="1" t="n">
        <v>0.025667667</v>
      </c>
      <c r="J146" s="1" t="n">
        <v>0.025564432</v>
      </c>
      <c r="K146" s="1" t="n">
        <v>0.025302887</v>
      </c>
      <c r="L146" s="1" t="n">
        <v>0.025366306</v>
      </c>
      <c r="M146" s="1" t="n">
        <v>0.025472641</v>
      </c>
      <c r="N146" s="1" t="n">
        <v>0.02557826</v>
      </c>
      <c r="O146" s="1" t="n">
        <v>0.025620699</v>
      </c>
      <c r="P146" s="1" t="n">
        <v>0.025614023</v>
      </c>
      <c r="R146" s="1" t="n">
        <f aca="false">PERCENTILE(G146:P146,0.9)</f>
        <v>0.0257435557</v>
      </c>
      <c r="S146" s="5" t="n">
        <f aca="false">spmv_1!R$6/R146</f>
        <v>6.53501841627884</v>
      </c>
      <c r="T146" s="6" t="n">
        <f aca="false">S146/128</f>
        <v>0.0510548313771784</v>
      </c>
    </row>
    <row r="147" customFormat="false" ht="15" hidden="false" customHeight="false" outlineLevel="0" collapsed="false">
      <c r="A147" s="1" t="s">
        <v>16</v>
      </c>
      <c r="B147" s="1" t="n">
        <v>14</v>
      </c>
      <c r="D147" s="1" t="n">
        <v>866448</v>
      </c>
      <c r="E147" s="1" t="n">
        <v>0.073642</v>
      </c>
      <c r="G147" s="1" t="n">
        <v>0.024665117</v>
      </c>
      <c r="H147" s="1" t="n">
        <v>0.023406029</v>
      </c>
      <c r="I147" s="1" t="n">
        <v>0.023612976</v>
      </c>
      <c r="J147" s="1" t="n">
        <v>0.023482561</v>
      </c>
      <c r="K147" s="1" t="n">
        <v>0.023260355</v>
      </c>
      <c r="L147" s="1" t="n">
        <v>0.023368359</v>
      </c>
      <c r="M147" s="1" t="n">
        <v>0.023435116</v>
      </c>
      <c r="N147" s="1" t="n">
        <v>0.02355957</v>
      </c>
      <c r="O147" s="1" t="n">
        <v>0.023286343</v>
      </c>
      <c r="P147" s="1" t="n">
        <v>0.023238659</v>
      </c>
      <c r="R147" s="1" t="n">
        <f aca="false">PERCENTILE(G147:P147,0.9)</f>
        <v>0.0237181901</v>
      </c>
      <c r="S147" s="5" t="n">
        <f aca="false">spmv_1!R$6/R147</f>
        <v>7.09306274596391</v>
      </c>
      <c r="T147" s="6" t="n">
        <f aca="false">S147/128</f>
        <v>0.055414552702843</v>
      </c>
    </row>
    <row r="148" customFormat="false" ht="15" hidden="false" customHeight="false" outlineLevel="0" collapsed="false">
      <c r="A148" s="1" t="s">
        <v>16</v>
      </c>
      <c r="B148" s="1" t="n">
        <v>15</v>
      </c>
      <c r="D148" s="1" t="n">
        <v>866456</v>
      </c>
      <c r="E148" s="1" t="n">
        <v>0.073548</v>
      </c>
      <c r="G148" s="1" t="n">
        <v>0.024749994</v>
      </c>
      <c r="H148" s="1" t="n">
        <v>0.023365974</v>
      </c>
      <c r="I148" s="1" t="n">
        <v>0.023545027</v>
      </c>
      <c r="J148" s="1" t="n">
        <v>0.023504972</v>
      </c>
      <c r="K148" s="1" t="n">
        <v>0.023155212</v>
      </c>
      <c r="L148" s="1" t="n">
        <v>0.02332592</v>
      </c>
      <c r="M148" s="1" t="n">
        <v>0.023491859</v>
      </c>
      <c r="N148" s="1" t="n">
        <v>0.023558378</v>
      </c>
      <c r="O148" s="1" t="n">
        <v>0.023371696</v>
      </c>
      <c r="P148" s="1" t="n">
        <v>0.023547173</v>
      </c>
      <c r="R148" s="1" t="n">
        <f aca="false">PERCENTILE(G148:P148,0.9)</f>
        <v>0.0236775396</v>
      </c>
      <c r="S148" s="5" t="n">
        <f aca="false">spmv_1!R$6/R148</f>
        <v>7.10524038570291</v>
      </c>
      <c r="T148" s="6" t="n">
        <f aca="false">S148/128</f>
        <v>0.055509690513304</v>
      </c>
    </row>
    <row r="149" customFormat="false" ht="15" hidden="false" customHeight="false" outlineLevel="0" collapsed="false">
      <c r="A149" s="1" t="s">
        <v>16</v>
      </c>
      <c r="B149" s="1" t="n">
        <v>16</v>
      </c>
      <c r="D149" s="1" t="n">
        <v>866352</v>
      </c>
      <c r="E149" s="1" t="n">
        <v>0.073388</v>
      </c>
      <c r="G149" s="1" t="n">
        <v>0.024757147</v>
      </c>
      <c r="H149" s="1" t="n">
        <v>0.023478746</v>
      </c>
      <c r="I149" s="1" t="n">
        <v>0.023517847</v>
      </c>
      <c r="J149" s="1" t="n">
        <v>0.023629904</v>
      </c>
      <c r="K149" s="1" t="n">
        <v>0.023256302</v>
      </c>
      <c r="L149" s="1" t="n">
        <v>0.02324152</v>
      </c>
      <c r="M149" s="1" t="n">
        <v>0.02353406</v>
      </c>
      <c r="N149" s="1" t="n">
        <v>0.023676634</v>
      </c>
      <c r="O149" s="1" t="n">
        <v>0.02343297</v>
      </c>
      <c r="P149" s="1" t="n">
        <v>0.023576021</v>
      </c>
      <c r="R149" s="1" t="n">
        <f aca="false">PERCENTILE(G149:P149,0.9)</f>
        <v>0.0237846853</v>
      </c>
      <c r="S149" s="5" t="n">
        <f aca="false">spmv_1!R$6/R149</f>
        <v>7.07323256448552</v>
      </c>
      <c r="T149" s="6" t="n">
        <f aca="false">S149/128</f>
        <v>0.0552596294100431</v>
      </c>
    </row>
    <row r="150" customFormat="false" ht="15" hidden="false" customHeight="false" outlineLevel="0" collapsed="false">
      <c r="A150" s="1" t="s">
        <v>16</v>
      </c>
      <c r="B150" s="1" t="n">
        <v>17</v>
      </c>
      <c r="D150" s="1" t="n">
        <v>866358</v>
      </c>
      <c r="E150" s="1" t="n">
        <v>0.067628</v>
      </c>
      <c r="G150" s="1" t="n">
        <v>0.026447058</v>
      </c>
      <c r="H150" s="1" t="n">
        <v>0.025416851</v>
      </c>
      <c r="I150" s="1" t="n">
        <v>0.025577068</v>
      </c>
      <c r="J150" s="1" t="n">
        <v>0.025630474</v>
      </c>
      <c r="K150" s="1" t="n">
        <v>0.025289059</v>
      </c>
      <c r="L150" s="1" t="n">
        <v>0.02524209</v>
      </c>
      <c r="M150" s="1" t="n">
        <v>0.025578976</v>
      </c>
      <c r="N150" s="1" t="n">
        <v>0.025645018</v>
      </c>
      <c r="O150" s="1" t="n">
        <v>0.025689125</v>
      </c>
      <c r="P150" s="1" t="n">
        <v>0.025697708</v>
      </c>
      <c r="R150" s="1" t="n">
        <f aca="false">PERCENTILE(G150:P150,0.9)</f>
        <v>0.025772643</v>
      </c>
      <c r="S150" s="5" t="n">
        <f aca="false">spmv_1!R$6/R150</f>
        <v>6.52764291966486</v>
      </c>
      <c r="T150" s="6" t="n">
        <f aca="false">S150/128</f>
        <v>0.0509972103098817</v>
      </c>
    </row>
    <row r="151" customFormat="false" ht="15" hidden="false" customHeight="false" outlineLevel="0" collapsed="false">
      <c r="A151" s="1" t="s">
        <v>16</v>
      </c>
      <c r="B151" s="1" t="n">
        <v>18</v>
      </c>
      <c r="D151" s="1" t="n">
        <v>866262</v>
      </c>
      <c r="E151" s="1" t="n">
        <v>0.080214</v>
      </c>
      <c r="G151" s="1" t="n">
        <v>0.022108793</v>
      </c>
      <c r="H151" s="1" t="n">
        <v>0.021383047</v>
      </c>
      <c r="I151" s="1" t="n">
        <v>0.021588087</v>
      </c>
      <c r="J151" s="1" t="n">
        <v>0.021779776</v>
      </c>
      <c r="K151" s="1" t="n">
        <v>0.021362782</v>
      </c>
      <c r="L151" s="1" t="n">
        <v>0.021372557</v>
      </c>
      <c r="M151" s="1" t="n">
        <v>0.021535158</v>
      </c>
      <c r="N151" s="1" t="n">
        <v>0.021533012</v>
      </c>
      <c r="O151" s="1" t="n">
        <v>0.021742582</v>
      </c>
      <c r="P151" s="1" t="n">
        <v>0.021582842</v>
      </c>
      <c r="R151" s="1" t="n">
        <f aca="false">PERCENTILE(G151:P151,0.9)</f>
        <v>0.0218126777</v>
      </c>
      <c r="S151" s="5" t="n">
        <f aca="false">spmv_1!R$6/R151</f>
        <v>7.71269868439857</v>
      </c>
      <c r="T151" s="6" t="n">
        <f aca="false">S151/128</f>
        <v>0.0602554584718638</v>
      </c>
    </row>
    <row r="152" customFormat="false" ht="15" hidden="false" customHeight="false" outlineLevel="0" collapsed="false">
      <c r="A152" s="1" t="s">
        <v>16</v>
      </c>
      <c r="B152" s="1" t="n">
        <v>19</v>
      </c>
      <c r="D152" s="1" t="n">
        <v>866230</v>
      </c>
      <c r="E152" s="1" t="n">
        <v>0.085395</v>
      </c>
      <c r="G152" s="1" t="n">
        <v>0.020911694</v>
      </c>
      <c r="H152" s="1" t="n">
        <v>0.02004528</v>
      </c>
      <c r="I152" s="1" t="n">
        <v>0.02028513</v>
      </c>
      <c r="J152" s="1" t="n">
        <v>0.020515919</v>
      </c>
      <c r="K152" s="1" t="n">
        <v>0.020041943</v>
      </c>
      <c r="L152" s="1" t="n">
        <v>0.020037651</v>
      </c>
      <c r="M152" s="1" t="n">
        <v>0.020212412</v>
      </c>
      <c r="N152" s="1" t="n">
        <v>0.020200729</v>
      </c>
      <c r="O152" s="1" t="n">
        <v>0.020404339</v>
      </c>
      <c r="P152" s="1" t="n">
        <v>0.02022028</v>
      </c>
      <c r="R152" s="1" t="n">
        <f aca="false">PERCENTILE(G152:P152,0.9)</f>
        <v>0.0205554965</v>
      </c>
      <c r="S152" s="5" t="n">
        <f aca="false">spmv_1!R$6/R152</f>
        <v>8.18440997521028</v>
      </c>
      <c r="T152" s="6" t="n">
        <f aca="false">S152/128</f>
        <v>0.0639407029313303</v>
      </c>
    </row>
    <row r="153" customFormat="false" ht="15" hidden="false" customHeight="false" outlineLevel="0" collapsed="false">
      <c r="A153" s="1" t="s">
        <v>16</v>
      </c>
      <c r="B153" s="1" t="n">
        <v>20</v>
      </c>
      <c r="D153" s="1" t="n">
        <v>866186</v>
      </c>
      <c r="E153" s="1" t="n">
        <v>0.073543</v>
      </c>
      <c r="G153" s="1" t="n">
        <v>0.024769306</v>
      </c>
      <c r="H153" s="1" t="n">
        <v>0.023460865</v>
      </c>
      <c r="I153" s="1" t="n">
        <v>0.0234797</v>
      </c>
      <c r="J153" s="1" t="n">
        <v>0.023586988</v>
      </c>
      <c r="K153" s="1" t="n">
        <v>0.023227215</v>
      </c>
      <c r="L153" s="1" t="n">
        <v>0.023117065</v>
      </c>
      <c r="M153" s="1" t="n">
        <v>0.023550034</v>
      </c>
      <c r="N153" s="1" t="n">
        <v>0.023635864</v>
      </c>
      <c r="O153" s="1" t="n">
        <v>0.023401499</v>
      </c>
      <c r="P153" s="1" t="n">
        <v>0.023330927</v>
      </c>
      <c r="R153" s="1" t="n">
        <f aca="false">PERCENTILE(G153:P153,0.9)</f>
        <v>0.0237492082</v>
      </c>
      <c r="S153" s="5" t="n">
        <f aca="false">spmv_1!R$6/R153</f>
        <v>7.08379871797157</v>
      </c>
      <c r="T153" s="6" t="n">
        <f aca="false">S153/128</f>
        <v>0.0553421774841529</v>
      </c>
    </row>
    <row r="154" customFormat="false" ht="15" hidden="false" customHeight="false" outlineLevel="0" collapsed="false">
      <c r="A154" s="1" t="s">
        <v>16</v>
      </c>
      <c r="B154" s="1" t="n">
        <v>21</v>
      </c>
      <c r="D154" s="1" t="n">
        <v>866186</v>
      </c>
      <c r="E154" s="1" t="n">
        <v>0.08057</v>
      </c>
      <c r="G154" s="1" t="n">
        <v>0.022019148</v>
      </c>
      <c r="H154" s="1" t="n">
        <v>0.021315813</v>
      </c>
      <c r="I154" s="1" t="n">
        <v>0.021479607</v>
      </c>
      <c r="J154" s="1" t="n">
        <v>0.021676064</v>
      </c>
      <c r="K154" s="1" t="n">
        <v>0.021269798</v>
      </c>
      <c r="L154" s="1" t="n">
        <v>0.021249533</v>
      </c>
      <c r="M154" s="1" t="n">
        <v>0.021461964</v>
      </c>
      <c r="N154" s="1" t="n">
        <v>0.021435976</v>
      </c>
      <c r="O154" s="1" t="n">
        <v>0.02162075</v>
      </c>
      <c r="P154" s="1" t="n">
        <v>0.021486521</v>
      </c>
      <c r="R154" s="1" t="n">
        <f aca="false">PERCENTILE(G154:P154,0.9)</f>
        <v>0.0217103724</v>
      </c>
      <c r="S154" s="5" t="n">
        <f aca="false">spmv_1!R$6/R154</f>
        <v>7.74904306109461</v>
      </c>
      <c r="T154" s="6" t="n">
        <f aca="false">S154/128</f>
        <v>0.0605393989148017</v>
      </c>
    </row>
    <row r="155" customFormat="false" ht="15" hidden="false" customHeight="false" outlineLevel="0" collapsed="false">
      <c r="A155" s="1" t="s">
        <v>16</v>
      </c>
      <c r="B155" s="1" t="n">
        <v>22</v>
      </c>
      <c r="D155" s="1" t="n">
        <v>866394</v>
      </c>
      <c r="E155" s="1" t="n">
        <v>0.08081</v>
      </c>
      <c r="G155" s="1" t="n">
        <v>0.021917343</v>
      </c>
      <c r="H155" s="1" t="n">
        <v>0.021235466</v>
      </c>
      <c r="I155" s="1" t="n">
        <v>0.021394968</v>
      </c>
      <c r="J155" s="1" t="n">
        <v>0.021615744</v>
      </c>
      <c r="K155" s="1" t="n">
        <v>0.021205664</v>
      </c>
      <c r="L155" s="1" t="n">
        <v>0.021198511</v>
      </c>
      <c r="M155" s="1" t="n">
        <v>0.021412373</v>
      </c>
      <c r="N155" s="1" t="n">
        <v>0.021403551</v>
      </c>
      <c r="O155" s="1" t="n">
        <v>0.021586418</v>
      </c>
      <c r="P155" s="1" t="n">
        <v>0.021457195</v>
      </c>
      <c r="R155" s="1" t="n">
        <f aca="false">PERCENTILE(G155:P155,0.9)</f>
        <v>0.0216459039</v>
      </c>
      <c r="S155" s="5" t="n">
        <f aca="false">spmv_1!R$6/R155</f>
        <v>7.77212221661947</v>
      </c>
      <c r="T155" s="6" t="n">
        <f aca="false">S155/128</f>
        <v>0.0607197048173396</v>
      </c>
    </row>
    <row r="156" customFormat="false" ht="15" hidden="false" customHeight="false" outlineLevel="0" collapsed="false">
      <c r="A156" s="1" t="s">
        <v>16</v>
      </c>
      <c r="B156" s="1" t="n">
        <v>23</v>
      </c>
      <c r="D156" s="1" t="n">
        <v>866394</v>
      </c>
      <c r="E156" s="1" t="n">
        <v>0.081204</v>
      </c>
      <c r="G156" s="1" t="n">
        <v>0.02184248</v>
      </c>
      <c r="H156" s="1" t="n">
        <v>0.021175623</v>
      </c>
      <c r="I156" s="1" t="n">
        <v>0.021296263</v>
      </c>
      <c r="J156" s="1" t="n">
        <v>0.021510124</v>
      </c>
      <c r="K156" s="1" t="n">
        <v>0.021056414</v>
      </c>
      <c r="L156" s="1" t="n">
        <v>0.021062136</v>
      </c>
      <c r="M156" s="1" t="n">
        <v>0.021315575</v>
      </c>
      <c r="N156" s="1" t="n">
        <v>0.021313429</v>
      </c>
      <c r="O156" s="1" t="n">
        <v>0.021486998</v>
      </c>
      <c r="P156" s="1" t="n">
        <v>0.021328688</v>
      </c>
      <c r="R156" s="1" t="n">
        <f aca="false">PERCENTILE(G156:P156,0.9)</f>
        <v>0.0215433596</v>
      </c>
      <c r="S156" s="5" t="n">
        <f aca="false">spmv_1!R$6/R156</f>
        <v>7.80911676375675</v>
      </c>
      <c r="T156" s="6" t="n">
        <f aca="false">S156/128</f>
        <v>0.0610087247168496</v>
      </c>
    </row>
    <row r="157" customFormat="false" ht="15" hidden="false" customHeight="false" outlineLevel="0" collapsed="false">
      <c r="A157" s="1" t="s">
        <v>16</v>
      </c>
      <c r="B157" s="1" t="n">
        <v>24</v>
      </c>
      <c r="D157" s="1" t="n">
        <v>866494</v>
      </c>
      <c r="E157" s="1" t="n">
        <v>0.087398</v>
      </c>
      <c r="G157" s="1" t="n">
        <v>0.020390272</v>
      </c>
      <c r="H157" s="1" t="n">
        <v>0.019585609</v>
      </c>
      <c r="I157" s="1" t="n">
        <v>0.019826651</v>
      </c>
      <c r="J157" s="1" t="n">
        <v>0.020022154</v>
      </c>
      <c r="K157" s="1" t="n">
        <v>0.019555569</v>
      </c>
      <c r="L157" s="1" t="n">
        <v>0.019583941</v>
      </c>
      <c r="M157" s="1" t="n">
        <v>0.019819975</v>
      </c>
      <c r="N157" s="1" t="n">
        <v>0.01978898</v>
      </c>
      <c r="O157" s="1" t="n">
        <v>0.019973993</v>
      </c>
      <c r="P157" s="1" t="n">
        <v>0.019740105</v>
      </c>
      <c r="R157" s="1" t="n">
        <f aca="false">PERCENTILE(G157:P157,0.9)</f>
        <v>0.0200589658</v>
      </c>
      <c r="S157" s="5" t="n">
        <f aca="false">spmv_1!R$6/R157</f>
        <v>8.38700321229921</v>
      </c>
      <c r="T157" s="6" t="n">
        <f aca="false">S157/128</f>
        <v>0.0655234625960876</v>
      </c>
    </row>
    <row r="158" customFormat="false" ht="15" hidden="false" customHeight="false" outlineLevel="0" collapsed="false">
      <c r="A158" s="1" t="s">
        <v>16</v>
      </c>
      <c r="B158" s="1" t="n">
        <v>25</v>
      </c>
      <c r="D158" s="1" t="n">
        <v>866494</v>
      </c>
      <c r="E158" s="1" t="n">
        <v>0.068699</v>
      </c>
      <c r="G158" s="1" t="n">
        <v>0.026050329</v>
      </c>
      <c r="H158" s="1" t="n">
        <v>0.025002718</v>
      </c>
      <c r="I158" s="1" t="n">
        <v>0.025144577</v>
      </c>
      <c r="J158" s="1" t="n">
        <v>0.025259972</v>
      </c>
      <c r="K158" s="1" t="n">
        <v>0.02487421</v>
      </c>
      <c r="L158" s="1" t="n">
        <v>0.024864435</v>
      </c>
      <c r="M158" s="1" t="n">
        <v>0.025223017</v>
      </c>
      <c r="N158" s="1" t="n">
        <v>0.025287628</v>
      </c>
      <c r="O158" s="1" t="n">
        <v>0.025283098</v>
      </c>
      <c r="P158" s="1" t="n">
        <v>0.025267124</v>
      </c>
      <c r="R158" s="1" t="n">
        <f aca="false">PERCENTILE(G158:P158,0.9)</f>
        <v>0.0253638981</v>
      </c>
      <c r="S158" s="5" t="n">
        <f aca="false">spmv_1!R$6/R158</f>
        <v>6.63283734766306</v>
      </c>
      <c r="T158" s="6" t="n">
        <f aca="false">S158/128</f>
        <v>0.0518190417786176</v>
      </c>
    </row>
    <row r="159" customFormat="false" ht="15" hidden="false" customHeight="false" outlineLevel="0" collapsed="false">
      <c r="A159" s="1" t="s">
        <v>16</v>
      </c>
      <c r="B159" s="1" t="n">
        <v>26</v>
      </c>
      <c r="D159" s="1" t="n">
        <v>866470</v>
      </c>
      <c r="E159" s="1" t="n">
        <v>0.081845</v>
      </c>
      <c r="G159" s="1" t="n">
        <v>0.02169323</v>
      </c>
      <c r="H159" s="1" t="n">
        <v>0.021001577</v>
      </c>
      <c r="I159" s="1" t="n">
        <v>0.021142483</v>
      </c>
      <c r="J159" s="1" t="n">
        <v>0.02133131</v>
      </c>
      <c r="K159" s="1" t="n">
        <v>0.020945787</v>
      </c>
      <c r="L159" s="1" t="n">
        <v>0.020848036</v>
      </c>
      <c r="M159" s="1" t="n">
        <v>0.021164179</v>
      </c>
      <c r="N159" s="1" t="n">
        <v>0.021152496</v>
      </c>
      <c r="O159" s="1" t="n">
        <v>0.021284103</v>
      </c>
      <c r="P159" s="1" t="n">
        <v>0.021172285</v>
      </c>
      <c r="R159" s="1" t="n">
        <f aca="false">PERCENTILE(G159:P159,0.9)</f>
        <v>0.021367502</v>
      </c>
      <c r="S159" s="5" t="n">
        <f aca="false">spmv_1!R$6/R159</f>
        <v>7.8733869125179</v>
      </c>
      <c r="T159" s="6" t="n">
        <f aca="false">S159/128</f>
        <v>0.0615108352540461</v>
      </c>
    </row>
    <row r="160" customFormat="false" ht="15" hidden="false" customHeight="false" outlineLevel="0" collapsed="false">
      <c r="A160" s="1" t="s">
        <v>16</v>
      </c>
      <c r="B160" s="1" t="n">
        <v>27</v>
      </c>
      <c r="D160" s="1" t="n">
        <v>866470</v>
      </c>
      <c r="E160" s="1" t="n">
        <v>0.088552</v>
      </c>
      <c r="G160" s="1" t="n">
        <v>0.020109415</v>
      </c>
      <c r="H160" s="1" t="n">
        <v>0.019353151</v>
      </c>
      <c r="I160" s="1" t="n">
        <v>0.01959157</v>
      </c>
      <c r="J160" s="1" t="n">
        <v>0.019732237</v>
      </c>
      <c r="K160" s="1" t="n">
        <v>0.019335032</v>
      </c>
      <c r="L160" s="1" t="n">
        <v>0.019297838</v>
      </c>
      <c r="M160" s="1" t="n">
        <v>0.019563675</v>
      </c>
      <c r="N160" s="1" t="n">
        <v>0.019536018</v>
      </c>
      <c r="O160" s="1" t="n">
        <v>0.01969409</v>
      </c>
      <c r="P160" s="1" t="n">
        <v>0.019483566</v>
      </c>
      <c r="R160" s="1" t="n">
        <f aca="false">PERCENTILE(G160:P160,0.9)</f>
        <v>0.0197699548</v>
      </c>
      <c r="S160" s="5" t="n">
        <f aca="false">spmv_1!R$6/R160</f>
        <v>8.50961027993853</v>
      </c>
      <c r="T160" s="6" t="n">
        <f aca="false">S160/128</f>
        <v>0.0664813303120197</v>
      </c>
    </row>
    <row r="161" customFormat="false" ht="15" hidden="false" customHeight="false" outlineLevel="0" collapsed="false">
      <c r="A161" s="1" t="s">
        <v>16</v>
      </c>
      <c r="B161" s="1" t="n">
        <v>28</v>
      </c>
      <c r="D161" s="1" t="n">
        <v>866320</v>
      </c>
      <c r="E161" s="1" t="n">
        <v>0.082592</v>
      </c>
      <c r="G161" s="1" t="n">
        <v>0.021582127</v>
      </c>
      <c r="H161" s="1" t="n">
        <v>0.020770788</v>
      </c>
      <c r="I161" s="1" t="n">
        <v>0.020909071</v>
      </c>
      <c r="J161" s="1" t="n">
        <v>0.021098852</v>
      </c>
      <c r="K161" s="1" t="n">
        <v>0.020678282</v>
      </c>
      <c r="L161" s="1" t="n">
        <v>0.020674467</v>
      </c>
      <c r="M161" s="1" t="n">
        <v>0.021017313</v>
      </c>
      <c r="N161" s="1" t="n">
        <v>0.020970106</v>
      </c>
      <c r="O161" s="1" t="n">
        <v>0.021145105</v>
      </c>
      <c r="P161" s="1" t="n">
        <v>0.02093792</v>
      </c>
      <c r="R161" s="1" t="n">
        <f aca="false">PERCENTILE(G161:P161,0.9)</f>
        <v>0.0211888072</v>
      </c>
      <c r="S161" s="5" t="n">
        <f aca="false">spmv_1!R$6/R161</f>
        <v>7.93978674741068</v>
      </c>
      <c r="T161" s="6" t="n">
        <f aca="false">S161/128</f>
        <v>0.0620295839641459</v>
      </c>
    </row>
    <row r="162" customFormat="false" ht="15" hidden="false" customHeight="false" outlineLevel="0" collapsed="false">
      <c r="A162" s="1" t="s">
        <v>16</v>
      </c>
      <c r="B162" s="1" t="n">
        <v>29</v>
      </c>
      <c r="D162" s="1" t="n">
        <v>866320</v>
      </c>
      <c r="E162" s="1" t="n">
        <v>0.083246</v>
      </c>
      <c r="G162" s="1" t="n">
        <v>0.021361113</v>
      </c>
      <c r="H162" s="1" t="n">
        <v>0.020566225</v>
      </c>
      <c r="I162" s="1" t="n">
        <v>0.020822287</v>
      </c>
      <c r="J162" s="1" t="n">
        <v>0.020962477</v>
      </c>
      <c r="K162" s="1" t="n">
        <v>0.020555496</v>
      </c>
      <c r="L162" s="1" t="n">
        <v>0.020510912</v>
      </c>
      <c r="M162" s="1" t="n">
        <v>0.020802021</v>
      </c>
      <c r="N162" s="1" t="n">
        <v>0.020812273</v>
      </c>
      <c r="O162" s="1" t="n">
        <v>0.020977259</v>
      </c>
      <c r="P162" s="1" t="n">
        <v>0.020763636</v>
      </c>
      <c r="R162" s="1" t="n">
        <f aca="false">PERCENTILE(G162:P162,0.9)</f>
        <v>0.0210156444</v>
      </c>
      <c r="S162" s="5" t="n">
        <f aca="false">spmv_1!R$6/R162</f>
        <v>8.00520828188357</v>
      </c>
      <c r="T162" s="6" t="n">
        <f aca="false">S162/128</f>
        <v>0.0625406897022154</v>
      </c>
    </row>
    <row r="163" customFormat="false" ht="15" hidden="false" customHeight="false" outlineLevel="0" collapsed="false">
      <c r="A163" s="1" t="s">
        <v>16</v>
      </c>
      <c r="B163" s="1" t="n">
        <v>30</v>
      </c>
      <c r="D163" s="1" t="n">
        <v>866318</v>
      </c>
      <c r="E163" s="1" t="n">
        <v>0.084479</v>
      </c>
      <c r="G163" s="1" t="n">
        <v>0.019856215</v>
      </c>
      <c r="H163" s="1" t="n">
        <v>0.020479679</v>
      </c>
      <c r="I163" s="1" t="n">
        <v>0.020621538</v>
      </c>
      <c r="J163" s="1" t="n">
        <v>0.020798445</v>
      </c>
      <c r="K163" s="1" t="n">
        <v>0.020371675</v>
      </c>
      <c r="L163" s="1" t="n">
        <v>0.020350933</v>
      </c>
      <c r="M163" s="1" t="n">
        <v>0.020650625</v>
      </c>
      <c r="N163" s="1" t="n">
        <v>0.020630598</v>
      </c>
      <c r="O163" s="1" t="n">
        <v>0.020776033</v>
      </c>
      <c r="P163" s="1" t="n">
        <v>0.020560026</v>
      </c>
      <c r="R163" s="1" t="n">
        <f aca="false">PERCENTILE(G163:P163,0.9)</f>
        <v>0.0207782742</v>
      </c>
      <c r="S163" s="5" t="n">
        <f aca="false">spmv_1!R$6/R163</f>
        <v>8.09665947136264</v>
      </c>
      <c r="T163" s="6" t="n">
        <f aca="false">S163/128</f>
        <v>0.0632551521200206</v>
      </c>
    </row>
    <row r="164" customFormat="false" ht="15" hidden="false" customHeight="false" outlineLevel="0" collapsed="false">
      <c r="A164" s="1" t="s">
        <v>16</v>
      </c>
      <c r="B164" s="1" t="n">
        <v>31</v>
      </c>
      <c r="D164" s="1" t="n">
        <v>866318</v>
      </c>
      <c r="E164" s="1" t="n">
        <v>0.090704</v>
      </c>
      <c r="G164" s="1" t="n">
        <v>0.01967144</v>
      </c>
      <c r="H164" s="1" t="n">
        <v>0.018902063</v>
      </c>
      <c r="I164" s="1" t="n">
        <v>0.019097805</v>
      </c>
      <c r="J164" s="1" t="n">
        <v>0.019243956</v>
      </c>
      <c r="K164" s="1" t="n">
        <v>0.018879175</v>
      </c>
      <c r="L164" s="1" t="n">
        <v>0.018878222</v>
      </c>
      <c r="M164" s="1" t="n">
        <v>0.019091845</v>
      </c>
      <c r="N164" s="1" t="n">
        <v>0.019046307</v>
      </c>
      <c r="O164" s="1" t="n">
        <v>0.019238234</v>
      </c>
      <c r="P164" s="1" t="n">
        <v>0.018971682</v>
      </c>
      <c r="R164" s="1" t="n">
        <f aca="false">PERCENTILE(G164:P164,0.9)</f>
        <v>0.0192867044</v>
      </c>
      <c r="S164" s="5" t="n">
        <f aca="false">spmv_1!R$6/R164</f>
        <v>8.72282828164256</v>
      </c>
      <c r="T164" s="6" t="n">
        <f aca="false">S164/128</f>
        <v>0.0681470959503325</v>
      </c>
    </row>
    <row r="165" customFormat="false" ht="15" hidden="false" customHeight="false" outlineLevel="0" collapsed="false">
      <c r="A165" s="1" t="s">
        <v>16</v>
      </c>
      <c r="B165" s="1" t="n">
        <v>32</v>
      </c>
      <c r="D165" s="1" t="n">
        <v>866190</v>
      </c>
      <c r="E165" s="1" t="n">
        <v>0.077352</v>
      </c>
      <c r="G165" s="1" t="n">
        <v>0.024474621</v>
      </c>
      <c r="H165" s="1" t="n">
        <v>0.020472527</v>
      </c>
      <c r="I165" s="1" t="n">
        <v>0.022904873</v>
      </c>
      <c r="J165" s="1" t="n">
        <v>0.022758961</v>
      </c>
      <c r="K165" s="1" t="n">
        <v>0.02265501</v>
      </c>
      <c r="L165" s="1" t="n">
        <v>0.021560192</v>
      </c>
      <c r="M165" s="1" t="n">
        <v>0.022441149</v>
      </c>
      <c r="N165" s="1" t="n">
        <v>0.022326708</v>
      </c>
      <c r="O165" s="1" t="n">
        <v>0.022269487</v>
      </c>
      <c r="P165" s="1" t="n">
        <v>0.022096395</v>
      </c>
      <c r="R165" s="1" t="n">
        <f aca="false">PERCENTILE(G165:P165,0.9)</f>
        <v>0.0230618478</v>
      </c>
      <c r="S165" s="5" t="n">
        <f aca="false">spmv_1!R$6/R165</f>
        <v>7.29493196117616</v>
      </c>
      <c r="T165" s="6" t="n">
        <f aca="false">S165/128</f>
        <v>0.0569916559466887</v>
      </c>
    </row>
    <row r="166" customFormat="false" ht="15" hidden="false" customHeight="false" outlineLevel="0" collapsed="false">
      <c r="A166" s="1" t="s">
        <v>16</v>
      </c>
      <c r="B166" s="1" t="n">
        <v>33</v>
      </c>
      <c r="D166" s="1" t="n">
        <v>866190</v>
      </c>
      <c r="E166" s="1" t="n">
        <v>0.077172</v>
      </c>
      <c r="G166" s="1" t="n">
        <v>0.024546862</v>
      </c>
      <c r="H166" s="1" t="n">
        <v>0.020437241</v>
      </c>
      <c r="I166" s="1" t="n">
        <v>0.022941113</v>
      </c>
      <c r="J166" s="1" t="n">
        <v>0.022804737</v>
      </c>
      <c r="K166" s="1" t="n">
        <v>0.022696018</v>
      </c>
      <c r="L166" s="1" t="n">
        <v>0.02173686</v>
      </c>
      <c r="M166" s="1" t="n">
        <v>0.022455931</v>
      </c>
      <c r="N166" s="1" t="n">
        <v>0.022417545</v>
      </c>
      <c r="O166" s="1" t="n">
        <v>0.022274494</v>
      </c>
      <c r="P166" s="1" t="n">
        <v>0.022172213</v>
      </c>
      <c r="R166" s="1" t="n">
        <f aca="false">PERCENTILE(G166:P166,0.9)</f>
        <v>0.0231016879</v>
      </c>
      <c r="S166" s="5" t="n">
        <f aca="false">spmv_1!R$6/R166</f>
        <v>7.28235145969572</v>
      </c>
      <c r="T166" s="6" t="n">
        <f aca="false">S166/128</f>
        <v>0.0568933707788728</v>
      </c>
    </row>
    <row r="167" customFormat="false" ht="15" hidden="false" customHeight="false" outlineLevel="0" collapsed="false">
      <c r="A167" s="1" t="s">
        <v>16</v>
      </c>
      <c r="B167" s="1" t="n">
        <v>34</v>
      </c>
      <c r="D167" s="1" t="n">
        <v>865938</v>
      </c>
      <c r="E167" s="1" t="n">
        <v>0.084153</v>
      </c>
      <c r="G167" s="1" t="n">
        <v>0.023108721</v>
      </c>
      <c r="H167" s="1" t="n">
        <v>0.01944232</v>
      </c>
      <c r="I167" s="1" t="n">
        <v>0.021388531</v>
      </c>
      <c r="J167" s="1" t="n">
        <v>0.020655632</v>
      </c>
      <c r="K167" s="1" t="n">
        <v>0.019462585</v>
      </c>
      <c r="L167" s="1" t="n">
        <v>0.020037889</v>
      </c>
      <c r="M167" s="1" t="n">
        <v>0.019793034</v>
      </c>
      <c r="N167" s="1" t="n">
        <v>0.021183729</v>
      </c>
      <c r="O167" s="1" t="n">
        <v>0.019697428</v>
      </c>
      <c r="P167" s="1" t="n">
        <v>0.021031141</v>
      </c>
      <c r="R167" s="1" t="n">
        <f aca="false">PERCENTILE(G167:P167,0.9)</f>
        <v>0.02156055</v>
      </c>
      <c r="S167" s="5" t="n">
        <f aca="false">spmv_1!R$6/R167</f>
        <v>7.80289049212567</v>
      </c>
      <c r="T167" s="6" t="n">
        <f aca="false">S167/128</f>
        <v>0.0609600819697318</v>
      </c>
    </row>
    <row r="168" customFormat="false" ht="15" hidden="false" customHeight="false" outlineLevel="0" collapsed="false">
      <c r="A168" s="1" t="s">
        <v>16</v>
      </c>
      <c r="B168" s="1" t="n">
        <v>35</v>
      </c>
      <c r="D168" s="1" t="n">
        <v>865938</v>
      </c>
      <c r="E168" s="1" t="n">
        <v>0.077072</v>
      </c>
      <c r="G168" s="1" t="n">
        <v>0.024508715</v>
      </c>
      <c r="H168" s="1" t="n">
        <v>0.020261526</v>
      </c>
      <c r="I168" s="1" t="n">
        <v>0.023002386</v>
      </c>
      <c r="J168" s="1" t="n">
        <v>0.022843838</v>
      </c>
      <c r="K168" s="1" t="n">
        <v>0.02254796</v>
      </c>
      <c r="L168" s="1" t="n">
        <v>0.022007227</v>
      </c>
      <c r="M168" s="1" t="n">
        <v>0.022480249</v>
      </c>
      <c r="N168" s="1" t="n">
        <v>0.022505522</v>
      </c>
      <c r="O168" s="1" t="n">
        <v>0.022274733</v>
      </c>
      <c r="P168" s="1" t="n">
        <v>0.022277117</v>
      </c>
      <c r="R168" s="1" t="n">
        <f aca="false">PERCENTILE(G168:P168,0.9)</f>
        <v>0.0231530189</v>
      </c>
      <c r="S168" s="5" t="n">
        <f aca="false">spmv_1!R$6/R168</f>
        <v>7.26620624837826</v>
      </c>
      <c r="T168" s="6" t="n">
        <f aca="false">S168/128</f>
        <v>0.0567672363154552</v>
      </c>
    </row>
    <row r="169" customFormat="false" ht="15" hidden="false" customHeight="false" outlineLevel="0" collapsed="false">
      <c r="A169" s="1" t="s">
        <v>16</v>
      </c>
      <c r="B169" s="1" t="n">
        <v>36</v>
      </c>
      <c r="D169" s="1" t="n">
        <v>865778</v>
      </c>
      <c r="E169" s="1" t="n">
        <v>0.079258</v>
      </c>
      <c r="G169" s="1" t="n">
        <v>0.024461508</v>
      </c>
      <c r="H169" s="1" t="n">
        <v>0.020270109</v>
      </c>
      <c r="I169" s="1" t="n">
        <v>0.022236586</v>
      </c>
      <c r="J169" s="1" t="n">
        <v>0.022586107</v>
      </c>
      <c r="K169" s="1" t="n">
        <v>0.020634651</v>
      </c>
      <c r="L169" s="1" t="n">
        <v>0.022485971</v>
      </c>
      <c r="M169" s="1" t="n">
        <v>0.020979643</v>
      </c>
      <c r="N169" s="1" t="n">
        <v>0.022347927</v>
      </c>
      <c r="O169" s="1" t="n">
        <v>0.020306349</v>
      </c>
      <c r="P169" s="1" t="n">
        <v>0.022161961</v>
      </c>
      <c r="R169" s="1" t="n">
        <f aca="false">PERCENTILE(G169:P169,0.9)</f>
        <v>0.0227736471</v>
      </c>
      <c r="S169" s="5" t="n">
        <f aca="false">spmv_1!R$6/R169</f>
        <v>7.38724938791205</v>
      </c>
      <c r="T169" s="6" t="n">
        <f aca="false">S169/128</f>
        <v>0.0577128858430629</v>
      </c>
    </row>
    <row r="170" customFormat="false" ht="15" hidden="false" customHeight="false" outlineLevel="0" collapsed="false">
      <c r="A170" s="1" t="s">
        <v>16</v>
      </c>
      <c r="B170" s="1" t="n">
        <v>37</v>
      </c>
      <c r="D170" s="1" t="n">
        <v>865778</v>
      </c>
      <c r="E170" s="1" t="n">
        <v>0.076927</v>
      </c>
      <c r="G170" s="1" t="n">
        <v>0.024586439</v>
      </c>
      <c r="H170" s="1" t="n">
        <v>0.02016449</v>
      </c>
      <c r="I170" s="1" t="n">
        <v>0.023047924</v>
      </c>
      <c r="J170" s="1" t="n">
        <v>0.022897482</v>
      </c>
      <c r="K170" s="1" t="n">
        <v>0.022610426</v>
      </c>
      <c r="L170" s="1" t="n">
        <v>0.022083521</v>
      </c>
      <c r="M170" s="1" t="n">
        <v>0.022614717</v>
      </c>
      <c r="N170" s="1" t="n">
        <v>0.02259326</v>
      </c>
      <c r="O170" s="1" t="n">
        <v>0.022209167</v>
      </c>
      <c r="P170" s="1" t="n">
        <v>0.022284031</v>
      </c>
      <c r="R170" s="1" t="n">
        <f aca="false">PERCENTILE(G170:P170,0.9)</f>
        <v>0.0232017755</v>
      </c>
      <c r="S170" s="5" t="n">
        <f aca="false">spmv_1!R$6/R170</f>
        <v>7.25093692075419</v>
      </c>
      <c r="T170" s="6" t="n">
        <f aca="false">S170/128</f>
        <v>0.0566479446933921</v>
      </c>
    </row>
    <row r="171" customFormat="false" ht="15" hidden="false" customHeight="false" outlineLevel="0" collapsed="false">
      <c r="A171" s="1" t="s">
        <v>16</v>
      </c>
      <c r="B171" s="1" t="n">
        <v>38</v>
      </c>
      <c r="D171" s="1" t="n">
        <v>865672</v>
      </c>
      <c r="E171" s="1" t="n">
        <v>0.079035</v>
      </c>
      <c r="G171" s="1" t="n">
        <v>0.024900675</v>
      </c>
      <c r="H171" s="1" t="n">
        <v>0.02072835</v>
      </c>
      <c r="I171" s="1" t="n">
        <v>0.023325682</v>
      </c>
      <c r="J171" s="1" t="n">
        <v>0.021357298</v>
      </c>
      <c r="K171" s="1" t="n">
        <v>0.020696402</v>
      </c>
      <c r="L171" s="1" t="n">
        <v>0.021189928</v>
      </c>
      <c r="M171" s="1" t="n">
        <v>0.021638155</v>
      </c>
      <c r="N171" s="1" t="n">
        <v>0.022222996</v>
      </c>
      <c r="O171" s="1" t="n">
        <v>0.020932436</v>
      </c>
      <c r="P171" s="1" t="n">
        <v>0.022068024</v>
      </c>
      <c r="R171" s="1" t="n">
        <f aca="false">PERCENTILE(G171:P171,0.9)</f>
        <v>0.0234831813</v>
      </c>
      <c r="S171" s="5" t="n">
        <f aca="false">spmv_1!R$6/R171</f>
        <v>7.16404683210447</v>
      </c>
      <c r="T171" s="6" t="n">
        <f aca="false">S171/128</f>
        <v>0.0559691158758162</v>
      </c>
    </row>
    <row r="172" customFormat="false" ht="15" hidden="false" customHeight="false" outlineLevel="0" collapsed="false">
      <c r="A172" s="1" t="s">
        <v>16</v>
      </c>
      <c r="B172" s="1" t="n">
        <v>39</v>
      </c>
      <c r="D172" s="1" t="n">
        <v>865672</v>
      </c>
      <c r="E172" s="1" t="n">
        <v>0.083876</v>
      </c>
      <c r="G172" s="1" t="n">
        <v>0.023233414</v>
      </c>
      <c r="H172" s="1" t="n">
        <v>0.019182205</v>
      </c>
      <c r="I172" s="1" t="n">
        <v>0.021528959</v>
      </c>
      <c r="J172" s="1" t="n">
        <v>0.020787477</v>
      </c>
      <c r="K172" s="1" t="n">
        <v>0.019395828</v>
      </c>
      <c r="L172" s="1" t="n">
        <v>0.020217896</v>
      </c>
      <c r="M172" s="1" t="n">
        <v>0.019946575</v>
      </c>
      <c r="N172" s="1" t="n">
        <v>0.021398306</v>
      </c>
      <c r="O172" s="1" t="n">
        <v>0.019545794</v>
      </c>
      <c r="P172" s="1" t="n">
        <v>0.021180868</v>
      </c>
      <c r="R172" s="1" t="n">
        <f aca="false">PERCENTILE(G172:P172,0.9)</f>
        <v>0.0216994045</v>
      </c>
      <c r="S172" s="5" t="n">
        <f aca="false">spmv_1!R$6/R172</f>
        <v>7.75295979205328</v>
      </c>
      <c r="T172" s="6" t="n">
        <f aca="false">S172/128</f>
        <v>0.0605699983754163</v>
      </c>
    </row>
    <row r="173" customFormat="false" ht="15" hidden="false" customHeight="false" outlineLevel="0" collapsed="false">
      <c r="A173" s="1" t="s">
        <v>16</v>
      </c>
      <c r="B173" s="1" t="n">
        <v>40</v>
      </c>
      <c r="D173" s="1" t="n">
        <v>866328</v>
      </c>
      <c r="E173" s="1" t="n">
        <v>0.079469</v>
      </c>
      <c r="G173" s="1" t="n">
        <v>0.024271011</v>
      </c>
      <c r="H173" s="1" t="n">
        <v>0.020210266</v>
      </c>
      <c r="I173" s="1" t="n">
        <v>0.022291422</v>
      </c>
      <c r="J173" s="1" t="n">
        <v>0.022485018</v>
      </c>
      <c r="K173" s="1" t="n">
        <v>0.020619392</v>
      </c>
      <c r="L173" s="1" t="n">
        <v>0.022508621</v>
      </c>
      <c r="M173" s="1" t="n">
        <v>0.020991325</v>
      </c>
      <c r="N173" s="1" t="n">
        <v>0.022301197</v>
      </c>
      <c r="O173" s="1" t="n">
        <v>0.020146847</v>
      </c>
      <c r="P173" s="1" t="n">
        <v>0.022204399</v>
      </c>
      <c r="R173" s="1" t="n">
        <f aca="false">PERCENTILE(G173:P173,0.9)</f>
        <v>0.02268486</v>
      </c>
      <c r="S173" s="5" t="n">
        <f aca="false">spmv_1!R$6/R173</f>
        <v>7.4161626124208</v>
      </c>
      <c r="T173" s="6" t="n">
        <f aca="false">S173/128</f>
        <v>0.0579387704095375</v>
      </c>
    </row>
    <row r="174" customFormat="false" ht="15" hidden="false" customHeight="false" outlineLevel="0" collapsed="false">
      <c r="A174" s="1" t="s">
        <v>16</v>
      </c>
      <c r="B174" s="1" t="n">
        <v>41</v>
      </c>
      <c r="D174" s="1" t="n">
        <v>866328</v>
      </c>
      <c r="E174" s="1" t="n">
        <v>0.084476</v>
      </c>
      <c r="G174" s="1" t="n">
        <v>0.023020983</v>
      </c>
      <c r="H174" s="1" t="n">
        <v>0.019151926</v>
      </c>
      <c r="I174" s="1" t="n">
        <v>0.021412611</v>
      </c>
      <c r="J174" s="1" t="n">
        <v>0.020652533</v>
      </c>
      <c r="K174" s="1" t="n">
        <v>0.019361496</v>
      </c>
      <c r="L174" s="1" t="n">
        <v>0.020138025</v>
      </c>
      <c r="M174" s="1" t="n">
        <v>0.019773006</v>
      </c>
      <c r="N174" s="1" t="n">
        <v>0.021184683</v>
      </c>
      <c r="O174" s="1" t="n">
        <v>0.019354343</v>
      </c>
      <c r="P174" s="1" t="n">
        <v>0.021056175</v>
      </c>
      <c r="R174" s="1" t="n">
        <f aca="false">PERCENTILE(G174:P174,0.9)</f>
        <v>0.0215734482</v>
      </c>
      <c r="S174" s="5" t="n">
        <f aca="false">spmv_1!R$6/R174</f>
        <v>7.79822534813883</v>
      </c>
      <c r="T174" s="6" t="n">
        <f aca="false">S174/128</f>
        <v>0.0609236355323346</v>
      </c>
    </row>
    <row r="175" customFormat="false" ht="15" hidden="false" customHeight="false" outlineLevel="0" collapsed="false">
      <c r="A175" s="1" t="s">
        <v>16</v>
      </c>
      <c r="B175" s="1" t="n">
        <v>42</v>
      </c>
      <c r="D175" s="1" t="n">
        <v>866436</v>
      </c>
      <c r="E175" s="1" t="n">
        <v>0.084898</v>
      </c>
      <c r="G175" s="1" t="n">
        <v>0.023091793</v>
      </c>
      <c r="H175" s="1" t="n">
        <v>0.018957376</v>
      </c>
      <c r="I175" s="1" t="n">
        <v>0.02134037</v>
      </c>
      <c r="J175" s="1" t="n">
        <v>0.02044034</v>
      </c>
      <c r="K175" s="1" t="n">
        <v>0.019209146</v>
      </c>
      <c r="L175" s="1" t="n">
        <v>0.020005226</v>
      </c>
      <c r="M175" s="1" t="n">
        <v>0.019686222</v>
      </c>
      <c r="N175" s="1" t="n">
        <v>0.021127939</v>
      </c>
      <c r="O175" s="1" t="n">
        <v>0.019315243</v>
      </c>
      <c r="P175" s="1" t="n">
        <v>0.020938158</v>
      </c>
      <c r="R175" s="1" t="n">
        <f aca="false">PERCENTILE(G175:P175,0.9)</f>
        <v>0.0215155123</v>
      </c>
      <c r="S175" s="5" t="n">
        <f aca="false">spmv_1!R$6/R175</f>
        <v>7.81922402098694</v>
      </c>
      <c r="T175" s="6" t="n">
        <f aca="false">S175/128</f>
        <v>0.0610876876639605</v>
      </c>
    </row>
    <row r="176" customFormat="false" ht="15" hidden="false" customHeight="false" outlineLevel="0" collapsed="false">
      <c r="A176" s="1" t="s">
        <v>16</v>
      </c>
      <c r="B176" s="1" t="n">
        <v>43</v>
      </c>
      <c r="D176" s="1" t="n">
        <v>866436</v>
      </c>
      <c r="E176" s="1" t="n">
        <v>0.079921</v>
      </c>
      <c r="G176" s="1" t="n">
        <v>0.024154425</v>
      </c>
      <c r="H176" s="1" t="n">
        <v>0.020073652</v>
      </c>
      <c r="I176" s="1" t="n">
        <v>0.022119045</v>
      </c>
      <c r="J176" s="1" t="n">
        <v>0.022352457</v>
      </c>
      <c r="K176" s="1" t="n">
        <v>0.020479918</v>
      </c>
      <c r="L176" s="1" t="n">
        <v>0.022355795</v>
      </c>
      <c r="M176" s="1" t="n">
        <v>0.020868778</v>
      </c>
      <c r="N176" s="1" t="n">
        <v>0.022219419</v>
      </c>
      <c r="O176" s="1" t="n">
        <v>0.020106792</v>
      </c>
      <c r="P176" s="1" t="n">
        <v>0.022093534</v>
      </c>
      <c r="R176" s="1" t="n">
        <f aca="false">PERCENTILE(G176:P176,0.9)</f>
        <v>0.022535658</v>
      </c>
      <c r="S176" s="5" t="n">
        <f aca="false">spmv_1!R$6/R176</f>
        <v>7.46526285587046</v>
      </c>
      <c r="T176" s="6" t="n">
        <f aca="false">S176/128</f>
        <v>0.058322366061488</v>
      </c>
    </row>
    <row r="177" customFormat="false" ht="15" hidden="false" customHeight="false" outlineLevel="0" collapsed="false">
      <c r="A177" s="1" t="s">
        <v>16</v>
      </c>
      <c r="B177" s="1" t="n">
        <v>44</v>
      </c>
      <c r="D177" s="1" t="n">
        <v>866388</v>
      </c>
      <c r="E177" s="1" t="n">
        <v>0.08048</v>
      </c>
      <c r="G177" s="1" t="n">
        <v>0.023925781</v>
      </c>
      <c r="H177" s="1" t="n">
        <v>0.019929886</v>
      </c>
      <c r="I177" s="1" t="n">
        <v>0.022018433</v>
      </c>
      <c r="J177" s="1" t="n">
        <v>0.022265196</v>
      </c>
      <c r="K177" s="1" t="n">
        <v>0.020223141</v>
      </c>
      <c r="L177" s="1" t="n">
        <v>0.022230148</v>
      </c>
      <c r="M177" s="1" t="n">
        <v>0.020751953</v>
      </c>
      <c r="N177" s="1" t="n">
        <v>0.022089243</v>
      </c>
      <c r="O177" s="1" t="n">
        <v>0.019961834</v>
      </c>
      <c r="P177" s="1" t="n">
        <v>0.021910191</v>
      </c>
      <c r="R177" s="1" t="n">
        <f aca="false">PERCENTILE(G177:P177,0.9)</f>
        <v>0.0224312545</v>
      </c>
      <c r="S177" s="5" t="n">
        <f aca="false">spmv_1!R$6/R177</f>
        <v>7.50000899860505</v>
      </c>
      <c r="T177" s="6" t="n">
        <f aca="false">S177/128</f>
        <v>0.0585938203016019</v>
      </c>
    </row>
    <row r="178" customFormat="false" ht="15" hidden="false" customHeight="false" outlineLevel="0" collapsed="false">
      <c r="A178" s="1" t="s">
        <v>16</v>
      </c>
      <c r="B178" s="1" t="n">
        <v>45</v>
      </c>
      <c r="D178" s="1" t="n">
        <v>866388</v>
      </c>
      <c r="E178" s="1" t="n">
        <v>0.081036</v>
      </c>
      <c r="G178" s="1" t="n">
        <v>0.023848772</v>
      </c>
      <c r="H178" s="1" t="n">
        <v>0.01981473</v>
      </c>
      <c r="I178" s="1" t="n">
        <v>0.021878004</v>
      </c>
      <c r="J178" s="1" t="n">
        <v>0.021961927</v>
      </c>
      <c r="K178" s="1" t="n">
        <v>0.02000761</v>
      </c>
      <c r="L178" s="1" t="n">
        <v>0.02215457</v>
      </c>
      <c r="M178" s="1" t="n">
        <v>0.020608664</v>
      </c>
      <c r="N178" s="1" t="n">
        <v>0.0219419</v>
      </c>
      <c r="O178" s="1" t="n">
        <v>0.01984024</v>
      </c>
      <c r="P178" s="1" t="n">
        <v>0.021772385</v>
      </c>
      <c r="R178" s="1" t="n">
        <f aca="false">PERCENTILE(G178:P178,0.9)</f>
        <v>0.0223239902</v>
      </c>
      <c r="S178" s="5" t="n">
        <f aca="false">spmv_1!R$6/R178</f>
        <v>7.5360457110396</v>
      </c>
      <c r="T178" s="6" t="n">
        <f aca="false">S178/128</f>
        <v>0.0588753571174969</v>
      </c>
    </row>
    <row r="179" customFormat="false" ht="15" hidden="false" customHeight="false" outlineLevel="0" collapsed="false">
      <c r="A179" s="1" t="s">
        <v>16</v>
      </c>
      <c r="B179" s="1" t="n">
        <v>46</v>
      </c>
      <c r="D179" s="1" t="n">
        <v>866374</v>
      </c>
      <c r="E179" s="1" t="n">
        <v>0.086443</v>
      </c>
      <c r="G179" s="1" t="n">
        <v>0.022711992</v>
      </c>
      <c r="H179" s="1" t="n">
        <v>0.01872468</v>
      </c>
      <c r="I179" s="1" t="n">
        <v>0.020969868</v>
      </c>
      <c r="J179" s="1" t="n">
        <v>0.019906282</v>
      </c>
      <c r="K179" s="1" t="n">
        <v>0.018735647</v>
      </c>
      <c r="L179" s="1" t="n">
        <v>0.019662857</v>
      </c>
      <c r="M179" s="1" t="n">
        <v>0.019292355</v>
      </c>
      <c r="N179" s="1" t="n">
        <v>0.020817518</v>
      </c>
      <c r="O179" s="1" t="n">
        <v>0.019005537</v>
      </c>
      <c r="P179" s="1" t="n">
        <v>0.020622253</v>
      </c>
      <c r="R179" s="1" t="n">
        <f aca="false">PERCENTILE(G179:P179,0.9)</f>
        <v>0.0211440804</v>
      </c>
      <c r="S179" s="5" t="n">
        <f aca="false">spmv_1!R$6/R179</f>
        <v>7.95658205121089</v>
      </c>
      <c r="T179" s="6" t="n">
        <f aca="false">S179/128</f>
        <v>0.0621607972750851</v>
      </c>
    </row>
    <row r="180" customFormat="false" ht="15" hidden="false" customHeight="false" outlineLevel="0" collapsed="false">
      <c r="A180" s="1" t="s">
        <v>16</v>
      </c>
      <c r="B180" s="1" t="n">
        <v>47</v>
      </c>
      <c r="D180" s="1" t="n">
        <v>866374</v>
      </c>
      <c r="E180" s="1" t="n">
        <v>0.081231</v>
      </c>
      <c r="G180" s="1" t="n">
        <v>0.024561644</v>
      </c>
      <c r="H180" s="1" t="n">
        <v>0.020168304</v>
      </c>
      <c r="I180" s="1" t="n">
        <v>0.023099184</v>
      </c>
      <c r="J180" s="1" t="n">
        <v>0.02075243</v>
      </c>
      <c r="K180" s="1" t="n">
        <v>0.020051479</v>
      </c>
      <c r="L180" s="1" t="n">
        <v>0.020448446</v>
      </c>
      <c r="M180" s="1" t="n">
        <v>0.02115202</v>
      </c>
      <c r="N180" s="1" t="n">
        <v>0.02159071</v>
      </c>
      <c r="O180" s="1" t="n">
        <v>0.020241737</v>
      </c>
      <c r="P180" s="1" t="n">
        <v>0.021244526</v>
      </c>
      <c r="R180" s="1" t="n">
        <f aca="false">PERCENTILE(G180:P180,0.9)</f>
        <v>0.02324543</v>
      </c>
      <c r="S180" s="5" t="n">
        <f aca="false">spmv_1!R$6/R180</f>
        <v>7.23731979146009</v>
      </c>
      <c r="T180" s="6" t="n">
        <f aca="false">S180/128</f>
        <v>0.0565415608707819</v>
      </c>
    </row>
    <row r="181" customFormat="false" ht="15" hidden="false" customHeight="false" outlineLevel="0" collapsed="false">
      <c r="A181" s="1" t="s">
        <v>16</v>
      </c>
      <c r="B181" s="1" t="n">
        <v>48</v>
      </c>
      <c r="D181" s="1" t="n">
        <v>866456</v>
      </c>
      <c r="E181" s="1" t="n">
        <v>0.081404</v>
      </c>
      <c r="G181" s="1" t="n">
        <v>0.024480104</v>
      </c>
      <c r="H181" s="1" t="n">
        <v>0.02015233</v>
      </c>
      <c r="I181" s="1" t="n">
        <v>0.023095608</v>
      </c>
      <c r="J181" s="1" t="n">
        <v>0.020715475</v>
      </c>
      <c r="K181" s="1" t="n">
        <v>0.019954681</v>
      </c>
      <c r="L181" s="1" t="n">
        <v>0.02045393</v>
      </c>
      <c r="M181" s="1" t="n">
        <v>0.020979643</v>
      </c>
      <c r="N181" s="1" t="n">
        <v>0.021606207</v>
      </c>
      <c r="O181" s="1" t="n">
        <v>0.020211697</v>
      </c>
      <c r="P181" s="1" t="n">
        <v>0.021229029</v>
      </c>
      <c r="R181" s="1" t="n">
        <f aca="false">PERCENTILE(G181:P181,0.9)</f>
        <v>0.0232340576</v>
      </c>
      <c r="S181" s="5" t="n">
        <f aca="false">spmv_1!R$6/R181</f>
        <v>7.24086225042328</v>
      </c>
      <c r="T181" s="6" t="n">
        <f aca="false">S181/128</f>
        <v>0.0565692363314318</v>
      </c>
    </row>
    <row r="182" customFormat="false" ht="15" hidden="false" customHeight="false" outlineLevel="0" collapsed="false">
      <c r="A182" s="1" t="s">
        <v>16</v>
      </c>
      <c r="B182" s="1" t="n">
        <v>49</v>
      </c>
      <c r="D182" s="1" t="n">
        <v>866456</v>
      </c>
      <c r="E182" s="1" t="n">
        <v>0.08704</v>
      </c>
      <c r="G182" s="1" t="n">
        <v>0.022629738</v>
      </c>
      <c r="H182" s="1" t="n">
        <v>0.018442392</v>
      </c>
      <c r="I182" s="1" t="n">
        <v>0.02092123</v>
      </c>
      <c r="J182" s="1" t="n">
        <v>0.019776106</v>
      </c>
      <c r="K182" s="1" t="n">
        <v>0.018589973</v>
      </c>
      <c r="L182" s="1" t="n">
        <v>0.01956749</v>
      </c>
      <c r="M182" s="1" t="n">
        <v>0.019077778</v>
      </c>
      <c r="N182" s="1" t="n">
        <v>0.020710707</v>
      </c>
      <c r="O182" s="1" t="n">
        <v>0.018921375</v>
      </c>
      <c r="P182" s="1" t="n">
        <v>0.020457268</v>
      </c>
      <c r="R182" s="1" t="n">
        <f aca="false">PERCENTILE(G182:P182,0.9)</f>
        <v>0.0210920808</v>
      </c>
      <c r="S182" s="5" t="n">
        <f aca="false">spmv_1!R$6/R182</f>
        <v>7.976197900778</v>
      </c>
      <c r="T182" s="6" t="n">
        <f aca="false">S182/128</f>
        <v>0.0623140460998281</v>
      </c>
    </row>
    <row r="183" customFormat="false" ht="15" hidden="false" customHeight="false" outlineLevel="0" collapsed="false">
      <c r="A183" s="1" t="s">
        <v>16</v>
      </c>
      <c r="B183" s="1" t="n">
        <v>50</v>
      </c>
      <c r="D183" s="1" t="n">
        <v>866212</v>
      </c>
      <c r="E183" s="1" t="n">
        <v>0.087809</v>
      </c>
      <c r="G183" s="1" t="n">
        <v>0.022281408</v>
      </c>
      <c r="H183" s="1" t="n">
        <v>0.018271208</v>
      </c>
      <c r="I183" s="1" t="n">
        <v>0.020786524</v>
      </c>
      <c r="J183" s="1" t="n">
        <v>0.019598961</v>
      </c>
      <c r="K183" s="1" t="n">
        <v>0.018380642</v>
      </c>
      <c r="L183" s="1" t="n">
        <v>0.019455433</v>
      </c>
      <c r="M183" s="1" t="n">
        <v>0.018847227</v>
      </c>
      <c r="N183" s="1" t="n">
        <v>0.020633698</v>
      </c>
      <c r="O183" s="1" t="n">
        <v>0.018713236</v>
      </c>
      <c r="P183" s="1" t="n">
        <v>0.020325184</v>
      </c>
      <c r="R183" s="1" t="n">
        <f aca="false">PERCENTILE(G183:P183,0.9)</f>
        <v>0.0209360124</v>
      </c>
      <c r="S183" s="5" t="n">
        <f aca="false">spmv_1!R$6/R183</f>
        <v>8.03565680922123</v>
      </c>
      <c r="T183" s="6" t="n">
        <f aca="false">S183/128</f>
        <v>0.0627785688220408</v>
      </c>
    </row>
    <row r="184" customFormat="false" ht="15" hidden="false" customHeight="false" outlineLevel="0" collapsed="false">
      <c r="A184" s="1" t="s">
        <v>16</v>
      </c>
      <c r="B184" s="1" t="n">
        <v>51</v>
      </c>
      <c r="D184" s="1" t="n">
        <v>866212</v>
      </c>
      <c r="E184" s="1" t="n">
        <v>0.081648</v>
      </c>
      <c r="G184" s="1" t="n">
        <v>0.023653507</v>
      </c>
      <c r="H184" s="1" t="n">
        <v>0.019501209</v>
      </c>
      <c r="I184" s="1" t="n">
        <v>0.021783829</v>
      </c>
      <c r="J184" s="1" t="n">
        <v>0.021928787</v>
      </c>
      <c r="K184" s="1" t="n">
        <v>0.019939423</v>
      </c>
      <c r="L184" s="1" t="n">
        <v>0.022162914</v>
      </c>
      <c r="M184" s="1" t="n">
        <v>0.020200968</v>
      </c>
      <c r="N184" s="1" t="n">
        <v>0.021801949</v>
      </c>
      <c r="O184" s="1" t="n">
        <v>0.019673586</v>
      </c>
      <c r="P184" s="1" t="n">
        <v>0.02153635</v>
      </c>
      <c r="R184" s="1" t="n">
        <f aca="false">PERCENTILE(G184:P184,0.9)</f>
        <v>0.0223119733</v>
      </c>
      <c r="S184" s="5" t="n">
        <f aca="false">spmv_1!R$6/R184</f>
        <v>7.54010451419821</v>
      </c>
      <c r="T184" s="6" t="n">
        <f aca="false">S184/128</f>
        <v>0.0589070665171735</v>
      </c>
    </row>
    <row r="185" customFormat="false" ht="15" hidden="false" customHeight="false" outlineLevel="0" collapsed="false">
      <c r="A185" s="1" t="s">
        <v>16</v>
      </c>
      <c r="B185" s="1" t="n">
        <v>52</v>
      </c>
      <c r="D185" s="1" t="n">
        <v>866122</v>
      </c>
      <c r="E185" s="1" t="n">
        <v>0.081695</v>
      </c>
      <c r="G185" s="1" t="n">
        <v>0.024354935</v>
      </c>
      <c r="H185" s="1" t="n">
        <v>0.019887924</v>
      </c>
      <c r="I185" s="1" t="n">
        <v>0.023080826</v>
      </c>
      <c r="J185" s="1" t="n">
        <v>0.020656824</v>
      </c>
      <c r="K185" s="1" t="n">
        <v>0.019973755</v>
      </c>
      <c r="L185" s="1" t="n">
        <v>0.020612955</v>
      </c>
      <c r="M185" s="1" t="n">
        <v>0.020837545</v>
      </c>
      <c r="N185" s="1" t="n">
        <v>0.021472931</v>
      </c>
      <c r="O185" s="1" t="n">
        <v>0.020032406</v>
      </c>
      <c r="P185" s="1" t="n">
        <v>0.021127224</v>
      </c>
      <c r="R185" s="1" t="n">
        <f aca="false">PERCENTILE(G185:P185,0.9)</f>
        <v>0.0232082369</v>
      </c>
      <c r="S185" s="5" t="n">
        <f aca="false">spmv_1!R$6/R185</f>
        <v>7.24891818904175</v>
      </c>
      <c r="T185" s="6" t="n">
        <f aca="false">S185/128</f>
        <v>0.0566321733518887</v>
      </c>
    </row>
    <row r="186" customFormat="false" ht="15" hidden="false" customHeight="false" outlineLevel="0" collapsed="false">
      <c r="A186" s="1" t="s">
        <v>16</v>
      </c>
      <c r="B186" s="1" t="n">
        <v>53</v>
      </c>
      <c r="D186" s="1" t="n">
        <v>866122</v>
      </c>
      <c r="E186" s="1" t="n">
        <v>0.081732</v>
      </c>
      <c r="G186" s="1" t="n">
        <v>0.024304867</v>
      </c>
      <c r="H186" s="1" t="n">
        <v>0.019903898</v>
      </c>
      <c r="I186" s="1" t="n">
        <v>0.023027658</v>
      </c>
      <c r="J186" s="1" t="n">
        <v>0.020536184</v>
      </c>
      <c r="K186" s="1" t="n">
        <v>0.020098209</v>
      </c>
      <c r="L186" s="1" t="n">
        <v>0.020656347</v>
      </c>
      <c r="M186" s="1" t="n">
        <v>0.020864248</v>
      </c>
      <c r="N186" s="1" t="n">
        <v>0.021439075</v>
      </c>
      <c r="O186" s="1" t="n">
        <v>0.020031214</v>
      </c>
      <c r="P186" s="1" t="n">
        <v>0.02107954</v>
      </c>
      <c r="R186" s="1" t="n">
        <f aca="false">PERCENTILE(G186:P186,0.9)</f>
        <v>0.0231553789</v>
      </c>
      <c r="S186" s="5" t="n">
        <f aca="false">spmv_1!R$6/R186</f>
        <v>7.26546567545047</v>
      </c>
      <c r="T186" s="6" t="n">
        <f aca="false">S186/128</f>
        <v>0.0567614505894568</v>
      </c>
    </row>
    <row r="187" customFormat="false" ht="15" hidden="false" customHeight="false" outlineLevel="0" collapsed="false">
      <c r="A187" s="1" t="s">
        <v>16</v>
      </c>
      <c r="B187" s="1" t="n">
        <v>54</v>
      </c>
      <c r="D187" s="1" t="n">
        <v>866452</v>
      </c>
      <c r="E187" s="1" t="n">
        <v>0.079411</v>
      </c>
      <c r="G187" s="1" t="n">
        <v>0.023817062</v>
      </c>
      <c r="H187" s="1" t="n">
        <v>0.019083261</v>
      </c>
      <c r="I187" s="1" t="n">
        <v>0.022587776</v>
      </c>
      <c r="J187" s="1" t="n">
        <v>0.022256374</v>
      </c>
      <c r="K187" s="1" t="n">
        <v>0.022136211</v>
      </c>
      <c r="L187" s="1" t="n">
        <v>0.021818638</v>
      </c>
      <c r="M187" s="1" t="n">
        <v>0.021741152</v>
      </c>
      <c r="N187" s="1" t="n">
        <v>0.021713495</v>
      </c>
      <c r="O187" s="1" t="n">
        <v>0.021619081</v>
      </c>
      <c r="P187" s="1" t="n">
        <v>0.021446228</v>
      </c>
      <c r="R187" s="1" t="n">
        <f aca="false">PERCENTILE(G187:P187,0.9)</f>
        <v>0.0227107046</v>
      </c>
      <c r="S187" s="5" t="n">
        <f aca="false">spmv_1!R$6/R187</f>
        <v>7.40772307874587</v>
      </c>
      <c r="T187" s="6" t="n">
        <f aca="false">S187/128</f>
        <v>0.0578728365527021</v>
      </c>
    </row>
    <row r="188" customFormat="false" ht="15" hidden="false" customHeight="false" outlineLevel="0" collapsed="false">
      <c r="A188" s="1" t="s">
        <v>16</v>
      </c>
      <c r="B188" s="1" t="n">
        <v>55</v>
      </c>
      <c r="D188" s="1" t="n">
        <v>866452</v>
      </c>
      <c r="E188" s="1" t="n">
        <v>0.08219</v>
      </c>
      <c r="G188" s="1" t="n">
        <v>0.024212599</v>
      </c>
      <c r="H188" s="1" t="n">
        <v>0.019736767</v>
      </c>
      <c r="I188" s="1" t="n">
        <v>0.023004293</v>
      </c>
      <c r="J188" s="1" t="n">
        <v>0.020370245</v>
      </c>
      <c r="K188" s="1" t="n">
        <v>0.020178318</v>
      </c>
      <c r="L188" s="1" t="n">
        <v>0.020807028</v>
      </c>
      <c r="M188" s="1" t="n">
        <v>0.020753384</v>
      </c>
      <c r="N188" s="1" t="n">
        <v>0.021210909</v>
      </c>
      <c r="O188" s="1" t="n">
        <v>0.019554377</v>
      </c>
      <c r="P188" s="1" t="n">
        <v>0.021014452</v>
      </c>
      <c r="R188" s="1" t="n">
        <f aca="false">PERCENTILE(G188:P188,0.9)</f>
        <v>0.0231251236</v>
      </c>
      <c r="S188" s="5" t="n">
        <f aca="false">spmv_1!R$6/R188</f>
        <v>7.27497130436959</v>
      </c>
      <c r="T188" s="6" t="n">
        <f aca="false">S188/128</f>
        <v>0.0568357133153874</v>
      </c>
    </row>
    <row r="189" customFormat="false" ht="15" hidden="false" customHeight="false" outlineLevel="0" collapsed="false">
      <c r="A189" s="1" t="s">
        <v>16</v>
      </c>
      <c r="B189" s="1" t="n">
        <v>56</v>
      </c>
      <c r="D189" s="1" t="n">
        <v>866524</v>
      </c>
      <c r="E189" s="1" t="n">
        <v>0.082192</v>
      </c>
      <c r="G189" s="1" t="n">
        <v>0.02335763</v>
      </c>
      <c r="H189" s="1" t="n">
        <v>0.019183874</v>
      </c>
      <c r="I189" s="1" t="n">
        <v>0.021734953</v>
      </c>
      <c r="J189" s="1" t="n">
        <v>0.021640062</v>
      </c>
      <c r="K189" s="1" t="n">
        <v>0.020311356</v>
      </c>
      <c r="L189" s="1" t="n">
        <v>0.022451639</v>
      </c>
      <c r="M189" s="1" t="n">
        <v>0.019955873</v>
      </c>
      <c r="N189" s="1" t="n">
        <v>0.021553516</v>
      </c>
      <c r="O189" s="1" t="n">
        <v>0.019189119</v>
      </c>
      <c r="P189" s="1" t="n">
        <v>0.021474838</v>
      </c>
      <c r="R189" s="1" t="n">
        <f aca="false">PERCENTILE(G189:P189,0.9)</f>
        <v>0.0225422381</v>
      </c>
      <c r="S189" s="5" t="n">
        <f aca="false">spmv_1!R$6/R189</f>
        <v>7.46308373878812</v>
      </c>
      <c r="T189" s="6" t="n">
        <f aca="false">S189/128</f>
        <v>0.0583053417092822</v>
      </c>
    </row>
    <row r="190" customFormat="false" ht="15" hidden="false" customHeight="false" outlineLevel="0" collapsed="false">
      <c r="A190" s="1" t="s">
        <v>16</v>
      </c>
      <c r="B190" s="1" t="n">
        <v>57</v>
      </c>
      <c r="D190" s="1" t="n">
        <v>866524</v>
      </c>
      <c r="E190" s="1" t="n">
        <v>0.087724</v>
      </c>
      <c r="G190" s="1" t="n">
        <v>0.022081614</v>
      </c>
      <c r="H190" s="1" t="n">
        <v>0.018160343</v>
      </c>
      <c r="I190" s="1" t="n">
        <v>0.02078867</v>
      </c>
      <c r="J190" s="1" t="n">
        <v>0.019512177</v>
      </c>
      <c r="K190" s="1" t="n">
        <v>0.019103527</v>
      </c>
      <c r="L190" s="1" t="n">
        <v>0.020275831</v>
      </c>
      <c r="M190" s="1" t="n">
        <v>0.01866293</v>
      </c>
      <c r="N190" s="1" t="n">
        <v>0.020516396</v>
      </c>
      <c r="O190" s="1" t="n">
        <v>0.018118143</v>
      </c>
      <c r="P190" s="1" t="n">
        <v>0.020336866</v>
      </c>
      <c r="R190" s="1" t="n">
        <f aca="false">PERCENTILE(G190:P190,0.9)</f>
        <v>0.0209179644</v>
      </c>
      <c r="S190" s="5" t="n">
        <f aca="false">spmv_1!R$6/R190</f>
        <v>8.04258996635447</v>
      </c>
      <c r="T190" s="6" t="n">
        <f aca="false">S190/128</f>
        <v>0.0628327341121443</v>
      </c>
    </row>
    <row r="191" customFormat="false" ht="15" hidden="false" customHeight="false" outlineLevel="0" collapsed="false">
      <c r="A191" s="1" t="s">
        <v>16</v>
      </c>
      <c r="B191" s="1" t="n">
        <v>58</v>
      </c>
      <c r="D191" s="1" t="n">
        <v>866318</v>
      </c>
      <c r="E191" s="1" t="n">
        <v>0.08663</v>
      </c>
      <c r="G191" s="1" t="n">
        <v>0.022029161</v>
      </c>
      <c r="H191" s="1" t="n">
        <v>0.018086195</v>
      </c>
      <c r="I191" s="1" t="n">
        <v>0.020741701</v>
      </c>
      <c r="J191" s="1" t="n">
        <v>0.021650791</v>
      </c>
      <c r="K191" s="1" t="n">
        <v>0.019238949</v>
      </c>
      <c r="L191" s="1" t="n">
        <v>0.020401478</v>
      </c>
      <c r="M191" s="1" t="n">
        <v>0.018622875</v>
      </c>
      <c r="N191" s="1" t="n">
        <v>0.02065444</v>
      </c>
      <c r="O191" s="1" t="n">
        <v>0.018069744</v>
      </c>
      <c r="P191" s="1" t="n">
        <v>0.020508051</v>
      </c>
      <c r="R191" s="1" t="n">
        <f aca="false">PERCENTILE(G191:P191,0.9)</f>
        <v>0.021688628</v>
      </c>
      <c r="S191" s="5" t="n">
        <f aca="false">spmv_1!R$6/R191</f>
        <v>7.75681203071029</v>
      </c>
      <c r="T191" s="6" t="n">
        <f aca="false">S191/128</f>
        <v>0.0606000939899241</v>
      </c>
    </row>
    <row r="192" customFormat="false" ht="15" hidden="false" customHeight="false" outlineLevel="0" collapsed="false">
      <c r="A192" s="1" t="s">
        <v>16</v>
      </c>
      <c r="B192" s="1" t="n">
        <v>59</v>
      </c>
      <c r="D192" s="1" t="n">
        <v>866318</v>
      </c>
      <c r="E192" s="1" t="n">
        <v>0.082265</v>
      </c>
      <c r="G192" s="1" t="n">
        <v>0.023944855</v>
      </c>
      <c r="H192" s="1" t="n">
        <v>0.019613504</v>
      </c>
      <c r="I192" s="1" t="n">
        <v>0.022628546</v>
      </c>
      <c r="J192" s="1" t="n">
        <v>0.020535946</v>
      </c>
      <c r="K192" s="1" t="n">
        <v>0.020377874</v>
      </c>
      <c r="L192" s="1" t="n">
        <v>0.021155834</v>
      </c>
      <c r="M192" s="1" t="n">
        <v>0.020475149</v>
      </c>
      <c r="N192" s="1" t="n">
        <v>0.021499395</v>
      </c>
      <c r="O192" s="1" t="n">
        <v>0.019148827</v>
      </c>
      <c r="P192" s="1" t="n">
        <v>0.021237373</v>
      </c>
      <c r="R192" s="1" t="n">
        <f aca="false">PERCENTILE(G192:P192,0.9)</f>
        <v>0.0227601769</v>
      </c>
      <c r="S192" s="5" t="n">
        <f aca="false">spmv_1!R$6/R192</f>
        <v>7.39162139816233</v>
      </c>
      <c r="T192" s="6" t="n">
        <f aca="false">S192/128</f>
        <v>0.0577470421731432</v>
      </c>
    </row>
    <row r="193" customFormat="false" ht="15" hidden="false" customHeight="false" outlineLevel="0" collapsed="false">
      <c r="A193" s="1" t="s">
        <v>16</v>
      </c>
      <c r="B193" s="1" t="n">
        <v>60</v>
      </c>
      <c r="D193" s="1" t="n">
        <v>866184</v>
      </c>
      <c r="E193" s="1" t="n">
        <v>0.079088</v>
      </c>
      <c r="G193" s="1" t="n">
        <v>0.02361536</v>
      </c>
      <c r="H193" s="1" t="n">
        <v>0.019013643</v>
      </c>
      <c r="I193" s="1" t="n">
        <v>0.022024155</v>
      </c>
      <c r="J193" s="1" t="n">
        <v>0.022320747</v>
      </c>
      <c r="K193" s="1" t="n">
        <v>0.022521973</v>
      </c>
      <c r="L193" s="1" t="n">
        <v>0.022358179</v>
      </c>
      <c r="M193" s="1" t="n">
        <v>0.021611691</v>
      </c>
      <c r="N193" s="1" t="n">
        <v>0.022186756</v>
      </c>
      <c r="O193" s="1" t="n">
        <v>0.021369934</v>
      </c>
      <c r="P193" s="1" t="n">
        <v>0.02202177</v>
      </c>
      <c r="R193" s="1" t="n">
        <f aca="false">PERCENTILE(G193:P193,0.9)</f>
        <v>0.0226313117</v>
      </c>
      <c r="S193" s="5" t="n">
        <f aca="false">spmv_1!R$6/R193</f>
        <v>7.433710110581</v>
      </c>
      <c r="T193" s="6" t="n">
        <f aca="false">S193/128</f>
        <v>0.058075860238914</v>
      </c>
    </row>
    <row r="194" customFormat="false" ht="15" hidden="false" customHeight="false" outlineLevel="0" collapsed="false">
      <c r="A194" s="1" t="s">
        <v>16</v>
      </c>
      <c r="B194" s="1" t="n">
        <v>61</v>
      </c>
      <c r="D194" s="1" t="n">
        <v>866184</v>
      </c>
      <c r="E194" s="1" t="n">
        <v>0.07889</v>
      </c>
      <c r="G194" s="1" t="n">
        <v>0.023655653</v>
      </c>
      <c r="H194" s="1" t="n">
        <v>0.018897057</v>
      </c>
      <c r="I194" s="1" t="n">
        <v>0.022158623</v>
      </c>
      <c r="J194" s="1" t="n">
        <v>0.022365093</v>
      </c>
      <c r="K194" s="1" t="n">
        <v>0.022664547</v>
      </c>
      <c r="L194" s="1" t="n">
        <v>0.022491217</v>
      </c>
      <c r="M194" s="1" t="n">
        <v>0.021775007</v>
      </c>
      <c r="N194" s="1" t="n">
        <v>0.022249222</v>
      </c>
      <c r="O194" s="1" t="n">
        <v>0.021247149</v>
      </c>
      <c r="P194" s="1" t="n">
        <v>0.022090435</v>
      </c>
      <c r="R194" s="1" t="n">
        <f aca="false">PERCENTILE(G194:P194,0.9)</f>
        <v>0.0227636576</v>
      </c>
      <c r="S194" s="5" t="n">
        <f aca="false">spmv_1!R$6/R194</f>
        <v>7.39049117484529</v>
      </c>
      <c r="T194" s="6" t="n">
        <f aca="false">S194/128</f>
        <v>0.0577382123034789</v>
      </c>
    </row>
    <row r="195" customFormat="false" ht="15" hidden="false" customHeight="false" outlineLevel="0" collapsed="false">
      <c r="A195" s="1" t="s">
        <v>16</v>
      </c>
      <c r="B195" s="1" t="n">
        <v>62</v>
      </c>
      <c r="D195" s="1" t="n">
        <v>865884</v>
      </c>
      <c r="E195" s="1" t="n">
        <v>0.08732</v>
      </c>
      <c r="G195" s="1" t="n">
        <v>0.021905899</v>
      </c>
      <c r="H195" s="1" t="n">
        <v>0.017905951</v>
      </c>
      <c r="I195" s="1" t="n">
        <v>0.020341158</v>
      </c>
      <c r="J195" s="1" t="n">
        <v>0.019757271</v>
      </c>
      <c r="K195" s="1" t="n">
        <v>0.019476891</v>
      </c>
      <c r="L195" s="1" t="n">
        <v>0.020691872</v>
      </c>
      <c r="M195" s="1" t="n">
        <v>0.018876314</v>
      </c>
      <c r="N195" s="1" t="n">
        <v>0.020914555</v>
      </c>
      <c r="O195" s="1" t="n">
        <v>0.017676115</v>
      </c>
      <c r="P195" s="1" t="n">
        <v>0.020778656</v>
      </c>
      <c r="R195" s="1" t="n">
        <f aca="false">PERCENTILE(G195:P195,0.9)</f>
        <v>0.0210136894</v>
      </c>
      <c r="S195" s="5" t="n">
        <f aca="false">spmv_1!R$6/R195</f>
        <v>8.00595304316243</v>
      </c>
      <c r="T195" s="6" t="n">
        <f aca="false">S195/128</f>
        <v>0.0625465081497064</v>
      </c>
    </row>
    <row r="196" customFormat="false" ht="15" hidden="false" customHeight="false" outlineLevel="0" collapsed="false">
      <c r="A196" s="1" t="s">
        <v>16</v>
      </c>
      <c r="B196" s="1" t="n">
        <v>63</v>
      </c>
      <c r="D196" s="1" t="n">
        <v>865884</v>
      </c>
      <c r="E196" s="1" t="n">
        <v>0.078624</v>
      </c>
      <c r="G196" s="1" t="n">
        <v>0.023663282</v>
      </c>
      <c r="H196" s="1" t="n">
        <v>0.019044638</v>
      </c>
      <c r="I196" s="1" t="n">
        <v>0.022232294</v>
      </c>
      <c r="J196" s="1" t="n">
        <v>0.022432327</v>
      </c>
      <c r="K196" s="1" t="n">
        <v>0.022749186</v>
      </c>
      <c r="L196" s="1" t="n">
        <v>0.022578716</v>
      </c>
      <c r="M196" s="1" t="n">
        <v>0.02182889</v>
      </c>
      <c r="N196" s="1" t="n">
        <v>0.02237463</v>
      </c>
      <c r="O196" s="1" t="n">
        <v>0.021160364</v>
      </c>
      <c r="P196" s="1" t="n">
        <v>0.022196293</v>
      </c>
      <c r="R196" s="1" t="n">
        <f aca="false">PERCENTILE(G196:P196,0.9)</f>
        <v>0.0228405956</v>
      </c>
      <c r="S196" s="5" t="n">
        <f aca="false">spmv_1!R$6/R196</f>
        <v>7.36559648208123</v>
      </c>
      <c r="T196" s="6" t="n">
        <f aca="false">S196/128</f>
        <v>0.0575437225162596</v>
      </c>
    </row>
    <row r="197" customFormat="false" ht="15" hidden="false" customHeight="false" outlineLevel="0" collapsed="false">
      <c r="A197" s="1" t="s">
        <v>16</v>
      </c>
      <c r="B197" s="1" t="n">
        <v>64</v>
      </c>
      <c r="D197" s="1" t="n">
        <v>866364</v>
      </c>
      <c r="E197" s="1" t="n">
        <v>0.086739</v>
      </c>
      <c r="G197" s="1" t="n">
        <v>0.021814823</v>
      </c>
      <c r="H197" s="1" t="n">
        <v>0.018166304</v>
      </c>
      <c r="I197" s="1" t="n">
        <v>0.02048564</v>
      </c>
      <c r="J197" s="1" t="n">
        <v>0.019920826</v>
      </c>
      <c r="K197" s="1" t="n">
        <v>0.01962471</v>
      </c>
      <c r="L197" s="1" t="n">
        <v>0.020849228</v>
      </c>
      <c r="M197" s="1" t="n">
        <v>0.019046068</v>
      </c>
      <c r="N197" s="1" t="n">
        <v>0.021154642</v>
      </c>
      <c r="O197" s="1" t="n">
        <v>0.017680168</v>
      </c>
      <c r="P197" s="1" t="n">
        <v>0.021020412</v>
      </c>
      <c r="R197" s="1" t="n">
        <f aca="false">PERCENTILE(G197:P197,0.9)</f>
        <v>0.0212206601</v>
      </c>
      <c r="S197" s="5" t="n">
        <f aca="false">spmv_1!R$6/R197</f>
        <v>7.92786886963992</v>
      </c>
      <c r="T197" s="6" t="n">
        <f aca="false">S197/128</f>
        <v>0.0619364755440619</v>
      </c>
    </row>
    <row r="198" customFormat="false" ht="15" hidden="false" customHeight="false" outlineLevel="0" collapsed="false">
      <c r="A198" s="1" t="s">
        <v>16</v>
      </c>
      <c r="B198" s="1" t="n">
        <v>65</v>
      </c>
      <c r="D198" s="1" t="n">
        <v>866364</v>
      </c>
      <c r="E198" s="1" t="n">
        <v>0.08134</v>
      </c>
      <c r="G198" s="1" t="n">
        <v>0.023159981</v>
      </c>
      <c r="H198" s="1" t="n">
        <v>0.019417048</v>
      </c>
      <c r="I198" s="1" t="n">
        <v>0.021378994</v>
      </c>
      <c r="J198" s="1" t="n">
        <v>0.022075653</v>
      </c>
      <c r="K198" s="1" t="n">
        <v>0.020845413</v>
      </c>
      <c r="L198" s="1" t="n">
        <v>0.022881269</v>
      </c>
      <c r="M198" s="1" t="n">
        <v>0.020366669</v>
      </c>
      <c r="N198" s="1" t="n">
        <v>0.022297621</v>
      </c>
      <c r="O198" s="1" t="n">
        <v>0.018469334</v>
      </c>
      <c r="P198" s="1" t="n">
        <v>0.022131681</v>
      </c>
      <c r="R198" s="1" t="n">
        <f aca="false">PERCENTILE(G198:P198,0.9)</f>
        <v>0.0229091402</v>
      </c>
      <c r="S198" s="5" t="n">
        <f aca="false">spmv_1!R$6/R198</f>
        <v>7.34355847191507</v>
      </c>
      <c r="T198" s="6" t="n">
        <f aca="false">S198/128</f>
        <v>0.0573715505618364</v>
      </c>
    </row>
    <row r="199" customFormat="false" ht="15" hidden="false" customHeight="false" outlineLevel="0" collapsed="false">
      <c r="A199" s="1" t="s">
        <v>16</v>
      </c>
      <c r="B199" s="1" t="n">
        <v>66</v>
      </c>
      <c r="D199" s="1" t="n">
        <v>866118</v>
      </c>
      <c r="E199" s="1" t="n">
        <v>0.080744</v>
      </c>
      <c r="G199" s="1" t="n">
        <v>0.022969246</v>
      </c>
      <c r="H199" s="1" t="n">
        <v>0.019393444</v>
      </c>
      <c r="I199" s="1" t="n">
        <v>0.021042109</v>
      </c>
      <c r="J199" s="1" t="n">
        <v>0.022022247</v>
      </c>
      <c r="K199" s="1" t="n">
        <v>0.022904873</v>
      </c>
      <c r="L199" s="1" t="n">
        <v>0.022877693</v>
      </c>
      <c r="M199" s="1" t="n">
        <v>0.020418882</v>
      </c>
      <c r="N199" s="1" t="n">
        <v>0.022268772</v>
      </c>
      <c r="O199" s="1" t="n">
        <v>0.01849699</v>
      </c>
      <c r="P199" s="1" t="n">
        <v>0.022140265</v>
      </c>
      <c r="R199" s="1" t="n">
        <f aca="false">PERCENTILE(G199:P199,0.9)</f>
        <v>0.0229113103</v>
      </c>
      <c r="S199" s="5" t="n">
        <f aca="false">spmv_1!R$6/R199</f>
        <v>7.34286290906723</v>
      </c>
      <c r="T199" s="6" t="n">
        <f aca="false">S199/128</f>
        <v>0.0573661164770877</v>
      </c>
    </row>
    <row r="200" customFormat="false" ht="15" hidden="false" customHeight="false" outlineLevel="0" collapsed="false">
      <c r="A200" s="1" t="s">
        <v>16</v>
      </c>
      <c r="B200" s="1" t="n">
        <v>67</v>
      </c>
      <c r="D200" s="1" t="n">
        <v>866118</v>
      </c>
      <c r="E200" s="1" t="n">
        <v>0.081397</v>
      </c>
      <c r="G200" s="1" t="n">
        <v>0.023580551</v>
      </c>
      <c r="H200" s="1" t="n">
        <v>0.019916296</v>
      </c>
      <c r="I200" s="1" t="n">
        <v>0.022479534</v>
      </c>
      <c r="J200" s="1" t="n">
        <v>0.020894051</v>
      </c>
      <c r="K200" s="1" t="n">
        <v>0.020797253</v>
      </c>
      <c r="L200" s="1" t="n">
        <v>0.021715641</v>
      </c>
      <c r="M200" s="1" t="n">
        <v>0.021069527</v>
      </c>
      <c r="N200" s="1" t="n">
        <v>0.022051811</v>
      </c>
      <c r="O200" s="1" t="n">
        <v>0.018544674</v>
      </c>
      <c r="P200" s="1" t="n">
        <v>0.021764278</v>
      </c>
      <c r="R200" s="1" t="n">
        <f aca="false">PERCENTILE(G200:P200,0.9)</f>
        <v>0.0225896357</v>
      </c>
      <c r="S200" s="5" t="n">
        <f aca="false">spmv_1!R$6/R200</f>
        <v>7.44742468777396</v>
      </c>
      <c r="T200" s="6" t="n">
        <f aca="false">S200/128</f>
        <v>0.0581830053732341</v>
      </c>
    </row>
    <row r="201" customFormat="false" ht="15" hidden="false" customHeight="false" outlineLevel="0" collapsed="false">
      <c r="A201" s="1" t="s">
        <v>16</v>
      </c>
      <c r="B201" s="1" t="n">
        <v>68</v>
      </c>
      <c r="D201" s="1" t="n">
        <v>865878</v>
      </c>
      <c r="E201" s="1" t="n">
        <v>0.080813</v>
      </c>
      <c r="G201" s="1" t="n">
        <v>0.023578882</v>
      </c>
      <c r="H201" s="1" t="n">
        <v>0.020033598</v>
      </c>
      <c r="I201" s="1" t="n">
        <v>0.022500515</v>
      </c>
      <c r="J201" s="1" t="n">
        <v>0.021017313</v>
      </c>
      <c r="K201" s="1" t="n">
        <v>0.020905495</v>
      </c>
      <c r="L201" s="1" t="n">
        <v>0.021828175</v>
      </c>
      <c r="M201" s="1" t="n">
        <v>0.021192789</v>
      </c>
      <c r="N201" s="1" t="n">
        <v>0.022146702</v>
      </c>
      <c r="O201" s="1" t="n">
        <v>0.018826723</v>
      </c>
      <c r="P201" s="1" t="n">
        <v>0.022260904</v>
      </c>
      <c r="R201" s="1" t="n">
        <f aca="false">PERCENTILE(G201:P201,0.9)</f>
        <v>0.0226083517</v>
      </c>
      <c r="S201" s="5" t="n">
        <f aca="false">spmv_1!R$6/R201</f>
        <v>7.44125944396026</v>
      </c>
      <c r="T201" s="6" t="n">
        <f aca="false">S201/128</f>
        <v>0.0581348394059395</v>
      </c>
    </row>
    <row r="202" customFormat="false" ht="15" hidden="false" customHeight="false" outlineLevel="0" collapsed="false">
      <c r="A202" s="1" t="s">
        <v>16</v>
      </c>
      <c r="B202" s="1" t="n">
        <v>69</v>
      </c>
      <c r="D202" s="1" t="n">
        <v>865878</v>
      </c>
      <c r="E202" s="1" t="n">
        <v>0.081056</v>
      </c>
      <c r="G202" s="1" t="n">
        <v>0.022756577</v>
      </c>
      <c r="H202" s="1" t="n">
        <v>0.019789219</v>
      </c>
      <c r="I202" s="1" t="n">
        <v>0.020983219</v>
      </c>
      <c r="J202" s="1" t="n">
        <v>0.022172928</v>
      </c>
      <c r="K202" s="1" t="n">
        <v>0.020938158</v>
      </c>
      <c r="L202" s="1" t="n">
        <v>0.022979021</v>
      </c>
      <c r="M202" s="1" t="n">
        <v>0.020602703</v>
      </c>
      <c r="N202" s="1" t="n">
        <v>0.022392988</v>
      </c>
      <c r="O202" s="1" t="n">
        <v>0.018776417</v>
      </c>
      <c r="P202" s="1" t="n">
        <v>0.022257566</v>
      </c>
      <c r="R202" s="1" t="n">
        <f aca="false">PERCENTILE(G202:P202,0.9)</f>
        <v>0.0227788214</v>
      </c>
      <c r="S202" s="5" t="n">
        <f aca="false">spmv_1!R$6/R202</f>
        <v>7.38557134479311</v>
      </c>
      <c r="T202" s="6" t="n">
        <f aca="false">S202/128</f>
        <v>0.0576997761311961</v>
      </c>
    </row>
    <row r="203" customFormat="false" ht="15" hidden="false" customHeight="false" outlineLevel="0" collapsed="false">
      <c r="A203" s="1" t="s">
        <v>16</v>
      </c>
      <c r="B203" s="1" t="n">
        <v>70</v>
      </c>
      <c r="D203" s="1" t="n">
        <v>865684</v>
      </c>
      <c r="E203" s="1" t="n">
        <v>0.077518</v>
      </c>
      <c r="G203" s="1" t="n">
        <v>0.023581743</v>
      </c>
      <c r="H203" s="1" t="n">
        <v>0.019925356</v>
      </c>
      <c r="I203" s="1" t="n">
        <v>0.022090673</v>
      </c>
      <c r="J203" s="1" t="n">
        <v>0.02273035</v>
      </c>
      <c r="K203" s="1" t="n">
        <v>0.023014069</v>
      </c>
      <c r="L203" s="1" t="n">
        <v>0.023012638</v>
      </c>
      <c r="M203" s="1" t="n">
        <v>0.022273064</v>
      </c>
      <c r="N203" s="1" t="n">
        <v>0.022796392</v>
      </c>
      <c r="O203" s="1" t="n">
        <v>0.021350384</v>
      </c>
      <c r="P203" s="1" t="n">
        <v>0.022576094</v>
      </c>
      <c r="R203" s="1" t="n">
        <f aca="false">PERCENTILE(G203:P203,0.9)</f>
        <v>0.0230708364</v>
      </c>
      <c r="S203" s="5" t="n">
        <f aca="false">spmv_1!R$6/R203</f>
        <v>7.29208979176845</v>
      </c>
      <c r="T203" s="6" t="n">
        <f aca="false">S203/128</f>
        <v>0.056969451498191</v>
      </c>
    </row>
    <row r="204" customFormat="false" ht="15" hidden="false" customHeight="false" outlineLevel="0" collapsed="false">
      <c r="A204" s="1" t="s">
        <v>16</v>
      </c>
      <c r="B204" s="1" t="n">
        <v>71</v>
      </c>
      <c r="D204" s="1" t="n">
        <v>865684</v>
      </c>
      <c r="E204" s="1" t="n">
        <v>0.077472</v>
      </c>
      <c r="G204" s="1" t="n">
        <v>0.023281097</v>
      </c>
      <c r="H204" s="1" t="n">
        <v>0.019985914</v>
      </c>
      <c r="I204" s="1" t="n">
        <v>0.022212029</v>
      </c>
      <c r="J204" s="1" t="n">
        <v>0.022736788</v>
      </c>
      <c r="K204" s="1" t="n">
        <v>0.023069859</v>
      </c>
      <c r="L204" s="1" t="n">
        <v>0.023053646</v>
      </c>
      <c r="M204" s="1" t="n">
        <v>0.022330046</v>
      </c>
      <c r="N204" s="1" t="n">
        <v>0.022838831</v>
      </c>
      <c r="O204" s="1" t="n">
        <v>0.021349192</v>
      </c>
      <c r="P204" s="1" t="n">
        <v>0.022626877</v>
      </c>
      <c r="R204" s="1" t="n">
        <f aca="false">PERCENTILE(G204:P204,0.9)</f>
        <v>0.0230909828</v>
      </c>
      <c r="S204" s="5" t="n">
        <f aca="false">spmv_1!R$6/R204</f>
        <v>7.28572759579553</v>
      </c>
      <c r="T204" s="6" t="n">
        <f aca="false">S204/128</f>
        <v>0.0569197468421526</v>
      </c>
    </row>
    <row r="205" customFormat="false" ht="15" hidden="false" customHeight="false" outlineLevel="0" collapsed="false">
      <c r="A205" s="1" t="s">
        <v>16</v>
      </c>
      <c r="B205" s="1" t="n">
        <v>72</v>
      </c>
      <c r="D205" s="1" t="n">
        <v>866466</v>
      </c>
      <c r="E205" s="1" t="n">
        <v>0.080449</v>
      </c>
      <c r="G205" s="1" t="n">
        <v>0.022595167</v>
      </c>
      <c r="H205" s="1" t="n">
        <v>0.019998312</v>
      </c>
      <c r="I205" s="1" t="n">
        <v>0.021360397</v>
      </c>
      <c r="J205" s="1" t="n">
        <v>0.022354603</v>
      </c>
      <c r="K205" s="1" t="n">
        <v>0.021092892</v>
      </c>
      <c r="L205" s="1" t="n">
        <v>0.023124218</v>
      </c>
      <c r="M205" s="1" t="n">
        <v>0.020793438</v>
      </c>
      <c r="N205" s="1" t="n">
        <v>0.022525549</v>
      </c>
      <c r="O205" s="1" t="n">
        <v>0.019133806</v>
      </c>
      <c r="P205" s="1" t="n">
        <v>0.022428513</v>
      </c>
      <c r="R205" s="1" t="n">
        <f aca="false">PERCENTILE(G205:P205,0.9)</f>
        <v>0.0226480721</v>
      </c>
      <c r="S205" s="5" t="n">
        <f aca="false">spmv_1!R$6/R205</f>
        <v>7.42820889377158</v>
      </c>
      <c r="T205" s="6" t="n">
        <f aca="false">S205/128</f>
        <v>0.0580328819825905</v>
      </c>
    </row>
    <row r="206" customFormat="false" ht="15" hidden="false" customHeight="false" outlineLevel="0" collapsed="false">
      <c r="A206" s="1" t="s">
        <v>16</v>
      </c>
      <c r="B206" s="1" t="n">
        <v>73</v>
      </c>
      <c r="D206" s="1" t="n">
        <v>866466</v>
      </c>
      <c r="E206" s="1" t="n">
        <v>0.077278</v>
      </c>
      <c r="G206" s="1" t="n">
        <v>0.023492813</v>
      </c>
      <c r="H206" s="1" t="n">
        <v>0.020137787</v>
      </c>
      <c r="I206" s="1" t="n">
        <v>0.022244453</v>
      </c>
      <c r="J206" s="1" t="n">
        <v>0.022797108</v>
      </c>
      <c r="K206" s="1" t="n">
        <v>0.023104668</v>
      </c>
      <c r="L206" s="1" t="n">
        <v>0.023094177</v>
      </c>
      <c r="M206" s="1" t="n">
        <v>0.022383213</v>
      </c>
      <c r="N206" s="1" t="n">
        <v>0.022895575</v>
      </c>
      <c r="O206" s="1" t="n">
        <v>0.021426678</v>
      </c>
      <c r="P206" s="1" t="n">
        <v>0.022671223</v>
      </c>
      <c r="R206" s="1" t="n">
        <f aca="false">PERCENTILE(G206:P206,0.9)</f>
        <v>0.0231434825</v>
      </c>
      <c r="S206" s="5" t="n">
        <f aca="false">spmv_1!R$6/R206</f>
        <v>7.26920032886148</v>
      </c>
      <c r="T206" s="6" t="n">
        <f aca="false">S206/128</f>
        <v>0.0567906275692304</v>
      </c>
    </row>
    <row r="207" customFormat="false" ht="15" hidden="false" customHeight="false" outlineLevel="0" collapsed="false">
      <c r="A207" s="1" t="s">
        <v>16</v>
      </c>
      <c r="B207" s="1" t="n">
        <v>74</v>
      </c>
      <c r="D207" s="1" t="n">
        <v>866286</v>
      </c>
      <c r="E207" s="1" t="n">
        <v>0.079673</v>
      </c>
      <c r="G207" s="1" t="n">
        <v>0.02325511</v>
      </c>
      <c r="H207" s="1" t="n">
        <v>0.020637512</v>
      </c>
      <c r="I207" s="1" t="n">
        <v>0.022981882</v>
      </c>
      <c r="J207" s="1" t="n">
        <v>0.021226168</v>
      </c>
      <c r="K207" s="1" t="n">
        <v>0.021160841</v>
      </c>
      <c r="L207" s="1" t="n">
        <v>0.022125483</v>
      </c>
      <c r="M207" s="1" t="n">
        <v>0.021549225</v>
      </c>
      <c r="N207" s="1" t="n">
        <v>0.022648811</v>
      </c>
      <c r="O207" s="1" t="n">
        <v>0.019432068</v>
      </c>
      <c r="P207" s="1" t="n">
        <v>0.022442341</v>
      </c>
      <c r="R207" s="1" t="n">
        <f aca="false">PERCENTILE(G207:P207,0.9)</f>
        <v>0.0230092048</v>
      </c>
      <c r="S207" s="5" t="n">
        <f aca="false">spmv_1!R$6/R207</f>
        <v>7.31162211220789</v>
      </c>
      <c r="T207" s="6" t="n">
        <f aca="false">S207/128</f>
        <v>0.0571220477516242</v>
      </c>
    </row>
    <row r="208" customFormat="false" ht="15" hidden="false" customHeight="false" outlineLevel="0" collapsed="false">
      <c r="A208" s="1" t="s">
        <v>16</v>
      </c>
      <c r="B208" s="1" t="n">
        <v>75</v>
      </c>
      <c r="D208" s="1" t="n">
        <v>866286</v>
      </c>
      <c r="E208" s="1" t="n">
        <v>0.079703</v>
      </c>
      <c r="G208" s="1" t="n">
        <v>0.023341417</v>
      </c>
      <c r="H208" s="1" t="n">
        <v>0.020730019</v>
      </c>
      <c r="I208" s="1" t="n">
        <v>0.022809982</v>
      </c>
      <c r="J208" s="1" t="n">
        <v>0.021230936</v>
      </c>
      <c r="K208" s="1" t="n">
        <v>0.021254063</v>
      </c>
      <c r="L208" s="1" t="n">
        <v>0.022222519</v>
      </c>
      <c r="M208" s="1" t="n">
        <v>0.021495342</v>
      </c>
      <c r="N208" s="1" t="n">
        <v>0.022459745</v>
      </c>
      <c r="O208" s="1" t="n">
        <v>0.019591331</v>
      </c>
      <c r="P208" s="1" t="n">
        <v>0.022242785</v>
      </c>
      <c r="R208" s="1" t="n">
        <f aca="false">PERCENTILE(G208:P208,0.9)</f>
        <v>0.0228631255</v>
      </c>
      <c r="S208" s="5" t="n">
        <f aca="false">spmv_1!R$6/R208</f>
        <v>7.3583382377007</v>
      </c>
      <c r="T208" s="6" t="n">
        <f aca="false">S208/128</f>
        <v>0.0574870174820367</v>
      </c>
    </row>
    <row r="209" customFormat="false" ht="15" hidden="false" customHeight="false" outlineLevel="0" collapsed="false">
      <c r="A209" s="1" t="s">
        <v>16</v>
      </c>
      <c r="B209" s="1" t="n">
        <v>76</v>
      </c>
      <c r="D209" s="1" t="n">
        <v>866372</v>
      </c>
      <c r="E209" s="1" t="n">
        <v>0.07681</v>
      </c>
      <c r="G209" s="1" t="n">
        <v>0.023432016</v>
      </c>
      <c r="H209" s="1" t="n">
        <v>0.020428419</v>
      </c>
      <c r="I209" s="1" t="n">
        <v>0.022414207</v>
      </c>
      <c r="J209" s="1" t="n">
        <v>0.022842884</v>
      </c>
      <c r="K209" s="1" t="n">
        <v>0.023215055</v>
      </c>
      <c r="L209" s="1" t="n">
        <v>0.023277998</v>
      </c>
      <c r="M209" s="1" t="n">
        <v>0.022628784</v>
      </c>
      <c r="N209" s="1" t="n">
        <v>0.022985697</v>
      </c>
      <c r="O209" s="1" t="n">
        <v>0.021565914</v>
      </c>
      <c r="P209" s="1" t="n">
        <v>0.022797346</v>
      </c>
      <c r="R209" s="1" t="n">
        <f aca="false">PERCENTILE(G209:P209,0.9)</f>
        <v>0.0232933998</v>
      </c>
      <c r="S209" s="5" t="n">
        <f aca="false">spmv_1!R$6/R209</f>
        <v>7.22241545006238</v>
      </c>
      <c r="T209" s="6" t="n">
        <f aca="false">S209/128</f>
        <v>0.0564251207036124</v>
      </c>
    </row>
    <row r="210" customFormat="false" ht="15" hidden="false" customHeight="false" outlineLevel="0" collapsed="false">
      <c r="A210" s="1" t="s">
        <v>16</v>
      </c>
      <c r="B210" s="1" t="n">
        <v>77</v>
      </c>
      <c r="D210" s="1" t="n">
        <v>866372</v>
      </c>
      <c r="E210" s="1" t="n">
        <v>0.079615</v>
      </c>
      <c r="G210" s="1" t="n">
        <v>0.022636414</v>
      </c>
      <c r="H210" s="1" t="n">
        <v>0.020442724</v>
      </c>
      <c r="I210" s="1" t="n">
        <v>0.021603584</v>
      </c>
      <c r="J210" s="1" t="n">
        <v>0.022425413</v>
      </c>
      <c r="K210" s="1" t="n">
        <v>0.021369934</v>
      </c>
      <c r="L210" s="1" t="n">
        <v>0.023374796</v>
      </c>
      <c r="M210" s="1" t="n">
        <v>0.0210042</v>
      </c>
      <c r="N210" s="1" t="n">
        <v>0.022723436</v>
      </c>
      <c r="O210" s="1" t="n">
        <v>0.019443512</v>
      </c>
      <c r="P210" s="1" t="n">
        <v>0.022616625</v>
      </c>
      <c r="R210" s="1" t="n">
        <f aca="false">PERCENTILE(G210:P210,0.9)</f>
        <v>0.022788572</v>
      </c>
      <c r="S210" s="5" t="n">
        <f aca="false">spmv_1!R$6/R210</f>
        <v>7.38241126297865</v>
      </c>
      <c r="T210" s="6" t="n">
        <f aca="false">S210/128</f>
        <v>0.0576750879920207</v>
      </c>
    </row>
    <row r="211" customFormat="false" ht="15" hidden="false" customHeight="false" outlineLevel="0" collapsed="false">
      <c r="A211" s="1" t="s">
        <v>16</v>
      </c>
      <c r="B211" s="1" t="n">
        <v>78</v>
      </c>
      <c r="D211" s="1" t="n">
        <v>866260</v>
      </c>
      <c r="E211" s="1" t="n">
        <v>0.079314</v>
      </c>
      <c r="G211" s="1" t="n">
        <v>0.023478985</v>
      </c>
      <c r="H211" s="1" t="n">
        <v>0.020861626</v>
      </c>
      <c r="I211" s="1" t="n">
        <v>0.022953749</v>
      </c>
      <c r="J211" s="1" t="n">
        <v>0.021286488</v>
      </c>
      <c r="K211" s="1" t="n">
        <v>0.021355867</v>
      </c>
      <c r="L211" s="1" t="n">
        <v>0.022331715</v>
      </c>
      <c r="M211" s="1" t="n">
        <v>0.021580935</v>
      </c>
      <c r="N211" s="1" t="n">
        <v>0.022507429</v>
      </c>
      <c r="O211" s="1" t="n">
        <v>0.019734144</v>
      </c>
      <c r="P211" s="1" t="n">
        <v>0.022346973</v>
      </c>
      <c r="R211" s="1" t="n">
        <f aca="false">PERCENTILE(G211:P211,0.9)</f>
        <v>0.0230062726</v>
      </c>
      <c r="S211" s="5" t="n">
        <f aca="false">spmv_1!R$6/R211</f>
        <v>7.31255399451365</v>
      </c>
      <c r="T211" s="6" t="n">
        <f aca="false">S211/128</f>
        <v>0.0571293280821379</v>
      </c>
    </row>
    <row r="212" customFormat="false" ht="15" hidden="false" customHeight="false" outlineLevel="0" collapsed="false">
      <c r="A212" s="1" t="s">
        <v>16</v>
      </c>
      <c r="B212" s="1" t="n">
        <v>79</v>
      </c>
      <c r="D212" s="1" t="n">
        <v>866260</v>
      </c>
      <c r="E212" s="1" t="n">
        <v>0.079466</v>
      </c>
      <c r="G212" s="1" t="n">
        <v>0.022771835</v>
      </c>
      <c r="H212" s="1" t="n">
        <v>0.020523787</v>
      </c>
      <c r="I212" s="1" t="n">
        <v>0.021533012</v>
      </c>
      <c r="J212" s="1" t="n">
        <v>0.02239728</v>
      </c>
      <c r="K212" s="1" t="n">
        <v>0.021416664</v>
      </c>
      <c r="L212" s="1" t="n">
        <v>0.023432732</v>
      </c>
      <c r="M212" s="1" t="n">
        <v>0.021068573</v>
      </c>
      <c r="N212" s="1" t="n">
        <v>0.022740364</v>
      </c>
      <c r="O212" s="1" t="n">
        <v>0.01947093</v>
      </c>
      <c r="P212" s="1" t="n">
        <v>0.02266407</v>
      </c>
      <c r="R212" s="1" t="n">
        <f aca="false">PERCENTILE(G212:P212,0.9)</f>
        <v>0.0228379247</v>
      </c>
      <c r="S212" s="5" t="n">
        <f aca="false">spmv_1!R$6/R212</f>
        <v>7.36645789010768</v>
      </c>
      <c r="T212" s="6" t="n">
        <f aca="false">S212/128</f>
        <v>0.0575504522664662</v>
      </c>
    </row>
    <row r="213" customFormat="false" ht="15" hidden="false" customHeight="false" outlineLevel="0" collapsed="false">
      <c r="A213" s="1" t="s">
        <v>16</v>
      </c>
      <c r="B213" s="1" t="n">
        <v>80</v>
      </c>
      <c r="D213" s="1" t="n">
        <v>866306</v>
      </c>
      <c r="E213" s="1" t="n">
        <v>0.078913</v>
      </c>
      <c r="G213" s="1" t="n">
        <v>0.023718357</v>
      </c>
      <c r="H213" s="1" t="n">
        <v>0.02101469</v>
      </c>
      <c r="I213" s="1" t="n">
        <v>0.022890568</v>
      </c>
      <c r="J213" s="1" t="n">
        <v>0.021311522</v>
      </c>
      <c r="K213" s="1" t="n">
        <v>0.021453619</v>
      </c>
      <c r="L213" s="1" t="n">
        <v>0.022436619</v>
      </c>
      <c r="M213" s="1" t="n">
        <v>0.02173996</v>
      </c>
      <c r="N213" s="1" t="n">
        <v>0.022609234</v>
      </c>
      <c r="O213" s="1" t="n">
        <v>0.019948244</v>
      </c>
      <c r="P213" s="1" t="n">
        <v>0.022437811</v>
      </c>
      <c r="R213" s="1" t="n">
        <f aca="false">PERCENTILE(G213:P213,0.9)</f>
        <v>0.0229733469</v>
      </c>
      <c r="S213" s="5" t="n">
        <f aca="false">spmv_1!R$6/R213</f>
        <v>7.32303444214304</v>
      </c>
      <c r="T213" s="6" t="n">
        <f aca="false">S213/128</f>
        <v>0.0572112065792425</v>
      </c>
    </row>
    <row r="214" customFormat="false" ht="15" hidden="false" customHeight="false" outlineLevel="0" collapsed="false">
      <c r="A214" s="1" t="s">
        <v>16</v>
      </c>
      <c r="B214" s="1" t="n">
        <v>81</v>
      </c>
      <c r="D214" s="1" t="n">
        <v>866306</v>
      </c>
      <c r="E214" s="1" t="n">
        <v>0.07624</v>
      </c>
      <c r="G214" s="1" t="n">
        <v>0.023576736</v>
      </c>
      <c r="H214" s="1" t="n">
        <v>0.020713329</v>
      </c>
      <c r="I214" s="1" t="n">
        <v>0.022529602</v>
      </c>
      <c r="J214" s="1" t="n">
        <v>0.022876978</v>
      </c>
      <c r="K214" s="1" t="n">
        <v>0.023357153</v>
      </c>
      <c r="L214" s="1" t="n">
        <v>0.023441315</v>
      </c>
      <c r="M214" s="1" t="n">
        <v>0.022893429</v>
      </c>
      <c r="N214" s="1" t="n">
        <v>0.023105145</v>
      </c>
      <c r="O214" s="1" t="n">
        <v>0.021778584</v>
      </c>
      <c r="P214" s="1" t="n">
        <v>0.022985935</v>
      </c>
      <c r="R214" s="1" t="n">
        <f aca="false">PERCENTILE(G214:P214,0.9)</f>
        <v>0.0234548571</v>
      </c>
      <c r="S214" s="5" t="n">
        <f aca="false">spmv_1!R$6/R214</f>
        <v>7.17269817005195</v>
      </c>
      <c r="T214" s="6" t="n">
        <f aca="false">S214/128</f>
        <v>0.0560367044535309</v>
      </c>
    </row>
    <row r="215" customFormat="false" ht="15" hidden="false" customHeight="false" outlineLevel="0" collapsed="false">
      <c r="A215" s="1" t="s">
        <v>16</v>
      </c>
      <c r="B215" s="1" t="n">
        <v>82</v>
      </c>
      <c r="D215" s="1" t="n">
        <v>866138</v>
      </c>
      <c r="E215" s="1" t="n">
        <v>0.082832</v>
      </c>
      <c r="G215" s="1" t="n">
        <v>0.021782875</v>
      </c>
      <c r="H215" s="1" t="n">
        <v>0.019868135</v>
      </c>
      <c r="I215" s="1" t="n">
        <v>0.020767927</v>
      </c>
      <c r="J215" s="1" t="n">
        <v>0.020925522</v>
      </c>
      <c r="K215" s="1" t="n">
        <v>0.020615578</v>
      </c>
      <c r="L215" s="1" t="n">
        <v>0.021905661</v>
      </c>
      <c r="M215" s="1" t="n">
        <v>0.020252943</v>
      </c>
      <c r="N215" s="1" t="n">
        <v>0.022055626</v>
      </c>
      <c r="O215" s="1" t="n">
        <v>0.018964291</v>
      </c>
      <c r="P215" s="1" t="n">
        <v>0.02199173</v>
      </c>
      <c r="R215" s="1" t="n">
        <f aca="false">PERCENTILE(G215:P215,0.9)</f>
        <v>0.0219981196</v>
      </c>
      <c r="S215" s="5" t="n">
        <f aca="false">spmv_1!R$6/R215</f>
        <v>7.64768142273397</v>
      </c>
      <c r="T215" s="6" t="n">
        <f aca="false">S215/128</f>
        <v>0.0597475111151091</v>
      </c>
    </row>
    <row r="216" customFormat="false" ht="15" hidden="false" customHeight="false" outlineLevel="0" collapsed="false">
      <c r="A216" s="1" t="s">
        <v>16</v>
      </c>
      <c r="B216" s="1" t="n">
        <v>83</v>
      </c>
      <c r="D216" s="1" t="n">
        <v>866138</v>
      </c>
      <c r="E216" s="1" t="n">
        <v>0.078846</v>
      </c>
      <c r="G216" s="1" t="n">
        <v>0.022978783</v>
      </c>
      <c r="H216" s="1" t="n">
        <v>0.020740747</v>
      </c>
      <c r="I216" s="1" t="n">
        <v>0.02154088</v>
      </c>
      <c r="J216" s="1" t="n">
        <v>0.022643566</v>
      </c>
      <c r="K216" s="1" t="n">
        <v>0.021540165</v>
      </c>
      <c r="L216" s="1" t="n">
        <v>0.023542404</v>
      </c>
      <c r="M216" s="1" t="n">
        <v>0.021252155</v>
      </c>
      <c r="N216" s="1" t="n">
        <v>0.022866011</v>
      </c>
      <c r="O216" s="1" t="n">
        <v>0.019792318</v>
      </c>
      <c r="P216" s="1" t="n">
        <v>0.022805929</v>
      </c>
      <c r="R216" s="1" t="n">
        <f aca="false">PERCENTILE(G216:P216,0.9)</f>
        <v>0.0230351451</v>
      </c>
      <c r="S216" s="5" t="n">
        <f aca="false">spmv_1!R$6/R216</f>
        <v>7.30338836024957</v>
      </c>
      <c r="T216" s="6" t="n">
        <f aca="false">S216/128</f>
        <v>0.0570577215644498</v>
      </c>
    </row>
    <row r="217" customFormat="false" ht="15" hidden="false" customHeight="false" outlineLevel="0" collapsed="false">
      <c r="A217" s="1" t="s">
        <v>16</v>
      </c>
      <c r="B217" s="1" t="n">
        <v>84</v>
      </c>
      <c r="D217" s="1" t="n">
        <v>865950</v>
      </c>
      <c r="E217" s="1" t="n">
        <v>0.078713</v>
      </c>
      <c r="G217" s="1" t="n">
        <v>0.022953749</v>
      </c>
      <c r="H217" s="1" t="n">
        <v>0.020751238</v>
      </c>
      <c r="I217" s="1" t="n">
        <v>0.021560192</v>
      </c>
      <c r="J217" s="1" t="n">
        <v>0.022662401</v>
      </c>
      <c r="K217" s="1" t="n">
        <v>0.021605968</v>
      </c>
      <c r="L217" s="1" t="n">
        <v>0.023587704</v>
      </c>
      <c r="M217" s="1" t="n">
        <v>0.021286011</v>
      </c>
      <c r="N217" s="1" t="n">
        <v>0.022917271</v>
      </c>
      <c r="O217" s="1" t="n">
        <v>0.019883871</v>
      </c>
      <c r="P217" s="1" t="n">
        <v>0.022818327</v>
      </c>
      <c r="R217" s="1" t="n">
        <f aca="false">PERCENTILE(G217:P217,0.9)</f>
        <v>0.0230171445</v>
      </c>
      <c r="S217" s="5" t="n">
        <f aca="false">spmv_1!R$6/R217</f>
        <v>7.30909998848902</v>
      </c>
      <c r="T217" s="6" t="n">
        <f aca="false">S217/128</f>
        <v>0.0571023436600704</v>
      </c>
    </row>
    <row r="218" customFormat="false" ht="15" hidden="false" customHeight="false" outlineLevel="0" collapsed="false">
      <c r="A218" s="1" t="s">
        <v>16</v>
      </c>
      <c r="B218" s="1" t="n">
        <v>85</v>
      </c>
      <c r="D218" s="1" t="n">
        <v>865950</v>
      </c>
      <c r="E218" s="1" t="n">
        <v>0.078514</v>
      </c>
      <c r="G218" s="1" t="n">
        <v>0.022943258</v>
      </c>
      <c r="H218" s="1" t="n">
        <v>0.020802259</v>
      </c>
      <c r="I218" s="1" t="n">
        <v>0.021629572</v>
      </c>
      <c r="J218" s="1" t="n">
        <v>0.022812605</v>
      </c>
      <c r="K218" s="1" t="n">
        <v>0.021647215</v>
      </c>
      <c r="L218" s="1" t="n">
        <v>0.023611307</v>
      </c>
      <c r="M218" s="1" t="n">
        <v>0.021357775</v>
      </c>
      <c r="N218" s="1" t="n">
        <v>0.022954702</v>
      </c>
      <c r="O218" s="1" t="n">
        <v>0.019979</v>
      </c>
      <c r="P218" s="1" t="n">
        <v>0.022845984</v>
      </c>
      <c r="R218" s="1" t="n">
        <f aca="false">PERCENTILE(G218:P218,0.9)</f>
        <v>0.0230203625</v>
      </c>
      <c r="S218" s="5" t="n">
        <f aca="false">spmv_1!R$6/R218</f>
        <v>7.30807825463218</v>
      </c>
      <c r="T218" s="6" t="n">
        <f aca="false">S218/128</f>
        <v>0.0570943613643139</v>
      </c>
    </row>
    <row r="219" customFormat="false" ht="15" hidden="false" customHeight="false" outlineLevel="0" collapsed="false">
      <c r="A219" s="1" t="s">
        <v>16</v>
      </c>
      <c r="B219" s="1" t="n">
        <v>86</v>
      </c>
      <c r="D219" s="1" t="n">
        <v>866326</v>
      </c>
      <c r="E219" s="1" t="n">
        <v>0.075582</v>
      </c>
      <c r="G219" s="1" t="n">
        <v>0.023598671</v>
      </c>
      <c r="H219" s="1" t="n">
        <v>0.020961046</v>
      </c>
      <c r="I219" s="1" t="n">
        <v>0.022581577</v>
      </c>
      <c r="J219" s="1" t="n">
        <v>0.023102999</v>
      </c>
      <c r="K219" s="1" t="n">
        <v>0.023513556</v>
      </c>
      <c r="L219" s="1" t="n">
        <v>0.023701429</v>
      </c>
      <c r="M219" s="1" t="n">
        <v>0.023170233</v>
      </c>
      <c r="N219" s="1" t="n">
        <v>0.023320198</v>
      </c>
      <c r="O219" s="1" t="n">
        <v>0.02212286</v>
      </c>
      <c r="P219" s="1" t="n">
        <v>0.023168087</v>
      </c>
      <c r="R219" s="1" t="n">
        <f aca="false">PERCENTILE(G219:P219,0.9)</f>
        <v>0.0236089468</v>
      </c>
      <c r="S219" s="5" t="n">
        <f aca="false">spmv_1!R$6/R219</f>
        <v>7.12588376030395</v>
      </c>
      <c r="T219" s="6" t="n">
        <f aca="false">S219/128</f>
        <v>0.0556709668773746</v>
      </c>
    </row>
    <row r="220" customFormat="false" ht="15" hidden="false" customHeight="false" outlineLevel="0" collapsed="false">
      <c r="A220" s="1" t="s">
        <v>16</v>
      </c>
      <c r="B220" s="1" t="n">
        <v>87</v>
      </c>
      <c r="D220" s="1" t="n">
        <v>866326</v>
      </c>
      <c r="E220" s="1" t="n">
        <v>0.078086</v>
      </c>
      <c r="G220" s="1" t="n">
        <v>0.023207188</v>
      </c>
      <c r="H220" s="1" t="n">
        <v>0.020909548</v>
      </c>
      <c r="I220" s="1" t="n">
        <v>0.021810532</v>
      </c>
      <c r="J220" s="1" t="n">
        <v>0.022946596</v>
      </c>
      <c r="K220" s="1" t="n">
        <v>0.021761417</v>
      </c>
      <c r="L220" s="1" t="n">
        <v>0.023685932</v>
      </c>
      <c r="M220" s="1" t="n">
        <v>0.021431923</v>
      </c>
      <c r="N220" s="1" t="n">
        <v>0.023013592</v>
      </c>
      <c r="O220" s="1" t="n">
        <v>0.020159483</v>
      </c>
      <c r="P220" s="1" t="n">
        <v>0.022965193</v>
      </c>
      <c r="R220" s="1" t="n">
        <f aca="false">PERCENTILE(G220:P220,0.9)</f>
        <v>0.0232550624</v>
      </c>
      <c r="S220" s="5" t="n">
        <f aca="false">spmv_1!R$6/R220</f>
        <v>7.23432204593869</v>
      </c>
      <c r="T220" s="6" t="n">
        <f aca="false">S220/128</f>
        <v>0.0565181409838961</v>
      </c>
    </row>
    <row r="221" customFormat="false" ht="15" hidden="false" customHeight="false" outlineLevel="0" collapsed="false">
      <c r="A221" s="1" t="s">
        <v>16</v>
      </c>
      <c r="B221" s="1" t="n">
        <v>88</v>
      </c>
      <c r="D221" s="1" t="n">
        <v>866332</v>
      </c>
      <c r="E221" s="1" t="n">
        <v>0.077662</v>
      </c>
      <c r="G221" s="1" t="n">
        <v>0.023807526</v>
      </c>
      <c r="H221" s="1" t="n">
        <v>0.021341801</v>
      </c>
      <c r="I221" s="1" t="n">
        <v>0.022982121</v>
      </c>
      <c r="J221" s="1" t="n">
        <v>0.021670103</v>
      </c>
      <c r="K221" s="1" t="n">
        <v>0.02167511</v>
      </c>
      <c r="L221" s="1" t="n">
        <v>0.022678614</v>
      </c>
      <c r="M221" s="1" t="n">
        <v>0.022013426</v>
      </c>
      <c r="N221" s="1" t="n">
        <v>0.022836685</v>
      </c>
      <c r="O221" s="1" t="n">
        <v>0.020958662</v>
      </c>
      <c r="P221" s="1" t="n">
        <v>0.023139715</v>
      </c>
      <c r="R221" s="1" t="n">
        <f aca="false">PERCENTILE(G221:P221,0.9)</f>
        <v>0.0232064961</v>
      </c>
      <c r="S221" s="5" t="n">
        <f aca="false">spmv_1!R$6/R221</f>
        <v>7.24946195561164</v>
      </c>
      <c r="T221" s="6" t="n">
        <f aca="false">S221/128</f>
        <v>0.056636421528216</v>
      </c>
    </row>
    <row r="222" customFormat="false" ht="15" hidden="false" customHeight="false" outlineLevel="0" collapsed="false">
      <c r="A222" s="1" t="s">
        <v>16</v>
      </c>
      <c r="B222" s="1" t="n">
        <v>89</v>
      </c>
      <c r="D222" s="1" t="n">
        <v>866332</v>
      </c>
      <c r="E222" s="1" t="n">
        <v>0.078101</v>
      </c>
      <c r="G222" s="1" t="n">
        <v>0.023720503</v>
      </c>
      <c r="H222" s="1" t="n">
        <v>0.021321297</v>
      </c>
      <c r="I222" s="1" t="n">
        <v>0.022919178</v>
      </c>
      <c r="J222" s="1" t="n">
        <v>0.02158761</v>
      </c>
      <c r="K222" s="1" t="n">
        <v>0.021628618</v>
      </c>
      <c r="L222" s="1" t="n">
        <v>0.022565603</v>
      </c>
      <c r="M222" s="1" t="n">
        <v>0.021945477</v>
      </c>
      <c r="N222" s="1" t="n">
        <v>0.022818327</v>
      </c>
      <c r="O222" s="1" t="n">
        <v>0.020629406</v>
      </c>
      <c r="P222" s="1" t="n">
        <v>0.022713184</v>
      </c>
      <c r="R222" s="1" t="n">
        <f aca="false">PERCENTILE(G222:P222,0.9)</f>
        <v>0.0229993105</v>
      </c>
      <c r="S222" s="5" t="n">
        <f aca="false">spmv_1!R$6/R222</f>
        <v>7.31476757096697</v>
      </c>
      <c r="T222" s="6" t="n">
        <f aca="false">S222/128</f>
        <v>0.0571466216481794</v>
      </c>
    </row>
    <row r="223" customFormat="false" ht="15" hidden="false" customHeight="false" outlineLevel="0" collapsed="false">
      <c r="A223" s="1" t="s">
        <v>16</v>
      </c>
      <c r="B223" s="1" t="n">
        <v>90</v>
      </c>
      <c r="D223" s="1" t="n">
        <v>866284</v>
      </c>
      <c r="E223" s="1" t="n">
        <v>0.075642</v>
      </c>
      <c r="G223" s="1" t="n">
        <v>0.023565054</v>
      </c>
      <c r="H223" s="1" t="n">
        <v>0.02098012</v>
      </c>
      <c r="I223" s="1" t="n">
        <v>0.022533178</v>
      </c>
      <c r="J223" s="1" t="n">
        <v>0.023043633</v>
      </c>
      <c r="K223" s="1" t="n">
        <v>0.023501635</v>
      </c>
      <c r="L223" s="1" t="n">
        <v>0.023644686</v>
      </c>
      <c r="M223" s="1" t="n">
        <v>0.02318573</v>
      </c>
      <c r="N223" s="1" t="n">
        <v>0.023321629</v>
      </c>
      <c r="O223" s="1" t="n">
        <v>0.022142172</v>
      </c>
      <c r="P223" s="1" t="n">
        <v>0.023131132</v>
      </c>
      <c r="R223" s="1" t="n">
        <f aca="false">PERCENTILE(G223:P223,0.9)</f>
        <v>0.0235730172</v>
      </c>
      <c r="S223" s="5" t="n">
        <f aca="false">spmv_1!R$6/R223</f>
        <v>7.13674491358705</v>
      </c>
      <c r="T223" s="6" t="n">
        <f aca="false">S223/128</f>
        <v>0.0557558196373988</v>
      </c>
    </row>
    <row r="224" customFormat="false" ht="15" hidden="false" customHeight="false" outlineLevel="0" collapsed="false">
      <c r="A224" s="1" t="s">
        <v>16</v>
      </c>
      <c r="B224" s="1" t="n">
        <v>91</v>
      </c>
      <c r="D224" s="1" t="n">
        <v>866284</v>
      </c>
      <c r="E224" s="1" t="n">
        <v>0.075921</v>
      </c>
      <c r="G224" s="1" t="n">
        <v>0.023517132</v>
      </c>
      <c r="H224" s="1" t="n">
        <v>0.02083087</v>
      </c>
      <c r="I224" s="1" t="n">
        <v>0.02247715</v>
      </c>
      <c r="J224" s="1" t="n">
        <v>0.023004055</v>
      </c>
      <c r="K224" s="1" t="n">
        <v>0.023458719</v>
      </c>
      <c r="L224" s="1" t="n">
        <v>0.02351141</v>
      </c>
      <c r="M224" s="1" t="n">
        <v>0.023166656</v>
      </c>
      <c r="N224" s="1" t="n">
        <v>0.023179054</v>
      </c>
      <c r="O224" s="1" t="n">
        <v>0.022060633</v>
      </c>
      <c r="P224" s="1" t="n">
        <v>0.02300024</v>
      </c>
      <c r="R224" s="1" t="n">
        <f aca="false">PERCENTILE(G224:P224,0.9)</f>
        <v>0.0235119822</v>
      </c>
      <c r="S224" s="5" t="n">
        <f aca="false">spmv_1!R$6/R224</f>
        <v>7.15527126419822</v>
      </c>
      <c r="T224" s="6" t="n">
        <f aca="false">S224/128</f>
        <v>0.0559005567515486</v>
      </c>
    </row>
    <row r="225" customFormat="false" ht="15" hidden="false" customHeight="false" outlineLevel="0" collapsed="false">
      <c r="A225" s="1" t="s">
        <v>16</v>
      </c>
      <c r="B225" s="1" t="n">
        <v>92</v>
      </c>
      <c r="D225" s="1" t="n">
        <v>866428</v>
      </c>
      <c r="E225" s="1" t="n">
        <v>0.082691</v>
      </c>
      <c r="G225" s="1" t="n">
        <v>0.021411419</v>
      </c>
      <c r="H225" s="1" t="n">
        <v>0.020009041</v>
      </c>
      <c r="I225" s="1" t="n">
        <v>0.020775557</v>
      </c>
      <c r="J225" s="1" t="n">
        <v>0.020968199</v>
      </c>
      <c r="K225" s="1" t="n">
        <v>0.020735741</v>
      </c>
      <c r="L225" s="1" t="n">
        <v>0.021915674</v>
      </c>
      <c r="M225" s="1" t="n">
        <v>0.02046442</v>
      </c>
      <c r="N225" s="1" t="n">
        <v>0.022087812</v>
      </c>
      <c r="O225" s="1" t="n">
        <v>0.019207478</v>
      </c>
      <c r="P225" s="1" t="n">
        <v>0.021982193</v>
      </c>
      <c r="R225" s="1" t="n">
        <f aca="false">PERCENTILE(G225:P225,0.9)</f>
        <v>0.0219927549</v>
      </c>
      <c r="S225" s="5" t="n">
        <f aca="false">spmv_1!R$6/R225</f>
        <v>7.64954692420093</v>
      </c>
      <c r="T225" s="6" t="n">
        <f aca="false">S225/128</f>
        <v>0.0597620853453198</v>
      </c>
    </row>
    <row r="226" customFormat="false" ht="15" hidden="false" customHeight="false" outlineLevel="0" collapsed="false">
      <c r="A226" s="1" t="s">
        <v>16</v>
      </c>
      <c r="B226" s="1" t="n">
        <v>93</v>
      </c>
      <c r="D226" s="1" t="n">
        <v>866428</v>
      </c>
      <c r="E226" s="1" t="n">
        <v>0.083177</v>
      </c>
      <c r="G226" s="1" t="n">
        <v>0.021333456</v>
      </c>
      <c r="H226" s="1" t="n">
        <v>0.019864559</v>
      </c>
      <c r="I226" s="1" t="n">
        <v>0.020607948</v>
      </c>
      <c r="J226" s="1" t="n">
        <v>0.020881176</v>
      </c>
      <c r="K226" s="1" t="n">
        <v>0.020582199</v>
      </c>
      <c r="L226" s="1" t="n">
        <v>0.021760941</v>
      </c>
      <c r="M226" s="1" t="n">
        <v>0.020328522</v>
      </c>
      <c r="N226" s="1" t="n">
        <v>0.022001505</v>
      </c>
      <c r="O226" s="1" t="n">
        <v>0.019110203</v>
      </c>
      <c r="P226" s="1" t="n">
        <v>0.021862984</v>
      </c>
      <c r="R226" s="1" t="n">
        <f aca="false">PERCENTILE(G226:P226,0.9)</f>
        <v>0.0218768361</v>
      </c>
      <c r="S226" s="5" t="n">
        <f aca="false">spmv_1!R$6/R226</f>
        <v>7.69007958148025</v>
      </c>
      <c r="T226" s="6" t="n">
        <f aca="false">S226/128</f>
        <v>0.0600787467303145</v>
      </c>
    </row>
    <row r="227" customFormat="false" ht="15" hidden="false" customHeight="false" outlineLevel="0" collapsed="false">
      <c r="A227" s="1" t="s">
        <v>16</v>
      </c>
      <c r="B227" s="1" t="n">
        <v>94</v>
      </c>
      <c r="D227" s="1" t="n">
        <v>866324</v>
      </c>
      <c r="E227" s="1" t="n">
        <v>0.082768</v>
      </c>
      <c r="G227" s="1" t="n">
        <v>0.021495104</v>
      </c>
      <c r="H227" s="1" t="n">
        <v>0.01997304</v>
      </c>
      <c r="I227" s="1" t="n">
        <v>0.020720959</v>
      </c>
      <c r="J227" s="1" t="n">
        <v>0.020892859</v>
      </c>
      <c r="K227" s="1" t="n">
        <v>0.020649672</v>
      </c>
      <c r="L227" s="1" t="n">
        <v>0.021839619</v>
      </c>
      <c r="M227" s="1" t="n">
        <v>0.020439625</v>
      </c>
      <c r="N227" s="1" t="n">
        <v>0.022117853</v>
      </c>
      <c r="O227" s="1" t="n">
        <v>0.019211531</v>
      </c>
      <c r="P227" s="1" t="n">
        <v>0.021997452</v>
      </c>
      <c r="R227" s="1" t="n">
        <f aca="false">PERCENTILE(G227:P227,0.9)</f>
        <v>0.0220094921</v>
      </c>
      <c r="S227" s="5" t="n">
        <f aca="false">spmv_1!R$6/R227</f>
        <v>7.64372979783573</v>
      </c>
      <c r="T227" s="6" t="n">
        <f aca="false">S227/128</f>
        <v>0.0597166390455916</v>
      </c>
    </row>
    <row r="228" customFormat="false" ht="15" hidden="false" customHeight="false" outlineLevel="0" collapsed="false">
      <c r="A228" s="1" t="s">
        <v>16</v>
      </c>
      <c r="B228" s="1" t="n">
        <v>95</v>
      </c>
      <c r="D228" s="1" t="n">
        <v>866324</v>
      </c>
      <c r="E228" s="1" t="n">
        <v>0.082973</v>
      </c>
      <c r="G228" s="1" t="n">
        <v>0.020960808</v>
      </c>
      <c r="H228" s="1" t="n">
        <v>0.019825697</v>
      </c>
      <c r="I228" s="1" t="n">
        <v>0.020455599</v>
      </c>
      <c r="J228" s="1" t="n">
        <v>0.020775795</v>
      </c>
      <c r="K228" s="1" t="n">
        <v>0.020523548</v>
      </c>
      <c r="L228" s="1" t="n">
        <v>0.021813154</v>
      </c>
      <c r="M228" s="1" t="n">
        <v>0.021699905</v>
      </c>
      <c r="N228" s="1" t="n">
        <v>0.021926165</v>
      </c>
      <c r="O228" s="1" t="n">
        <v>0.018985271</v>
      </c>
      <c r="P228" s="1" t="n">
        <v>0.021854401</v>
      </c>
      <c r="R228" s="1" t="n">
        <f aca="false">PERCENTILE(G228:P228,0.9)</f>
        <v>0.0218615774</v>
      </c>
      <c r="S228" s="5" t="n">
        <f aca="false">spmv_1!R$6/R228</f>
        <v>7.69544701746911</v>
      </c>
      <c r="T228" s="6" t="n">
        <f aca="false">S228/128</f>
        <v>0.0601206798239774</v>
      </c>
    </row>
    <row r="229" customFormat="false" ht="15" hidden="false" customHeight="false" outlineLevel="0" collapsed="false">
      <c r="A229" s="1" t="s">
        <v>16</v>
      </c>
      <c r="B229" s="1" t="n">
        <v>96</v>
      </c>
      <c r="D229" s="1" t="n">
        <v>866462</v>
      </c>
      <c r="E229" s="1" t="n">
        <v>0.057859</v>
      </c>
      <c r="G229" s="1" t="n">
        <v>0.029464245</v>
      </c>
      <c r="H229" s="1" t="n">
        <v>0.029251814</v>
      </c>
      <c r="I229" s="1" t="n">
        <v>0.029108286</v>
      </c>
      <c r="J229" s="1" t="n">
        <v>0.030216932</v>
      </c>
      <c r="K229" s="1" t="n">
        <v>0.029842138</v>
      </c>
      <c r="L229" s="1" t="n">
        <v>0.030955076</v>
      </c>
      <c r="M229" s="1" t="n">
        <v>0.029387951</v>
      </c>
      <c r="N229" s="1" t="n">
        <v>0.030963659</v>
      </c>
      <c r="O229" s="1" t="n">
        <v>0.029400826</v>
      </c>
      <c r="P229" s="1" t="n">
        <v>0.030915022</v>
      </c>
      <c r="R229" s="1" t="n">
        <f aca="false">PERCENTILE(G229:P229,0.9)</f>
        <v>0.0309559343</v>
      </c>
      <c r="S229" s="5" t="n">
        <f aca="false">spmv_1!R$6/R229</f>
        <v>5.43464813465507</v>
      </c>
      <c r="T229" s="6" t="n">
        <f aca="false">S229/128</f>
        <v>0.0424581885519928</v>
      </c>
    </row>
    <row r="230" customFormat="false" ht="15" hidden="false" customHeight="false" outlineLevel="0" collapsed="false">
      <c r="A230" s="1" t="s">
        <v>16</v>
      </c>
      <c r="B230" s="1" t="n">
        <v>97</v>
      </c>
      <c r="D230" s="1" t="n">
        <v>866462</v>
      </c>
      <c r="E230" s="1" t="n">
        <v>0.057914</v>
      </c>
      <c r="G230" s="1" t="n">
        <v>0.029432535</v>
      </c>
      <c r="H230" s="1" t="n">
        <v>0.02922821</v>
      </c>
      <c r="I230" s="1" t="n">
        <v>0.029086828</v>
      </c>
      <c r="J230" s="1" t="n">
        <v>0.030195236</v>
      </c>
      <c r="K230" s="1" t="n">
        <v>0.0298419</v>
      </c>
      <c r="L230" s="1" t="n">
        <v>0.030978918</v>
      </c>
      <c r="M230" s="1" t="n">
        <v>0.029396534</v>
      </c>
      <c r="N230" s="1" t="n">
        <v>0.030977964</v>
      </c>
      <c r="O230" s="1" t="n">
        <v>0.029436111</v>
      </c>
      <c r="P230" s="1" t="n">
        <v>0.030647039</v>
      </c>
      <c r="R230" s="1" t="n">
        <f aca="false">PERCENTILE(G230:P230,0.9)</f>
        <v>0.0309780594</v>
      </c>
      <c r="S230" s="5" t="n">
        <f aca="false">spmv_1!R$6/R230</f>
        <v>5.43076660896325</v>
      </c>
      <c r="T230" s="6" t="n">
        <f aca="false">S230/128</f>
        <v>0.0424278641325254</v>
      </c>
    </row>
    <row r="231" customFormat="false" ht="15" hidden="false" customHeight="false" outlineLevel="0" collapsed="false">
      <c r="A231" s="1" t="s">
        <v>16</v>
      </c>
      <c r="B231" s="1" t="n">
        <v>98</v>
      </c>
      <c r="D231" s="1" t="n">
        <v>866308</v>
      </c>
      <c r="E231" s="1" t="n">
        <v>0.057927</v>
      </c>
      <c r="G231" s="1" t="n">
        <v>0.029574156</v>
      </c>
      <c r="H231" s="1" t="n">
        <v>0.02921319</v>
      </c>
      <c r="I231" s="1" t="n">
        <v>0.029042244</v>
      </c>
      <c r="J231" s="1" t="n">
        <v>0.03017807</v>
      </c>
      <c r="K231" s="1" t="n">
        <v>0.029835701</v>
      </c>
      <c r="L231" s="1" t="n">
        <v>0.03091836</v>
      </c>
      <c r="M231" s="1" t="n">
        <v>0.029355526</v>
      </c>
      <c r="N231" s="1" t="n">
        <v>0.030981302</v>
      </c>
      <c r="O231" s="1" t="n">
        <v>0.029385328</v>
      </c>
      <c r="P231" s="1" t="n">
        <v>0.030617237</v>
      </c>
      <c r="R231" s="1" t="n">
        <f aca="false">PERCENTILE(G231:P231,0.9)</f>
        <v>0.0309246542</v>
      </c>
      <c r="S231" s="5" t="n">
        <f aca="false">spmv_1!R$6/R231</f>
        <v>5.44014524825309</v>
      </c>
      <c r="T231" s="6" t="n">
        <f aca="false">S231/128</f>
        <v>0.0425011347519773</v>
      </c>
    </row>
    <row r="232" customFormat="false" ht="15" hidden="false" customHeight="false" outlineLevel="0" collapsed="false">
      <c r="A232" s="1" t="s">
        <v>16</v>
      </c>
      <c r="B232" s="1" t="n">
        <v>99</v>
      </c>
      <c r="D232" s="1" t="n">
        <v>866308</v>
      </c>
      <c r="E232" s="1" t="n">
        <v>0.082506</v>
      </c>
      <c r="G232" s="1" t="n">
        <v>0.020413399</v>
      </c>
      <c r="H232" s="1" t="n">
        <v>0.020283222</v>
      </c>
      <c r="I232" s="1" t="n">
        <v>0.0201509</v>
      </c>
      <c r="J232" s="1" t="n">
        <v>0.021033525</v>
      </c>
      <c r="K232" s="1" t="n">
        <v>0.020817757</v>
      </c>
      <c r="L232" s="1" t="n">
        <v>0.022371531</v>
      </c>
      <c r="M232" s="1" t="n">
        <v>0.020389795</v>
      </c>
      <c r="N232" s="1" t="n">
        <v>0.022229195</v>
      </c>
      <c r="O232" s="1" t="n">
        <v>0.020262718</v>
      </c>
      <c r="P232" s="1" t="n">
        <v>0.022046328</v>
      </c>
      <c r="R232" s="1" t="n">
        <f aca="false">PERCENTILE(G232:P232,0.9)</f>
        <v>0.0222434286</v>
      </c>
      <c r="S232" s="5" t="n">
        <f aca="false">spmv_1!R$6/R232</f>
        <v>7.56333988007586</v>
      </c>
      <c r="T232" s="6" t="n">
        <f aca="false">S232/128</f>
        <v>0.0590885928130927</v>
      </c>
    </row>
    <row r="233" customFormat="false" ht="15" hidden="false" customHeight="false" outlineLevel="0" collapsed="false">
      <c r="A233" s="1" t="s">
        <v>16</v>
      </c>
      <c r="B233" s="1" t="n">
        <v>100</v>
      </c>
      <c r="D233" s="1" t="n">
        <v>866104</v>
      </c>
      <c r="E233" s="1" t="n">
        <v>0.058036</v>
      </c>
      <c r="G233" s="1" t="n">
        <v>0.029378176</v>
      </c>
      <c r="H233" s="1" t="n">
        <v>0.029148102</v>
      </c>
      <c r="I233" s="1" t="n">
        <v>0.028966665</v>
      </c>
      <c r="J233" s="1" t="n">
        <v>0.030103683</v>
      </c>
      <c r="K233" s="1" t="n">
        <v>0.029787779</v>
      </c>
      <c r="L233" s="1" t="n">
        <v>0.030831337</v>
      </c>
      <c r="M233" s="1" t="n">
        <v>0.029357433</v>
      </c>
      <c r="N233" s="1" t="n">
        <v>0.030848503</v>
      </c>
      <c r="O233" s="1" t="n">
        <v>0.029288769</v>
      </c>
      <c r="P233" s="1" t="n">
        <v>0.03076148</v>
      </c>
      <c r="R233" s="1" t="n">
        <f aca="false">PERCENTILE(G233:P233,0.9)</f>
        <v>0.0308330536</v>
      </c>
      <c r="S233" s="5" t="n">
        <f aca="false">spmv_1!R$6/R233</f>
        <v>5.45630714305897</v>
      </c>
      <c r="T233" s="6" t="n">
        <f aca="false">S233/128</f>
        <v>0.0426273995551482</v>
      </c>
    </row>
    <row r="234" customFormat="false" ht="15" hidden="false" customHeight="false" outlineLevel="0" collapsed="false">
      <c r="A234" s="1" t="s">
        <v>16</v>
      </c>
      <c r="B234" s="1" t="n">
        <v>101</v>
      </c>
      <c r="D234" s="1" t="n">
        <v>866104</v>
      </c>
      <c r="E234" s="1" t="n">
        <v>0.058248</v>
      </c>
      <c r="G234" s="1" t="n">
        <v>0.029236555</v>
      </c>
      <c r="H234" s="1" t="n">
        <v>0.02905798</v>
      </c>
      <c r="I234" s="1" t="n">
        <v>0.028935671</v>
      </c>
      <c r="J234" s="1" t="n">
        <v>0.030045033</v>
      </c>
      <c r="K234" s="1" t="n">
        <v>0.029667139</v>
      </c>
      <c r="L234" s="1" t="n">
        <v>0.03075695</v>
      </c>
      <c r="M234" s="1" t="n">
        <v>0.029226542</v>
      </c>
      <c r="N234" s="1" t="n">
        <v>0.030770779</v>
      </c>
      <c r="O234" s="1" t="n">
        <v>0.029257059</v>
      </c>
      <c r="P234" s="1" t="n">
        <v>0.030428886</v>
      </c>
      <c r="R234" s="1" t="n">
        <f aca="false">PERCENTILE(G234:P234,0.9)</f>
        <v>0.0307583329</v>
      </c>
      <c r="S234" s="5" t="n">
        <f aca="false">spmv_1!R$6/R234</f>
        <v>5.46956205809191</v>
      </c>
      <c r="T234" s="6" t="n">
        <f aca="false">S234/128</f>
        <v>0.042730953578843</v>
      </c>
    </row>
    <row r="235" customFormat="false" ht="15" hidden="false" customHeight="false" outlineLevel="0" collapsed="false">
      <c r="A235" s="1" t="s">
        <v>16</v>
      </c>
      <c r="B235" s="1" t="n">
        <v>102</v>
      </c>
      <c r="D235" s="1" t="n">
        <v>866474</v>
      </c>
      <c r="E235" s="1" t="n">
        <v>0.077683</v>
      </c>
      <c r="G235" s="1" t="n">
        <v>0.022876024</v>
      </c>
      <c r="H235" s="1" t="n">
        <v>0.021584511</v>
      </c>
      <c r="I235" s="1" t="n">
        <v>0.021376133</v>
      </c>
      <c r="J235" s="1" t="n">
        <v>0.022313833</v>
      </c>
      <c r="K235" s="1" t="n">
        <v>0.022036076</v>
      </c>
      <c r="L235" s="1" t="n">
        <v>0.023287296</v>
      </c>
      <c r="M235" s="1" t="n">
        <v>0.021631002</v>
      </c>
      <c r="N235" s="1" t="n">
        <v>0.023346186</v>
      </c>
      <c r="O235" s="1" t="n">
        <v>0.021479368</v>
      </c>
      <c r="P235" s="1" t="n">
        <v>0.023147583</v>
      </c>
      <c r="R235" s="1" t="n">
        <f aca="false">PERCENTILE(G235:P235,0.9)</f>
        <v>0.023293185</v>
      </c>
      <c r="S235" s="5" t="n">
        <f aca="false">spmv_1!R$6/R235</f>
        <v>7.22248205215388</v>
      </c>
      <c r="T235" s="6" t="n">
        <f aca="false">S235/128</f>
        <v>0.0564256410324522</v>
      </c>
    </row>
    <row r="236" customFormat="false" ht="15" hidden="false" customHeight="false" outlineLevel="0" collapsed="false">
      <c r="A236" s="1" t="s">
        <v>16</v>
      </c>
      <c r="B236" s="1" t="n">
        <v>103</v>
      </c>
      <c r="D236" s="1" t="n">
        <v>866474</v>
      </c>
      <c r="E236" s="1" t="n">
        <v>0.083734</v>
      </c>
      <c r="G236" s="1" t="n">
        <v>0.020099401</v>
      </c>
      <c r="H236" s="1" t="n">
        <v>0.019990921</v>
      </c>
      <c r="I236" s="1" t="n">
        <v>0.019837141</v>
      </c>
      <c r="J236" s="1" t="n">
        <v>0.020773411</v>
      </c>
      <c r="K236" s="1" t="n">
        <v>0.020516396</v>
      </c>
      <c r="L236" s="1" t="n">
        <v>0.02204752</v>
      </c>
      <c r="M236" s="1" t="n">
        <v>0.020102501</v>
      </c>
      <c r="N236" s="1" t="n">
        <v>0.021925926</v>
      </c>
      <c r="O236" s="1" t="n">
        <v>0.019927025</v>
      </c>
      <c r="P236" s="1" t="n">
        <v>0.021738529</v>
      </c>
      <c r="R236" s="1" t="n">
        <f aca="false">PERCENTILE(G236:P236,0.9)</f>
        <v>0.0219380854</v>
      </c>
      <c r="S236" s="5" t="n">
        <f aca="false">spmv_1!R$6/R236</f>
        <v>7.66860952232413</v>
      </c>
      <c r="T236" s="6" t="n">
        <f aca="false">S236/128</f>
        <v>0.0599110118931573</v>
      </c>
    </row>
    <row r="237" customFormat="false" ht="15" hidden="false" customHeight="false" outlineLevel="0" collapsed="false">
      <c r="A237" s="1" t="s">
        <v>16</v>
      </c>
      <c r="B237" s="1" t="n">
        <v>104</v>
      </c>
      <c r="D237" s="1" t="n">
        <v>866516</v>
      </c>
      <c r="E237" s="1" t="n">
        <v>0.084409</v>
      </c>
      <c r="G237" s="1" t="n">
        <v>0.019937515</v>
      </c>
      <c r="H237" s="1" t="n">
        <v>0.019815445</v>
      </c>
      <c r="I237" s="1" t="n">
        <v>0.019691229</v>
      </c>
      <c r="J237" s="1" t="n">
        <v>0.020626783</v>
      </c>
      <c r="K237" s="1" t="n">
        <v>0.020338535</v>
      </c>
      <c r="L237" s="1" t="n">
        <v>0.021862745</v>
      </c>
      <c r="M237" s="1" t="n">
        <v>0.019937754</v>
      </c>
      <c r="N237" s="1" t="n">
        <v>0.021777868</v>
      </c>
      <c r="O237" s="1" t="n">
        <v>0.019781113</v>
      </c>
      <c r="P237" s="1" t="n">
        <v>0.021545649</v>
      </c>
      <c r="R237" s="1" t="n">
        <f aca="false">PERCENTILE(G237:P237,0.9)</f>
        <v>0.0217863557</v>
      </c>
      <c r="S237" s="5" t="n">
        <f aca="false">spmv_1!R$6/R237</f>
        <v>7.72201706961022</v>
      </c>
      <c r="T237" s="6" t="n">
        <f aca="false">S237/128</f>
        <v>0.0603282583563299</v>
      </c>
    </row>
    <row r="238" customFormat="false" ht="15" hidden="false" customHeight="false" outlineLevel="0" collapsed="false">
      <c r="A238" s="1" t="s">
        <v>16</v>
      </c>
      <c r="B238" s="1" t="n">
        <v>105</v>
      </c>
      <c r="D238" s="1" t="n">
        <v>866516</v>
      </c>
      <c r="E238" s="1" t="n">
        <v>0.078337</v>
      </c>
      <c r="G238" s="1" t="n">
        <v>0.022758007</v>
      </c>
      <c r="H238" s="1" t="n">
        <v>0.021374464</v>
      </c>
      <c r="I238" s="1" t="n">
        <v>0.021180868</v>
      </c>
      <c r="J238" s="1" t="n">
        <v>0.022124529</v>
      </c>
      <c r="K238" s="1" t="n">
        <v>0.021872044</v>
      </c>
      <c r="L238" s="1" t="n">
        <v>0.023083448</v>
      </c>
      <c r="M238" s="1" t="n">
        <v>0.02140975</v>
      </c>
      <c r="N238" s="1" t="n">
        <v>0.02316761</v>
      </c>
      <c r="O238" s="1" t="n">
        <v>0.021295547</v>
      </c>
      <c r="P238" s="1" t="n">
        <v>0.022962332</v>
      </c>
      <c r="R238" s="1" t="n">
        <f aca="false">PERCENTILE(G238:P238,0.9)</f>
        <v>0.0230918642</v>
      </c>
      <c r="S238" s="5" t="n">
        <f aca="false">spmv_1!R$6/R238</f>
        <v>7.28544950476541</v>
      </c>
      <c r="T238" s="6" t="n">
        <f aca="false">S238/128</f>
        <v>0.0569175742559797</v>
      </c>
    </row>
    <row r="239" customFormat="false" ht="15" hidden="false" customHeight="false" outlineLevel="0" collapsed="false">
      <c r="A239" s="1" t="s">
        <v>16</v>
      </c>
      <c r="B239" s="1" t="n">
        <v>106</v>
      </c>
      <c r="D239" s="1" t="n">
        <v>866380</v>
      </c>
      <c r="E239" s="1" t="n">
        <v>0.078611</v>
      </c>
      <c r="G239" s="1" t="n">
        <v>0.022677183</v>
      </c>
      <c r="H239" s="1" t="n">
        <v>0.021294355</v>
      </c>
      <c r="I239" s="1" t="n">
        <v>0.021142483</v>
      </c>
      <c r="J239" s="1" t="n">
        <v>0.022051573</v>
      </c>
      <c r="K239" s="1" t="n">
        <v>0.021751881</v>
      </c>
      <c r="L239" s="1" t="n">
        <v>0.022994518</v>
      </c>
      <c r="M239" s="1" t="n">
        <v>0.021329641</v>
      </c>
      <c r="N239" s="1" t="n">
        <v>0.023098946</v>
      </c>
      <c r="O239" s="1" t="n">
        <v>0.021223545</v>
      </c>
      <c r="P239" s="1" t="n">
        <v>0.022857904</v>
      </c>
      <c r="R239" s="1" t="n">
        <f aca="false">PERCENTILE(G239:P239,0.9)</f>
        <v>0.0230049608</v>
      </c>
      <c r="S239" s="5" t="n">
        <f aca="false">spmv_1!R$6/R239</f>
        <v>7.3129709745039</v>
      </c>
      <c r="T239" s="6" t="n">
        <f aca="false">S239/128</f>
        <v>0.0571325857383117</v>
      </c>
    </row>
    <row r="240" customFormat="false" ht="15" hidden="false" customHeight="false" outlineLevel="0" collapsed="false">
      <c r="A240" s="1" t="s">
        <v>16</v>
      </c>
      <c r="B240" s="1" t="n">
        <v>107</v>
      </c>
      <c r="D240" s="1" t="n">
        <v>866380</v>
      </c>
      <c r="E240" s="1" t="n">
        <v>0.080375</v>
      </c>
      <c r="G240" s="1" t="n">
        <v>0.020879269</v>
      </c>
      <c r="H240" s="1" t="n">
        <v>0.020821095</v>
      </c>
      <c r="I240" s="1" t="n">
        <v>0.020622492</v>
      </c>
      <c r="J240" s="1" t="n">
        <v>0.021657467</v>
      </c>
      <c r="K240" s="1" t="n">
        <v>0.021345615</v>
      </c>
      <c r="L240" s="1" t="n">
        <v>0.022945404</v>
      </c>
      <c r="M240" s="1" t="n">
        <v>0.020887613</v>
      </c>
      <c r="N240" s="1" t="n">
        <v>0.022725821</v>
      </c>
      <c r="O240" s="1" t="n">
        <v>0.021034479</v>
      </c>
      <c r="P240" s="1" t="n">
        <v>0.022665501</v>
      </c>
      <c r="R240" s="1" t="n">
        <f aca="false">PERCENTILE(G240:P240,0.9)</f>
        <v>0.0227477793</v>
      </c>
      <c r="S240" s="5" t="n">
        <f aca="false">spmv_1!R$6/R240</f>
        <v>7.39564985141209</v>
      </c>
      <c r="T240" s="6" t="n">
        <f aca="false">S240/128</f>
        <v>0.0577785144641569</v>
      </c>
    </row>
    <row r="241" customFormat="false" ht="15" hidden="false" customHeight="false" outlineLevel="0" collapsed="false">
      <c r="A241" s="1" t="s">
        <v>16</v>
      </c>
      <c r="B241" s="1" t="n">
        <v>108</v>
      </c>
      <c r="D241" s="1" t="n">
        <v>866508</v>
      </c>
      <c r="E241" s="1" t="n">
        <v>0.080752</v>
      </c>
      <c r="G241" s="1" t="n">
        <v>0.020810604</v>
      </c>
      <c r="H241" s="1" t="n">
        <v>0.020721436</v>
      </c>
      <c r="I241" s="1" t="n">
        <v>0.020510197</v>
      </c>
      <c r="J241" s="1" t="n">
        <v>0.021550179</v>
      </c>
      <c r="K241" s="1" t="n">
        <v>0.021240473</v>
      </c>
      <c r="L241" s="1" t="n">
        <v>0.022838354</v>
      </c>
      <c r="M241" s="1" t="n">
        <v>0.020787001</v>
      </c>
      <c r="N241" s="1" t="n">
        <v>0.022643328</v>
      </c>
      <c r="O241" s="1" t="n">
        <v>0.020932913</v>
      </c>
      <c r="P241" s="1" t="n">
        <v>0.022574663</v>
      </c>
      <c r="R241" s="1" t="n">
        <f aca="false">PERCENTILE(G241:P241,0.9)</f>
        <v>0.0226628306</v>
      </c>
      <c r="S241" s="5" t="n">
        <f aca="false">spmv_1!R$6/R241</f>
        <v>7.42337149182062</v>
      </c>
      <c r="T241" s="6" t="n">
        <f aca="false">S241/128</f>
        <v>0.0579950897798486</v>
      </c>
    </row>
    <row r="242" customFormat="false" ht="15" hidden="false" customHeight="false" outlineLevel="0" collapsed="false">
      <c r="A242" s="1" t="s">
        <v>16</v>
      </c>
      <c r="B242" s="1" t="n">
        <v>109</v>
      </c>
      <c r="D242" s="1" t="n">
        <v>866508</v>
      </c>
      <c r="E242" s="1" t="n">
        <v>0.080961</v>
      </c>
      <c r="G242" s="1" t="n">
        <v>0.020744324</v>
      </c>
      <c r="H242" s="1" t="n">
        <v>0.020645618</v>
      </c>
      <c r="I242" s="1" t="n">
        <v>0.020460844</v>
      </c>
      <c r="J242" s="1" t="n">
        <v>0.021492243</v>
      </c>
      <c r="K242" s="1" t="n">
        <v>0.021184683</v>
      </c>
      <c r="L242" s="1" t="n">
        <v>0.022789717</v>
      </c>
      <c r="M242" s="1" t="n">
        <v>0.020767689</v>
      </c>
      <c r="N242" s="1" t="n">
        <v>0.022601366</v>
      </c>
      <c r="O242" s="1" t="n">
        <v>0.020877361</v>
      </c>
      <c r="P242" s="1" t="n">
        <v>0.02249217</v>
      </c>
      <c r="R242" s="1" t="n">
        <f aca="false">PERCENTILE(G242:P242,0.9)</f>
        <v>0.0226202011</v>
      </c>
      <c r="S242" s="5" t="n">
        <f aca="false">spmv_1!R$6/R242</f>
        <v>7.43736140347576</v>
      </c>
      <c r="T242" s="6" t="n">
        <f aca="false">S242/128</f>
        <v>0.0581043859646544</v>
      </c>
    </row>
    <row r="243" customFormat="false" ht="15" hidden="false" customHeight="false" outlineLevel="0" collapsed="false">
      <c r="A243" s="1" t="s">
        <v>16</v>
      </c>
      <c r="B243" s="1" t="n">
        <v>110</v>
      </c>
      <c r="D243" s="1" t="n">
        <v>866408</v>
      </c>
      <c r="E243" s="1" t="n">
        <v>0.080037</v>
      </c>
      <c r="G243" s="1" t="n">
        <v>0.022438049</v>
      </c>
      <c r="H243" s="1" t="n">
        <v>0.020902395</v>
      </c>
      <c r="I243" s="1" t="n">
        <v>0.020727158</v>
      </c>
      <c r="J243" s="1" t="n">
        <v>0.021628618</v>
      </c>
      <c r="K243" s="1" t="n">
        <v>0.021343946</v>
      </c>
      <c r="L243" s="1" t="n">
        <v>0.022603035</v>
      </c>
      <c r="M243" s="1" t="n">
        <v>0.020935297</v>
      </c>
      <c r="N243" s="1" t="n">
        <v>0.022655725</v>
      </c>
      <c r="O243" s="1" t="n">
        <v>0.020825386</v>
      </c>
      <c r="P243" s="1" t="n">
        <v>0.022443295</v>
      </c>
      <c r="R243" s="1" t="n">
        <f aca="false">PERCENTILE(G243:P243,0.9)</f>
        <v>0.022608304</v>
      </c>
      <c r="S243" s="5" t="n">
        <f aca="false">spmv_1!R$6/R243</f>
        <v>7.44127514385865</v>
      </c>
      <c r="T243" s="6" t="n">
        <f aca="false">S243/128</f>
        <v>0.0581349620613957</v>
      </c>
    </row>
    <row r="244" customFormat="false" ht="15" hidden="false" customHeight="false" outlineLevel="0" collapsed="false">
      <c r="A244" s="1" t="s">
        <v>16</v>
      </c>
      <c r="B244" s="1" t="n">
        <v>111</v>
      </c>
      <c r="D244" s="1" t="n">
        <v>866408</v>
      </c>
      <c r="E244" s="1" t="n">
        <v>0.081817</v>
      </c>
      <c r="G244" s="1" t="n">
        <v>0.020544767</v>
      </c>
      <c r="H244" s="1" t="n">
        <v>0.020423651</v>
      </c>
      <c r="I244" s="1" t="n">
        <v>0.020265579</v>
      </c>
      <c r="J244" s="1" t="n">
        <v>0.021275759</v>
      </c>
      <c r="K244" s="1" t="n">
        <v>0.02095294</v>
      </c>
      <c r="L244" s="1" t="n">
        <v>0.022525549</v>
      </c>
      <c r="M244" s="1" t="n">
        <v>0.020528078</v>
      </c>
      <c r="N244" s="1" t="n">
        <v>0.022352934</v>
      </c>
      <c r="O244" s="1" t="n">
        <v>0.020625353</v>
      </c>
      <c r="P244" s="1" t="n">
        <v>0.022297382</v>
      </c>
      <c r="R244" s="1" t="n">
        <f aca="false">PERCENTILE(G244:P244,0.9)</f>
        <v>0.0223701955</v>
      </c>
      <c r="S244" s="5" t="n">
        <f aca="false">spmv_1!R$6/R244</f>
        <v>7.52048012275977</v>
      </c>
      <c r="T244" s="6" t="n">
        <f aca="false">S244/128</f>
        <v>0.0587537509590607</v>
      </c>
    </row>
    <row r="245" customFormat="false" ht="15" hidden="false" customHeight="false" outlineLevel="0" collapsed="false">
      <c r="A245" s="1" t="s">
        <v>16</v>
      </c>
      <c r="B245" s="1" t="n">
        <v>112</v>
      </c>
      <c r="D245" s="1" t="n">
        <v>866274</v>
      </c>
      <c r="E245" s="1" t="n">
        <v>0.082054</v>
      </c>
      <c r="G245" s="1" t="n">
        <v>0.020507574</v>
      </c>
      <c r="H245" s="1" t="n">
        <v>0.020374537</v>
      </c>
      <c r="I245" s="1" t="n">
        <v>0.020201445</v>
      </c>
      <c r="J245" s="1" t="n">
        <v>0.021237135</v>
      </c>
      <c r="K245" s="1" t="n">
        <v>0.020865202</v>
      </c>
      <c r="L245" s="1" t="n">
        <v>0.022450686</v>
      </c>
      <c r="M245" s="1" t="n">
        <v>0.020442009</v>
      </c>
      <c r="N245" s="1" t="n">
        <v>0.022279739</v>
      </c>
      <c r="O245" s="1" t="n">
        <v>0.020559549</v>
      </c>
      <c r="P245" s="1" t="n">
        <v>0.022229195</v>
      </c>
      <c r="R245" s="1" t="n">
        <f aca="false">PERCENTILE(G245:P245,0.9)</f>
        <v>0.0222968337</v>
      </c>
      <c r="S245" s="5" t="n">
        <f aca="false">spmv_1!R$6/R245</f>
        <v>7.54522426204399</v>
      </c>
      <c r="T245" s="6" t="n">
        <f aca="false">S245/128</f>
        <v>0.0589470645472186</v>
      </c>
    </row>
    <row r="246" customFormat="false" ht="15" hidden="false" customHeight="false" outlineLevel="0" collapsed="false">
      <c r="A246" s="1" t="s">
        <v>16</v>
      </c>
      <c r="B246" s="1" t="n">
        <v>113</v>
      </c>
      <c r="D246" s="1" t="n">
        <v>866274</v>
      </c>
      <c r="E246" s="1" t="n">
        <v>0.082594</v>
      </c>
      <c r="G246" s="1" t="n">
        <v>0.020419121</v>
      </c>
      <c r="H246" s="1" t="n">
        <v>0.020228863</v>
      </c>
      <c r="I246" s="1" t="n">
        <v>0.020041466</v>
      </c>
      <c r="J246" s="1" t="n">
        <v>0.0210886</v>
      </c>
      <c r="K246" s="1" t="n">
        <v>0.020736217</v>
      </c>
      <c r="L246" s="1" t="n">
        <v>0.022282124</v>
      </c>
      <c r="M246" s="1" t="n">
        <v>0.020304441</v>
      </c>
      <c r="N246" s="1" t="n">
        <v>0.022124052</v>
      </c>
      <c r="O246" s="1" t="n">
        <v>0.020429611</v>
      </c>
      <c r="P246" s="1" t="n">
        <v>0.022112608</v>
      </c>
      <c r="R246" s="1" t="n">
        <f aca="false">PERCENTILE(G246:P246,0.9)</f>
        <v>0.0221398592</v>
      </c>
      <c r="S246" s="5" t="n">
        <f aca="false">spmv_1!R$6/R246</f>
        <v>7.59872088978777</v>
      </c>
      <c r="T246" s="6" t="n">
        <f aca="false">S246/128</f>
        <v>0.059365006951467</v>
      </c>
    </row>
    <row r="247" customFormat="false" ht="15" hidden="false" customHeight="false" outlineLevel="0" collapsed="false">
      <c r="A247" s="1" t="s">
        <v>16</v>
      </c>
      <c r="B247" s="1" t="n">
        <v>114</v>
      </c>
      <c r="D247" s="1" t="n">
        <v>866140</v>
      </c>
      <c r="E247" s="1" t="n">
        <v>0.083221</v>
      </c>
      <c r="G247" s="1" t="n">
        <v>0.020176411</v>
      </c>
      <c r="H247" s="1" t="n">
        <v>0.02011013</v>
      </c>
      <c r="I247" s="1" t="n">
        <v>0.019920111</v>
      </c>
      <c r="J247" s="1" t="n">
        <v>0.02095294</v>
      </c>
      <c r="K247" s="1" t="n">
        <v>0.020601988</v>
      </c>
      <c r="L247" s="1" t="n">
        <v>0.022106647</v>
      </c>
      <c r="M247" s="1" t="n">
        <v>0.020156145</v>
      </c>
      <c r="N247" s="1" t="n">
        <v>0.021955967</v>
      </c>
      <c r="O247" s="1" t="n">
        <v>0.020233393</v>
      </c>
      <c r="P247" s="1" t="n">
        <v>0.02194047</v>
      </c>
      <c r="R247" s="1" t="n">
        <f aca="false">PERCENTILE(G247:P247,0.9)</f>
        <v>0.021971035</v>
      </c>
      <c r="S247" s="5" t="n">
        <f aca="false">spmv_1!R$6/R247</f>
        <v>7.65710903469045</v>
      </c>
      <c r="T247" s="6" t="n">
        <f aca="false">S247/128</f>
        <v>0.0598211643335191</v>
      </c>
    </row>
    <row r="248" customFormat="false" ht="15" hidden="false" customHeight="false" outlineLevel="0" collapsed="false">
      <c r="A248" s="1" t="s">
        <v>16</v>
      </c>
      <c r="B248" s="1" t="n">
        <v>115</v>
      </c>
      <c r="D248" s="1" t="n">
        <v>866140</v>
      </c>
      <c r="E248" s="1" t="n">
        <v>0.084276</v>
      </c>
      <c r="G248" s="1" t="n">
        <v>0.020027399</v>
      </c>
      <c r="H248" s="1" t="n">
        <v>0.01983285</v>
      </c>
      <c r="I248" s="1" t="n">
        <v>0.019674063</v>
      </c>
      <c r="J248" s="1" t="n">
        <v>0.020699024</v>
      </c>
      <c r="K248" s="1" t="n">
        <v>0.020321131</v>
      </c>
      <c r="L248" s="1" t="n">
        <v>0.021789551</v>
      </c>
      <c r="M248" s="1" t="n">
        <v>0.019877672</v>
      </c>
      <c r="N248" s="1" t="n">
        <v>0.021729946</v>
      </c>
      <c r="O248" s="1" t="n">
        <v>0.019920349</v>
      </c>
      <c r="P248" s="1" t="n">
        <v>0.021677017</v>
      </c>
      <c r="R248" s="1" t="n">
        <f aca="false">PERCENTILE(G248:P248,0.9)</f>
        <v>0.0217359065</v>
      </c>
      <c r="S248" s="5" t="n">
        <f aca="false">spmv_1!R$6/R248</f>
        <v>7.73993992843133</v>
      </c>
      <c r="T248" s="6" t="n">
        <f aca="false">S248/128</f>
        <v>0.0604682806908697</v>
      </c>
    </row>
    <row r="249" customFormat="false" ht="15" hidden="false" customHeight="false" outlineLevel="0" collapsed="false">
      <c r="A249" s="1" t="s">
        <v>16</v>
      </c>
      <c r="B249" s="1" t="n">
        <v>116</v>
      </c>
      <c r="D249" s="1" t="n">
        <v>866078</v>
      </c>
      <c r="E249" s="1" t="n">
        <v>0.082417</v>
      </c>
      <c r="G249" s="1" t="n">
        <v>0.021960497</v>
      </c>
      <c r="H249" s="1" t="n">
        <v>0.020288229</v>
      </c>
      <c r="I249" s="1" t="n">
        <v>0.020126104</v>
      </c>
      <c r="J249" s="1" t="n">
        <v>0.020975828</v>
      </c>
      <c r="K249" s="1" t="n">
        <v>0.020680904</v>
      </c>
      <c r="L249" s="1" t="n">
        <v>0.021862984</v>
      </c>
      <c r="M249" s="1" t="n">
        <v>0.020252466</v>
      </c>
      <c r="N249" s="1" t="n">
        <v>0.022019148</v>
      </c>
      <c r="O249" s="1" t="n">
        <v>0.020201683</v>
      </c>
      <c r="P249" s="1" t="n">
        <v>0.021802187</v>
      </c>
      <c r="R249" s="1" t="n">
        <f aca="false">PERCENTILE(G249:P249,0.9)</f>
        <v>0.0219663621</v>
      </c>
      <c r="S249" s="5" t="n">
        <f aca="false">spmv_1!R$6/R249</f>
        <v>7.65873793002802</v>
      </c>
      <c r="T249" s="6" t="n">
        <f aca="false">S249/128</f>
        <v>0.0598338900783439</v>
      </c>
    </row>
    <row r="250" customFormat="false" ht="15" hidden="false" customHeight="false" outlineLevel="0" collapsed="false">
      <c r="A250" s="1" t="s">
        <v>16</v>
      </c>
      <c r="B250" s="1" t="n">
        <v>117</v>
      </c>
      <c r="D250" s="1" t="n">
        <v>866078</v>
      </c>
      <c r="E250" s="1" t="n">
        <v>0.085696</v>
      </c>
      <c r="G250" s="1" t="n">
        <v>0.019761562</v>
      </c>
      <c r="H250" s="1" t="n">
        <v>0.0195086</v>
      </c>
      <c r="I250" s="1" t="n">
        <v>0.019365311</v>
      </c>
      <c r="J250" s="1" t="n">
        <v>0.020445824</v>
      </c>
      <c r="K250" s="1" t="n">
        <v>0.019969463</v>
      </c>
      <c r="L250" s="1" t="n">
        <v>0.021399021</v>
      </c>
      <c r="M250" s="1" t="n">
        <v>0.01957655</v>
      </c>
      <c r="N250" s="1" t="n">
        <v>0.021344662</v>
      </c>
      <c r="O250" s="1" t="n">
        <v>0.01952672</v>
      </c>
      <c r="P250" s="1" t="n">
        <v>0.021230221</v>
      </c>
      <c r="R250" s="1" t="n">
        <f aca="false">PERCENTILE(G250:P250,0.9)</f>
        <v>0.0213500979</v>
      </c>
      <c r="S250" s="5" t="n">
        <f aca="false">spmv_1!R$6/R250</f>
        <v>7.87980511321215</v>
      </c>
      <c r="T250" s="6" t="n">
        <f aca="false">S250/128</f>
        <v>0.0615609774469699</v>
      </c>
    </row>
    <row r="251" customFormat="false" ht="15" hidden="false" customHeight="false" outlineLevel="0" collapsed="false">
      <c r="A251" s="1" t="s">
        <v>16</v>
      </c>
      <c r="B251" s="1" t="n">
        <v>118</v>
      </c>
      <c r="D251" s="1" t="n">
        <v>866230</v>
      </c>
      <c r="E251" s="1" t="n">
        <v>0.061281</v>
      </c>
      <c r="G251" s="1" t="n">
        <v>0.027960062</v>
      </c>
      <c r="H251" s="1" t="n">
        <v>0.027577639</v>
      </c>
      <c r="I251" s="1" t="n">
        <v>0.027462721</v>
      </c>
      <c r="J251" s="1" t="n">
        <v>0.028569698</v>
      </c>
      <c r="K251" s="1" t="n">
        <v>0.028155804</v>
      </c>
      <c r="L251" s="1" t="n">
        <v>0.029236555</v>
      </c>
      <c r="M251" s="1" t="n">
        <v>0.027736902</v>
      </c>
      <c r="N251" s="1" t="n">
        <v>0.029272079</v>
      </c>
      <c r="O251" s="1" t="n">
        <v>0.027812958</v>
      </c>
      <c r="P251" s="1" t="n">
        <v>0.028923035</v>
      </c>
      <c r="R251" s="1" t="n">
        <f aca="false">PERCENTILE(G251:P251,0.9)</f>
        <v>0.0292401074</v>
      </c>
      <c r="S251" s="5" t="n">
        <f aca="false">spmv_1!R$6/R251</f>
        <v>5.75355652079445</v>
      </c>
      <c r="T251" s="6" t="n">
        <f aca="false">S251/128</f>
        <v>0.0449496603187066</v>
      </c>
    </row>
    <row r="252" customFormat="false" ht="15" hidden="false" customHeight="false" outlineLevel="0" collapsed="false">
      <c r="A252" s="1" t="s">
        <v>16</v>
      </c>
      <c r="B252" s="1" t="n">
        <v>119</v>
      </c>
      <c r="D252" s="1" t="n">
        <v>866230</v>
      </c>
      <c r="E252" s="1" t="n">
        <v>0.083511</v>
      </c>
      <c r="G252" s="1" t="n">
        <v>0.021671772</v>
      </c>
      <c r="H252" s="1" t="n">
        <v>0.020050049</v>
      </c>
      <c r="I252" s="1" t="n">
        <v>0.01986599</v>
      </c>
      <c r="J252" s="1" t="n">
        <v>0.020794392</v>
      </c>
      <c r="K252" s="1" t="n">
        <v>0.020539045</v>
      </c>
      <c r="L252" s="1" t="n">
        <v>0.021425009</v>
      </c>
      <c r="M252" s="1" t="n">
        <v>0.020027637</v>
      </c>
      <c r="N252" s="1" t="n">
        <v>0.021667242</v>
      </c>
      <c r="O252" s="1" t="n">
        <v>0.019940376</v>
      </c>
      <c r="P252" s="1" t="n">
        <v>0.021471739</v>
      </c>
      <c r="R252" s="1" t="n">
        <f aca="false">PERCENTILE(G252:P252,0.9)</f>
        <v>0.021667695</v>
      </c>
      <c r="S252" s="5" t="n">
        <f aca="false">spmv_1!R$6/R252</f>
        <v>7.76430582948486</v>
      </c>
      <c r="T252" s="6" t="n">
        <f aca="false">S252/128</f>
        <v>0.0606586392928505</v>
      </c>
    </row>
    <row r="253" customFormat="false" ht="15" hidden="false" customHeight="false" outlineLevel="0" collapsed="false">
      <c r="A253" s="1" t="s">
        <v>16</v>
      </c>
      <c r="B253" s="1" t="n">
        <v>120</v>
      </c>
      <c r="D253" s="1" t="n">
        <v>866274</v>
      </c>
      <c r="E253" s="1" t="n">
        <v>0.06179</v>
      </c>
      <c r="G253" s="1" t="n">
        <v>0.027754068</v>
      </c>
      <c r="H253" s="1" t="n">
        <v>0.027448177</v>
      </c>
      <c r="I253" s="1" t="n">
        <v>0.027352095</v>
      </c>
      <c r="J253" s="1" t="n">
        <v>0.028370857</v>
      </c>
      <c r="K253" s="1" t="n">
        <v>0.027975321</v>
      </c>
      <c r="L253" s="1" t="n">
        <v>0.028796434</v>
      </c>
      <c r="M253" s="1" t="n">
        <v>0.027667284</v>
      </c>
      <c r="N253" s="1" t="n">
        <v>0.028903723</v>
      </c>
      <c r="O253" s="1" t="n">
        <v>0.027600288</v>
      </c>
      <c r="P253" s="1" t="n">
        <v>0.028523922</v>
      </c>
      <c r="R253" s="1" t="n">
        <f aca="false">PERCENTILE(G253:P253,0.9)</f>
        <v>0.0288071629</v>
      </c>
      <c r="S253" s="5" t="n">
        <f aca="false">spmv_1!R$6/R253</f>
        <v>5.84002705104986</v>
      </c>
      <c r="T253" s="6" t="n">
        <f aca="false">S253/128</f>
        <v>0.0456252113363271</v>
      </c>
    </row>
    <row r="254" customFormat="false" ht="15" hidden="false" customHeight="false" outlineLevel="0" collapsed="false">
      <c r="A254" s="1" t="s">
        <v>16</v>
      </c>
      <c r="B254" s="1" t="n">
        <v>121</v>
      </c>
      <c r="D254" s="1" t="n">
        <v>866274</v>
      </c>
      <c r="E254" s="1" t="n">
        <v>0.094432</v>
      </c>
      <c r="G254" s="1" t="n">
        <v>0.017998457</v>
      </c>
      <c r="H254" s="1" t="n">
        <v>0.017724752</v>
      </c>
      <c r="I254" s="1" t="n">
        <v>0.017560005</v>
      </c>
      <c r="J254" s="1" t="n">
        <v>0.018560171</v>
      </c>
      <c r="K254" s="1" t="n">
        <v>0.018217802</v>
      </c>
      <c r="L254" s="1" t="n">
        <v>0.019297838</v>
      </c>
      <c r="M254" s="1" t="n">
        <v>0.017810106</v>
      </c>
      <c r="N254" s="1" t="n">
        <v>0.019407272</v>
      </c>
      <c r="O254" s="1" t="n">
        <v>0.017670631</v>
      </c>
      <c r="P254" s="1" t="n">
        <v>0.019223213</v>
      </c>
      <c r="R254" s="1" t="n">
        <f aca="false">PERCENTILE(G254:P254,0.9)</f>
        <v>0.0193087814</v>
      </c>
      <c r="S254" s="5" t="n">
        <f aca="false">spmv_1!R$6/R254</f>
        <v>8.71285489823817</v>
      </c>
      <c r="T254" s="6" t="n">
        <f aca="false">S254/128</f>
        <v>0.0680691788924857</v>
      </c>
    </row>
    <row r="255" customFormat="false" ht="15" hidden="false" customHeight="false" outlineLevel="0" collapsed="false">
      <c r="A255" s="1" t="s">
        <v>16</v>
      </c>
      <c r="B255" s="1" t="n">
        <v>122</v>
      </c>
      <c r="D255" s="1" t="n">
        <v>866150</v>
      </c>
      <c r="E255" s="1" t="n">
        <v>0.062202</v>
      </c>
      <c r="G255" s="1" t="n">
        <v>0.027611256</v>
      </c>
      <c r="H255" s="1" t="n">
        <v>0.027271986</v>
      </c>
      <c r="I255" s="1" t="n">
        <v>0.027093649</v>
      </c>
      <c r="J255" s="1" t="n">
        <v>0.028255224</v>
      </c>
      <c r="K255" s="1" t="n">
        <v>0.027877808</v>
      </c>
      <c r="L255" s="1" t="n">
        <v>0.028478861</v>
      </c>
      <c r="M255" s="1" t="n">
        <v>0.027387857</v>
      </c>
      <c r="N255" s="1" t="n">
        <v>0.028734684</v>
      </c>
      <c r="O255" s="1" t="n">
        <v>0.02738595</v>
      </c>
      <c r="P255" s="1" t="n">
        <v>0.028398752</v>
      </c>
      <c r="R255" s="1" t="n">
        <f aca="false">PERCENTILE(G255:P255,0.9)</f>
        <v>0.0285044433</v>
      </c>
      <c r="S255" s="5" t="n">
        <f aca="false">spmv_1!R$6/R255</f>
        <v>5.90204863253723</v>
      </c>
      <c r="T255" s="6" t="n">
        <f aca="false">S255/128</f>
        <v>0.0461097549416971</v>
      </c>
    </row>
    <row r="256" customFormat="false" ht="15" hidden="false" customHeight="false" outlineLevel="0" collapsed="false">
      <c r="A256" s="1" t="s">
        <v>16</v>
      </c>
      <c r="B256" s="1" t="n">
        <v>123</v>
      </c>
      <c r="D256" s="1" t="n">
        <v>866150</v>
      </c>
      <c r="E256" s="1" t="n">
        <v>0.062286</v>
      </c>
      <c r="G256" s="1" t="n">
        <v>0.027683735</v>
      </c>
      <c r="H256" s="1" t="n">
        <v>0.027171135</v>
      </c>
      <c r="I256" s="1" t="n">
        <v>0.027030706</v>
      </c>
      <c r="J256" s="1" t="n">
        <v>0.028273106</v>
      </c>
      <c r="K256" s="1" t="n">
        <v>0.027817488</v>
      </c>
      <c r="L256" s="1" t="n">
        <v>0.02808094</v>
      </c>
      <c r="M256" s="1" t="n">
        <v>0.027312517</v>
      </c>
      <c r="N256" s="1" t="n">
        <v>0.02857399</v>
      </c>
      <c r="O256" s="1" t="n">
        <v>0.027358532</v>
      </c>
      <c r="P256" s="1" t="n">
        <v>0.028818846</v>
      </c>
      <c r="R256" s="1" t="n">
        <f aca="false">PERCENTILE(G256:P256,0.9)</f>
        <v>0.0285984756</v>
      </c>
      <c r="S256" s="5" t="n">
        <f aca="false">spmv_1!R$6/R256</f>
        <v>5.88264259092188</v>
      </c>
      <c r="T256" s="6" t="n">
        <f aca="false">S256/128</f>
        <v>0.0459581452415771</v>
      </c>
    </row>
    <row r="257" customFormat="false" ht="15" hidden="false" customHeight="false" outlineLevel="0" collapsed="false">
      <c r="A257" s="1" t="s">
        <v>16</v>
      </c>
      <c r="B257" s="1" t="n">
        <v>124</v>
      </c>
      <c r="D257" s="1" t="n">
        <v>865992</v>
      </c>
      <c r="E257" s="1" t="n">
        <v>0.095872</v>
      </c>
      <c r="G257" s="1" t="n">
        <v>0.01789856</v>
      </c>
      <c r="H257" s="1" t="n">
        <v>0.017468929</v>
      </c>
      <c r="I257" s="1" t="n">
        <v>0.017378807</v>
      </c>
      <c r="J257" s="1" t="n">
        <v>0.018301725</v>
      </c>
      <c r="K257" s="1" t="n">
        <v>0.018007994</v>
      </c>
      <c r="L257" s="1" t="n">
        <v>0.018697977</v>
      </c>
      <c r="M257" s="1" t="n">
        <v>0.017530441</v>
      </c>
      <c r="N257" s="1" t="n">
        <v>0.019064903</v>
      </c>
      <c r="O257" s="1" t="n">
        <v>0.017435074</v>
      </c>
      <c r="P257" s="1" t="n">
        <v>0.018870831</v>
      </c>
      <c r="R257" s="1" t="n">
        <f aca="false">PERCENTILE(G257:P257,0.9)</f>
        <v>0.0188902382</v>
      </c>
      <c r="S257" s="5" t="n">
        <f aca="false">spmv_1!R$6/R257</f>
        <v>8.90590202298243</v>
      </c>
      <c r="T257" s="6" t="n">
        <f aca="false">S257/128</f>
        <v>0.0695773595545502</v>
      </c>
    </row>
    <row r="258" customFormat="false" ht="15" hidden="false" customHeight="false" outlineLevel="0" collapsed="false">
      <c r="A258" s="1" t="s">
        <v>16</v>
      </c>
      <c r="B258" s="1" t="n">
        <v>125</v>
      </c>
      <c r="D258" s="1" t="n">
        <v>865992</v>
      </c>
      <c r="E258" s="1" t="n">
        <v>0.063546</v>
      </c>
      <c r="G258" s="1" t="n">
        <v>0.027431488</v>
      </c>
      <c r="H258" s="1" t="n">
        <v>0.026918173</v>
      </c>
      <c r="I258" s="1" t="n">
        <v>0.026706934</v>
      </c>
      <c r="J258" s="1" t="n">
        <v>0.02777648</v>
      </c>
      <c r="K258" s="1" t="n">
        <v>0.027393341</v>
      </c>
      <c r="L258" s="1" t="n">
        <v>0.026961803</v>
      </c>
      <c r="M258" s="1" t="n">
        <v>0.026889563</v>
      </c>
      <c r="N258" s="1" t="n">
        <v>0.027576685</v>
      </c>
      <c r="O258" s="1" t="n">
        <v>0.026986122</v>
      </c>
      <c r="P258" s="1" t="n">
        <v>0.027914286</v>
      </c>
      <c r="R258" s="1" t="n">
        <f aca="false">PERCENTILE(G258:P258,0.9)</f>
        <v>0.0277902606</v>
      </c>
      <c r="S258" s="5" t="n">
        <f aca="false">spmv_1!R$6/R258</f>
        <v>6.05372554872695</v>
      </c>
      <c r="T258" s="6" t="n">
        <f aca="false">S258/128</f>
        <v>0.0472947308494293</v>
      </c>
    </row>
    <row r="259" customFormat="false" ht="15" hidden="false" customHeight="false" outlineLevel="0" collapsed="false">
      <c r="A259" s="1" t="s">
        <v>16</v>
      </c>
      <c r="B259" s="1" t="n">
        <v>126</v>
      </c>
      <c r="D259" s="1" t="n">
        <v>865644</v>
      </c>
      <c r="E259" s="1" t="n">
        <v>0.08707</v>
      </c>
      <c r="G259" s="1" t="n">
        <v>0.021120071</v>
      </c>
      <c r="H259" s="1" t="n">
        <v>0.019352674</v>
      </c>
      <c r="I259" s="1" t="n">
        <v>0.019231796</v>
      </c>
      <c r="J259" s="1" t="n">
        <v>0.020198345</v>
      </c>
      <c r="K259" s="1" t="n">
        <v>0.019775867</v>
      </c>
      <c r="L259" s="1" t="n">
        <v>0.019709587</v>
      </c>
      <c r="M259" s="1" t="n">
        <v>0.019364119</v>
      </c>
      <c r="N259" s="1" t="n">
        <v>0.020487547</v>
      </c>
      <c r="O259" s="1" t="n">
        <v>0.019305468</v>
      </c>
      <c r="P259" s="1" t="n">
        <v>0.020294189</v>
      </c>
      <c r="R259" s="1" t="n">
        <f aca="false">PERCENTILE(G259:P259,0.9)</f>
        <v>0.0205507994</v>
      </c>
      <c r="S259" s="5" t="n">
        <f aca="false">spmv_1!R$6/R259</f>
        <v>8.18628060765364</v>
      </c>
      <c r="T259" s="6" t="n">
        <f aca="false">S259/128</f>
        <v>0.063955317247294</v>
      </c>
    </row>
    <row r="260" customFormat="false" ht="15" hidden="false" customHeight="false" outlineLevel="0" collapsed="false">
      <c r="A260" s="1" t="s">
        <v>16</v>
      </c>
      <c r="B260" s="1" t="n">
        <v>127</v>
      </c>
      <c r="D260" s="1" t="n">
        <v>865644</v>
      </c>
      <c r="E260" s="1" t="n">
        <v>0.087844</v>
      </c>
      <c r="G260" s="1" t="n">
        <v>0.02106452</v>
      </c>
      <c r="H260" s="1" t="n">
        <v>0.019155979</v>
      </c>
      <c r="I260" s="1" t="n">
        <v>0.019078732</v>
      </c>
      <c r="J260" s="1" t="n">
        <v>0.019935131</v>
      </c>
      <c r="K260" s="1" t="n">
        <v>0.019634247</v>
      </c>
      <c r="L260" s="1" t="n">
        <v>0.01952219</v>
      </c>
      <c r="M260" s="1" t="n">
        <v>0.019180298</v>
      </c>
      <c r="N260" s="1" t="n">
        <v>0.020346642</v>
      </c>
      <c r="O260" s="1" t="n">
        <v>0.019124985</v>
      </c>
      <c r="P260" s="1" t="n">
        <v>0.02004385</v>
      </c>
      <c r="R260" s="1" t="n">
        <f aca="false">PERCENTILE(G260:P260,0.9)</f>
        <v>0.0204184298</v>
      </c>
      <c r="S260" s="5" t="n">
        <f aca="false">spmv_1!R$6/R260</f>
        <v>8.23935102982307</v>
      </c>
      <c r="T260" s="6" t="n">
        <f aca="false">S260/128</f>
        <v>0.0643699299204927</v>
      </c>
    </row>
    <row r="261" customFormat="false" ht="15" hidden="false" customHeight="true" outlineLevel="0" collapsed="false">
      <c r="E261" s="10" t="n">
        <f aca="false">PERCENTILE(E133:E260,0.9)</f>
        <v>0.0864991</v>
      </c>
    </row>
    <row r="263" customFormat="false" ht="15" hidden="false" customHeight="false" outlineLevel="0" collapsed="false">
      <c r="A263" s="2" t="s">
        <v>0</v>
      </c>
      <c r="B263" s="2" t="s">
        <v>1</v>
      </c>
      <c r="C263" s="3"/>
      <c r="D263" s="2" t="s">
        <v>2</v>
      </c>
      <c r="E263" s="2" t="s">
        <v>3</v>
      </c>
      <c r="F263" s="3"/>
      <c r="G263" s="2" t="s">
        <v>4</v>
      </c>
      <c r="H263" s="2" t="s">
        <v>5</v>
      </c>
      <c r="I263" s="2" t="s">
        <v>6</v>
      </c>
      <c r="J263" s="2" t="s">
        <v>7</v>
      </c>
      <c r="K263" s="2" t="s">
        <v>8</v>
      </c>
      <c r="L263" s="2" t="s">
        <v>9</v>
      </c>
      <c r="M263" s="2" t="s">
        <v>10</v>
      </c>
      <c r="N263" s="2" t="s">
        <v>11</v>
      </c>
      <c r="O263" s="2" t="s">
        <v>12</v>
      </c>
      <c r="P263" s="2" t="s">
        <v>13</v>
      </c>
      <c r="R263" s="4" t="s">
        <v>14</v>
      </c>
      <c r="S263" s="7" t="s">
        <v>20</v>
      </c>
      <c r="T263" s="8" t="s">
        <v>21</v>
      </c>
    </row>
    <row r="264" customFormat="false" ht="15" hidden="false" customHeight="false" outlineLevel="0" collapsed="false">
      <c r="A264" s="1" t="s">
        <v>17</v>
      </c>
      <c r="B264" s="1" t="n">
        <v>0</v>
      </c>
      <c r="D264" s="1" t="n">
        <v>158175</v>
      </c>
      <c r="E264" s="1" t="n">
        <v>0.041025</v>
      </c>
      <c r="G264" s="1" t="n">
        <v>0.010877371</v>
      </c>
      <c r="H264" s="1" t="n">
        <v>0.01262641</v>
      </c>
      <c r="I264" s="1" t="n">
        <v>0.009538889</v>
      </c>
      <c r="J264" s="1" t="n">
        <v>0.006326437</v>
      </c>
      <c r="K264" s="1" t="n">
        <v>0.006127119</v>
      </c>
      <c r="L264" s="1" t="n">
        <v>0.006198883</v>
      </c>
      <c r="M264" s="1" t="n">
        <v>0.006075144</v>
      </c>
      <c r="N264" s="1" t="n">
        <v>0.006256819</v>
      </c>
      <c r="O264" s="1" t="n">
        <v>0.006169319</v>
      </c>
      <c r="P264" s="1" t="n">
        <v>0.006915331</v>
      </c>
      <c r="R264" s="1" t="n">
        <f aca="false">PERCENTILE(G264:P264,0.9)</f>
        <v>0.0110522749</v>
      </c>
      <c r="S264" s="5" t="n">
        <f aca="false">spmv_1!R$10/R264</f>
        <v>3.16963924775342</v>
      </c>
      <c r="T264" s="6" t="n">
        <f aca="false">S264/128</f>
        <v>0.0247628066230736</v>
      </c>
    </row>
    <row r="265" customFormat="false" ht="15" hidden="false" customHeight="false" outlineLevel="0" collapsed="false">
      <c r="A265" s="1" t="s">
        <v>17</v>
      </c>
      <c r="B265" s="1" t="n">
        <v>1</v>
      </c>
      <c r="D265" s="1" t="n">
        <v>158114</v>
      </c>
      <c r="E265" s="1" t="n">
        <v>0.040447</v>
      </c>
      <c r="G265" s="1" t="n">
        <v>0.012867928</v>
      </c>
      <c r="H265" s="1" t="n">
        <v>0.012397766</v>
      </c>
      <c r="I265" s="1" t="n">
        <v>0.009459257</v>
      </c>
      <c r="J265" s="1" t="n">
        <v>0.006283522</v>
      </c>
      <c r="K265" s="1" t="n">
        <v>0.006078482</v>
      </c>
      <c r="L265" s="1" t="n">
        <v>0.006118774</v>
      </c>
      <c r="M265" s="1" t="n">
        <v>0.006019592</v>
      </c>
      <c r="N265" s="1" t="n">
        <v>0.006153345</v>
      </c>
      <c r="O265" s="1" t="n">
        <v>0.006095886</v>
      </c>
      <c r="P265" s="1" t="n">
        <v>0.006708622</v>
      </c>
      <c r="R265" s="1" t="n">
        <f aca="false">PERCENTILE(G265:P265,0.9)</f>
        <v>0.0124447822</v>
      </c>
      <c r="S265" s="5" t="n">
        <f aca="false">spmv_1!R$10/R265</f>
        <v>2.81497287272734</v>
      </c>
      <c r="T265" s="6" t="n">
        <f aca="false">S265/128</f>
        <v>0.0219919755681823</v>
      </c>
    </row>
    <row r="266" customFormat="false" ht="15" hidden="false" customHeight="false" outlineLevel="0" collapsed="false">
      <c r="A266" s="1" t="s">
        <v>17</v>
      </c>
      <c r="B266" s="1" t="n">
        <v>2</v>
      </c>
      <c r="D266" s="1" t="n">
        <v>158224</v>
      </c>
      <c r="E266" s="1" t="n">
        <v>0.040459</v>
      </c>
      <c r="G266" s="1" t="n">
        <v>0.013062239</v>
      </c>
      <c r="H266" s="1" t="n">
        <v>0.012320518</v>
      </c>
      <c r="I266" s="1" t="n">
        <v>0.009457111</v>
      </c>
      <c r="J266" s="1" t="n">
        <v>0.006280184</v>
      </c>
      <c r="K266" s="1" t="n">
        <v>0.006076574</v>
      </c>
      <c r="L266" s="1" t="n">
        <v>0.006118536</v>
      </c>
      <c r="M266" s="1" t="n">
        <v>0.006013155</v>
      </c>
      <c r="N266" s="1" t="n">
        <v>0.006141663</v>
      </c>
      <c r="O266" s="1" t="n">
        <v>0.006084442</v>
      </c>
      <c r="P266" s="1" t="n">
        <v>0.006659746</v>
      </c>
      <c r="R266" s="1" t="n">
        <f aca="false">PERCENTILE(G266:P266,0.9)</f>
        <v>0.0123946901</v>
      </c>
      <c r="S266" s="5" t="n">
        <f aca="false">spmv_1!R$10/R266</f>
        <v>2.82634934938793</v>
      </c>
      <c r="T266" s="6" t="n">
        <f aca="false">S266/128</f>
        <v>0.0220808542920932</v>
      </c>
    </row>
    <row r="267" customFormat="false" ht="15" hidden="false" customHeight="false" outlineLevel="0" collapsed="false">
      <c r="A267" s="1" t="s">
        <v>17</v>
      </c>
      <c r="B267" s="1" t="n">
        <v>3</v>
      </c>
      <c r="D267" s="1" t="n">
        <v>158511</v>
      </c>
      <c r="E267" s="1" t="n">
        <v>0.041318</v>
      </c>
      <c r="G267" s="1" t="n">
        <v>0.013382912</v>
      </c>
      <c r="H267" s="1" t="n">
        <v>0.012231112</v>
      </c>
      <c r="I267" s="1" t="n">
        <v>0.009233952</v>
      </c>
      <c r="J267" s="1" t="n">
        <v>0.006040573</v>
      </c>
      <c r="K267" s="1" t="n">
        <v>0.005923986</v>
      </c>
      <c r="L267" s="1" t="n">
        <v>0.005866051</v>
      </c>
      <c r="M267" s="1" t="n">
        <v>0.005814552</v>
      </c>
      <c r="N267" s="1" t="n">
        <v>0.005933523</v>
      </c>
      <c r="O267" s="1" t="n">
        <v>0.005870342</v>
      </c>
      <c r="P267" s="1" t="n">
        <v>0.006430864</v>
      </c>
      <c r="R267" s="1" t="n">
        <f aca="false">PERCENTILE(G267:P267,0.9)</f>
        <v>0.012346292</v>
      </c>
      <c r="S267" s="5" t="n">
        <f aca="false">spmv_1!R$10/R267</f>
        <v>2.837428784286</v>
      </c>
      <c r="T267" s="6" t="n">
        <f aca="false">S267/128</f>
        <v>0.0221674123772344</v>
      </c>
    </row>
    <row r="268" customFormat="false" ht="15" hidden="false" customHeight="false" outlineLevel="0" collapsed="false">
      <c r="A268" s="1" t="s">
        <v>17</v>
      </c>
      <c r="B268" s="1" t="n">
        <v>4</v>
      </c>
      <c r="D268" s="1" t="n">
        <v>157981</v>
      </c>
      <c r="E268" s="1" t="n">
        <v>0.041296</v>
      </c>
      <c r="G268" s="1" t="n">
        <v>0.013473511</v>
      </c>
      <c r="H268" s="1" t="n">
        <v>0.012113571</v>
      </c>
      <c r="I268" s="1" t="n">
        <v>0.009191751</v>
      </c>
      <c r="J268" s="1" t="n">
        <v>0.006022692</v>
      </c>
      <c r="K268" s="1" t="n">
        <v>0.005903244</v>
      </c>
      <c r="L268" s="1" t="n">
        <v>0.0058496</v>
      </c>
      <c r="M268" s="1" t="n">
        <v>0.005806684</v>
      </c>
      <c r="N268" s="1" t="n">
        <v>0.005902529</v>
      </c>
      <c r="O268" s="1" t="n">
        <v>0.005850792</v>
      </c>
      <c r="P268" s="1" t="n">
        <v>0.006396532</v>
      </c>
      <c r="R268" s="1" t="n">
        <f aca="false">PERCENTILE(G268:P268,0.9)</f>
        <v>0.012249565</v>
      </c>
      <c r="S268" s="5" t="n">
        <f aca="false">spmv_1!R$10/R268</f>
        <v>2.85983414921265</v>
      </c>
      <c r="T268" s="6" t="n">
        <f aca="false">S268/128</f>
        <v>0.0223424542907238</v>
      </c>
    </row>
    <row r="269" customFormat="false" ht="15" hidden="false" customHeight="false" outlineLevel="0" collapsed="false">
      <c r="A269" s="1" t="s">
        <v>17</v>
      </c>
      <c r="B269" s="1" t="n">
        <v>5</v>
      </c>
      <c r="D269" s="1" t="n">
        <v>157992</v>
      </c>
      <c r="E269" s="1" t="n">
        <v>0.040489</v>
      </c>
      <c r="G269" s="1" t="n">
        <v>0.013436794</v>
      </c>
      <c r="H269" s="1" t="n">
        <v>0.012119055</v>
      </c>
      <c r="I269" s="1" t="n">
        <v>0.009430408</v>
      </c>
      <c r="J269" s="1" t="n">
        <v>0.006254196</v>
      </c>
      <c r="K269" s="1" t="n">
        <v>0.006040335</v>
      </c>
      <c r="L269" s="1" t="n">
        <v>0.006074905</v>
      </c>
      <c r="M269" s="1" t="n">
        <v>0.005974531</v>
      </c>
      <c r="N269" s="1" t="n">
        <v>0.006097078</v>
      </c>
      <c r="O269" s="1" t="n">
        <v>0.006052017</v>
      </c>
      <c r="P269" s="1" t="n">
        <v>0.006563425</v>
      </c>
      <c r="R269" s="1" t="n">
        <f aca="false">PERCENTILE(G269:P269,0.9)</f>
        <v>0.0122508289</v>
      </c>
      <c r="S269" s="5" t="n">
        <f aca="false">spmv_1!R$10/R269</f>
        <v>2.8595391043295</v>
      </c>
      <c r="T269" s="6" t="n">
        <f aca="false">S269/128</f>
        <v>0.0223401492525743</v>
      </c>
    </row>
    <row r="270" customFormat="false" ht="15" hidden="false" customHeight="false" outlineLevel="0" collapsed="false">
      <c r="A270" s="1" t="s">
        <v>17</v>
      </c>
      <c r="B270" s="1" t="n">
        <v>6</v>
      </c>
      <c r="D270" s="1" t="n">
        <v>157918</v>
      </c>
      <c r="E270" s="1" t="n">
        <v>0.040596</v>
      </c>
      <c r="G270" s="1" t="n">
        <v>0.01351285</v>
      </c>
      <c r="H270" s="1" t="n">
        <v>0.011996984</v>
      </c>
      <c r="I270" s="1" t="n">
        <v>0.009368896</v>
      </c>
      <c r="J270" s="1" t="n">
        <v>0.006226301</v>
      </c>
      <c r="K270" s="1" t="n">
        <v>0.006026983</v>
      </c>
      <c r="L270" s="1" t="n">
        <v>0.006061792</v>
      </c>
      <c r="M270" s="1" t="n">
        <v>0.00595808</v>
      </c>
      <c r="N270" s="1" t="n">
        <v>0.006075144</v>
      </c>
      <c r="O270" s="1" t="n">
        <v>0.006032228</v>
      </c>
      <c r="P270" s="1" t="n">
        <v>0.00654006</v>
      </c>
      <c r="R270" s="1" t="n">
        <f aca="false">PERCENTILE(G270:P270,0.9)</f>
        <v>0.0121485706</v>
      </c>
      <c r="S270" s="5" t="n">
        <f aca="false">spmv_1!R$10/R270</f>
        <v>2.88360873500624</v>
      </c>
      <c r="T270" s="6" t="n">
        <f aca="false">S270/128</f>
        <v>0.0225281932422363</v>
      </c>
    </row>
    <row r="271" customFormat="false" ht="15" hidden="false" customHeight="false" outlineLevel="0" collapsed="false">
      <c r="A271" s="1" t="s">
        <v>17</v>
      </c>
      <c r="B271" s="1" t="n">
        <v>7</v>
      </c>
      <c r="D271" s="1" t="n">
        <v>158475</v>
      </c>
      <c r="E271" s="1" t="n">
        <v>0.040839</v>
      </c>
      <c r="G271" s="1" t="n">
        <v>0.013623476</v>
      </c>
      <c r="H271" s="1" t="n">
        <v>0.011904478</v>
      </c>
      <c r="I271" s="1" t="n">
        <v>0.009337664</v>
      </c>
      <c r="J271" s="1" t="n">
        <v>0.006195068</v>
      </c>
      <c r="K271" s="1" t="n">
        <v>0.006004095</v>
      </c>
      <c r="L271" s="1" t="n">
        <v>0.006044149</v>
      </c>
      <c r="M271" s="1" t="n">
        <v>0.00593996</v>
      </c>
      <c r="N271" s="1" t="n">
        <v>0.00605011</v>
      </c>
      <c r="O271" s="1" t="n">
        <v>0.006012917</v>
      </c>
      <c r="P271" s="1" t="n">
        <v>0.006497145</v>
      </c>
      <c r="R271" s="1" t="n">
        <f aca="false">PERCENTILE(G271:P271,0.9)</f>
        <v>0.0120763778</v>
      </c>
      <c r="S271" s="5" t="n">
        <f aca="false">spmv_1!R$10/R271</f>
        <v>2.90084699900661</v>
      </c>
      <c r="T271" s="6" t="n">
        <f aca="false">S271/128</f>
        <v>0.0226628671797391</v>
      </c>
    </row>
    <row r="272" customFormat="false" ht="15" hidden="false" customHeight="false" outlineLevel="0" collapsed="false">
      <c r="A272" s="1" t="s">
        <v>17</v>
      </c>
      <c r="B272" s="1" t="n">
        <v>8</v>
      </c>
      <c r="D272" s="1" t="n">
        <v>159252</v>
      </c>
      <c r="E272" s="1" t="n">
        <v>0.041186</v>
      </c>
      <c r="G272" s="1" t="n">
        <v>0.013710499</v>
      </c>
      <c r="H272" s="1" t="n">
        <v>0.011711121</v>
      </c>
      <c r="I272" s="1" t="n">
        <v>0.00929451</v>
      </c>
      <c r="J272" s="1" t="n">
        <v>0.006186724</v>
      </c>
      <c r="K272" s="1" t="n">
        <v>0.005983353</v>
      </c>
      <c r="L272" s="1" t="n">
        <v>0.006023884</v>
      </c>
      <c r="M272" s="1" t="n">
        <v>0.005922794</v>
      </c>
      <c r="N272" s="1" t="n">
        <v>0.006032705</v>
      </c>
      <c r="O272" s="1" t="n">
        <v>0.005992174</v>
      </c>
      <c r="P272" s="1" t="n">
        <v>0.006476164</v>
      </c>
      <c r="R272" s="1" t="n">
        <f aca="false">PERCENTILE(G272:P272,0.9)</f>
        <v>0.0119110588</v>
      </c>
      <c r="S272" s="5" t="n">
        <f aca="false">spmv_1!R$10/R272</f>
        <v>2.94110917326678</v>
      </c>
      <c r="T272" s="6" t="n">
        <f aca="false">S272/128</f>
        <v>0.0229774154161467</v>
      </c>
    </row>
    <row r="273" customFormat="false" ht="15" hidden="false" customHeight="false" outlineLevel="0" collapsed="false">
      <c r="A273" s="1" t="s">
        <v>17</v>
      </c>
      <c r="B273" s="1" t="n">
        <v>9</v>
      </c>
      <c r="D273" s="1" t="n">
        <v>159097</v>
      </c>
      <c r="E273" s="1" t="n">
        <v>0.041249</v>
      </c>
      <c r="G273" s="1" t="n">
        <v>0.013765574</v>
      </c>
      <c r="H273" s="1" t="n">
        <v>0.011674881</v>
      </c>
      <c r="I273" s="1" t="n">
        <v>0.009260178</v>
      </c>
      <c r="J273" s="1" t="n">
        <v>0.006180286</v>
      </c>
      <c r="K273" s="1" t="n">
        <v>0.005966425</v>
      </c>
      <c r="L273" s="1" t="n">
        <v>0.005996466</v>
      </c>
      <c r="M273" s="1" t="n">
        <v>0.005888939</v>
      </c>
      <c r="N273" s="1" t="n">
        <v>0.006009579</v>
      </c>
      <c r="O273" s="1" t="n">
        <v>0.005987644</v>
      </c>
      <c r="P273" s="1" t="n">
        <v>0.006409883</v>
      </c>
      <c r="R273" s="1" t="n">
        <f aca="false">PERCENTILE(G273:P273,0.9)</f>
        <v>0.0118839503</v>
      </c>
      <c r="S273" s="5" t="n">
        <f aca="false">spmv_1!R$10/R273</f>
        <v>2.94781814259186</v>
      </c>
      <c r="T273" s="6" t="n">
        <f aca="false">S273/128</f>
        <v>0.0230298292389989</v>
      </c>
    </row>
    <row r="274" customFormat="false" ht="15" hidden="false" customHeight="false" outlineLevel="0" collapsed="false">
      <c r="A274" s="1" t="s">
        <v>17</v>
      </c>
      <c r="B274" s="1" t="n">
        <v>10</v>
      </c>
      <c r="D274" s="1" t="n">
        <v>158326</v>
      </c>
      <c r="E274" s="1" t="n">
        <v>0.043372</v>
      </c>
      <c r="G274" s="1" t="n">
        <v>0.013378382</v>
      </c>
      <c r="H274" s="1" t="n">
        <v>0.011363506</v>
      </c>
      <c r="I274" s="1" t="n">
        <v>0.008849382</v>
      </c>
      <c r="J274" s="1" t="n">
        <v>0.005703926</v>
      </c>
      <c r="K274" s="1" t="n">
        <v>0.005482912</v>
      </c>
      <c r="L274" s="1" t="n">
        <v>0.005539179</v>
      </c>
      <c r="M274" s="1" t="n">
        <v>0.005473852</v>
      </c>
      <c r="N274" s="1" t="n">
        <v>0.005622149</v>
      </c>
      <c r="O274" s="1" t="n">
        <v>0.005540609</v>
      </c>
      <c r="P274" s="1" t="n">
        <v>0.006055117</v>
      </c>
      <c r="R274" s="1" t="n">
        <f aca="false">PERCENTILE(G274:P274,0.9)</f>
        <v>0.0115649936</v>
      </c>
      <c r="S274" s="5" t="n">
        <f aca="false">spmv_1!R$10/R274</f>
        <v>3.02911748260717</v>
      </c>
      <c r="T274" s="6" t="n">
        <f aca="false">S274/128</f>
        <v>0.0236649803328685</v>
      </c>
    </row>
    <row r="275" customFormat="false" ht="15" hidden="false" customHeight="false" outlineLevel="0" collapsed="false">
      <c r="A275" s="1" t="s">
        <v>17</v>
      </c>
      <c r="B275" s="1" t="n">
        <v>11</v>
      </c>
      <c r="D275" s="1" t="n">
        <v>158250</v>
      </c>
      <c r="E275" s="1" t="n">
        <v>0.042355</v>
      </c>
      <c r="G275" s="1" t="n">
        <v>0.013723612</v>
      </c>
      <c r="H275" s="1" t="n">
        <v>0.011436462</v>
      </c>
      <c r="I275" s="1" t="n">
        <v>0.008990526</v>
      </c>
      <c r="J275" s="1" t="n">
        <v>0.005877972</v>
      </c>
      <c r="K275" s="1" t="n">
        <v>0.005784512</v>
      </c>
      <c r="L275" s="1" t="n">
        <v>0.005702496</v>
      </c>
      <c r="M275" s="1" t="n">
        <v>0.005652428</v>
      </c>
      <c r="N275" s="1" t="n">
        <v>0.005730867</v>
      </c>
      <c r="O275" s="1" t="n">
        <v>0.005711079</v>
      </c>
      <c r="P275" s="1" t="n">
        <v>0.00611496</v>
      </c>
      <c r="R275" s="1" t="n">
        <f aca="false">PERCENTILE(G275:P275,0.9)</f>
        <v>0.011665177</v>
      </c>
      <c r="S275" s="5" t="n">
        <f aca="false">spmv_1!R$10/R275</f>
        <v>3.00310267902493</v>
      </c>
      <c r="T275" s="6" t="n">
        <f aca="false">S275/128</f>
        <v>0.0234617396798823</v>
      </c>
    </row>
    <row r="276" customFormat="false" ht="15" hidden="false" customHeight="false" outlineLevel="0" collapsed="false">
      <c r="A276" s="1" t="s">
        <v>17</v>
      </c>
      <c r="B276" s="1" t="n">
        <v>12</v>
      </c>
      <c r="D276" s="1" t="n">
        <v>157333</v>
      </c>
      <c r="E276" s="1" t="n">
        <v>0.042605</v>
      </c>
      <c r="G276" s="1" t="n">
        <v>0.013620377</v>
      </c>
      <c r="H276" s="1" t="n">
        <v>0.011309624</v>
      </c>
      <c r="I276" s="1" t="n">
        <v>0.008922577</v>
      </c>
      <c r="J276" s="1" t="n">
        <v>0.005799055</v>
      </c>
      <c r="K276" s="1" t="n">
        <v>0.005583286</v>
      </c>
      <c r="L276" s="1" t="n">
        <v>0.005649567</v>
      </c>
      <c r="M276" s="1" t="n">
        <v>0.005555868</v>
      </c>
      <c r="N276" s="1" t="n">
        <v>0.005670547</v>
      </c>
      <c r="O276" s="1" t="n">
        <v>0.005640984</v>
      </c>
      <c r="P276" s="1" t="n">
        <v>0.006104469</v>
      </c>
      <c r="R276" s="1" t="n">
        <f aca="false">PERCENTILE(G276:P276,0.9)</f>
        <v>0.0115406993</v>
      </c>
      <c r="S276" s="5" t="n">
        <f aca="false">spmv_1!R$10/R276</f>
        <v>3.03549407097021</v>
      </c>
      <c r="T276" s="6" t="n">
        <f aca="false">S276/128</f>
        <v>0.0237147974294547</v>
      </c>
    </row>
    <row r="277" customFormat="false" ht="15" hidden="false" customHeight="false" outlineLevel="0" collapsed="false">
      <c r="A277" s="1" t="s">
        <v>17</v>
      </c>
      <c r="B277" s="1" t="n">
        <v>13</v>
      </c>
      <c r="D277" s="1" t="n">
        <v>157253</v>
      </c>
      <c r="E277" s="1" t="n">
        <v>0.043337</v>
      </c>
      <c r="G277" s="1" t="n">
        <v>0.013642311</v>
      </c>
      <c r="H277" s="1" t="n">
        <v>0.011228085</v>
      </c>
      <c r="I277" s="1" t="n">
        <v>0.008765459</v>
      </c>
      <c r="J277" s="1" t="n">
        <v>0.005646229</v>
      </c>
      <c r="K277" s="1" t="n">
        <v>0.005438566</v>
      </c>
      <c r="L277" s="1" t="n">
        <v>0.005457878</v>
      </c>
      <c r="M277" s="1" t="n">
        <v>0.005397558</v>
      </c>
      <c r="N277" s="1" t="n">
        <v>0.005567312</v>
      </c>
      <c r="O277" s="1" t="n">
        <v>0.00549984</v>
      </c>
      <c r="P277" s="1" t="n">
        <v>0.005928278</v>
      </c>
      <c r="R277" s="1" t="n">
        <f aca="false">PERCENTILE(G277:P277,0.9)</f>
        <v>0.0114695076</v>
      </c>
      <c r="S277" s="5" t="n">
        <f aca="false">spmv_1!R$10/R277</f>
        <v>3.05433550608572</v>
      </c>
      <c r="T277" s="6" t="n">
        <f aca="false">S277/128</f>
        <v>0.0238619961412947</v>
      </c>
    </row>
    <row r="278" customFormat="false" ht="15" hidden="false" customHeight="false" outlineLevel="0" collapsed="false">
      <c r="A278" s="1" t="s">
        <v>17</v>
      </c>
      <c r="B278" s="1" t="n">
        <v>14</v>
      </c>
      <c r="D278" s="1" t="n">
        <v>156936</v>
      </c>
      <c r="E278" s="1" t="n">
        <v>0.042294</v>
      </c>
      <c r="G278" s="1" t="n">
        <v>0.013864517</v>
      </c>
      <c r="H278" s="1" t="n">
        <v>0.011234045</v>
      </c>
      <c r="I278" s="1" t="n">
        <v>0.008918524</v>
      </c>
      <c r="J278" s="1" t="n">
        <v>0.005840778</v>
      </c>
      <c r="K278" s="1" t="n">
        <v>0.005760193</v>
      </c>
      <c r="L278" s="1" t="n">
        <v>0.005645037</v>
      </c>
      <c r="M278" s="1" t="n">
        <v>0.005597591</v>
      </c>
      <c r="N278" s="1" t="n">
        <v>0.005681992</v>
      </c>
      <c r="O278" s="1" t="n">
        <v>0.005673409</v>
      </c>
      <c r="P278" s="1" t="n">
        <v>0.005996704</v>
      </c>
      <c r="R278" s="1" t="n">
        <f aca="false">PERCENTILE(G278:P278,0.9)</f>
        <v>0.0114970922</v>
      </c>
      <c r="S278" s="5" t="n">
        <f aca="false">spmv_1!R$10/R278</f>
        <v>3.04700733808154</v>
      </c>
      <c r="T278" s="6" t="n">
        <f aca="false">S278/128</f>
        <v>0.023804744828762</v>
      </c>
    </row>
    <row r="279" customFormat="false" ht="15" hidden="false" customHeight="false" outlineLevel="0" collapsed="false">
      <c r="A279" s="1" t="s">
        <v>17</v>
      </c>
      <c r="B279" s="1" t="n">
        <v>15</v>
      </c>
      <c r="D279" s="1" t="n">
        <v>157029</v>
      </c>
      <c r="E279" s="1" t="n">
        <v>0.04369</v>
      </c>
      <c r="G279" s="1" t="n">
        <v>0.013665915</v>
      </c>
      <c r="H279" s="1" t="n">
        <v>0.01094389</v>
      </c>
      <c r="I279" s="1" t="n">
        <v>0.008702278</v>
      </c>
      <c r="J279" s="1" t="n">
        <v>0.005583525</v>
      </c>
      <c r="K279" s="1" t="n">
        <v>0.005387545</v>
      </c>
      <c r="L279" s="1" t="n">
        <v>0.005427122</v>
      </c>
      <c r="M279" s="1" t="n">
        <v>0.005352259</v>
      </c>
      <c r="N279" s="1" t="n">
        <v>0.005495787</v>
      </c>
      <c r="O279" s="1" t="n">
        <v>0.005455732</v>
      </c>
      <c r="P279" s="1" t="n">
        <v>0.00586915</v>
      </c>
      <c r="R279" s="1" t="n">
        <f aca="false">PERCENTILE(G279:P279,0.9)</f>
        <v>0.0112160925</v>
      </c>
      <c r="S279" s="5" t="n">
        <f aca="false">spmv_1!R$10/R279</f>
        <v>3.12334481014667</v>
      </c>
      <c r="T279" s="6" t="n">
        <f aca="false">S279/128</f>
        <v>0.0244011313292709</v>
      </c>
    </row>
    <row r="280" customFormat="false" ht="15" hidden="false" customHeight="false" outlineLevel="0" collapsed="false">
      <c r="A280" s="1" t="s">
        <v>17</v>
      </c>
      <c r="B280" s="1" t="n">
        <v>16</v>
      </c>
      <c r="D280" s="1" t="n">
        <v>158134</v>
      </c>
      <c r="E280" s="1" t="n">
        <v>0.042957</v>
      </c>
      <c r="G280" s="1" t="n">
        <v>0.013861656</v>
      </c>
      <c r="H280" s="1" t="n">
        <v>0.011027098</v>
      </c>
      <c r="I280" s="1" t="n">
        <v>0.008844614</v>
      </c>
      <c r="J280" s="1" t="n">
        <v>0.005808353</v>
      </c>
      <c r="K280" s="1" t="n">
        <v>0.00572443</v>
      </c>
      <c r="L280" s="1" t="n">
        <v>0.005601406</v>
      </c>
      <c r="M280" s="1" t="n">
        <v>0.005566597</v>
      </c>
      <c r="N280" s="1" t="n">
        <v>0.005640507</v>
      </c>
      <c r="O280" s="1" t="n">
        <v>0.005627155</v>
      </c>
      <c r="P280" s="1" t="n">
        <v>0.005922794</v>
      </c>
      <c r="R280" s="1" t="n">
        <f aca="false">PERCENTILE(G280:P280,0.9)</f>
        <v>0.0113105538</v>
      </c>
      <c r="S280" s="5" t="n">
        <f aca="false">spmv_1!R$10/R280</f>
        <v>3.09725986184691</v>
      </c>
      <c r="T280" s="6" t="n">
        <f aca="false">S280/128</f>
        <v>0.024197342670679</v>
      </c>
    </row>
    <row r="281" customFormat="false" ht="15" hidden="false" customHeight="false" outlineLevel="0" collapsed="false">
      <c r="A281" s="1" t="s">
        <v>17</v>
      </c>
      <c r="B281" s="1" t="n">
        <v>17</v>
      </c>
      <c r="D281" s="1" t="n">
        <v>158352</v>
      </c>
      <c r="E281" s="1" t="n">
        <v>0.043277</v>
      </c>
      <c r="G281" s="1" t="n">
        <v>0.01377511</v>
      </c>
      <c r="H281" s="1" t="n">
        <v>0.010860682</v>
      </c>
      <c r="I281" s="1" t="n">
        <v>0.008830547</v>
      </c>
      <c r="J281" s="1" t="n">
        <v>0.005779743</v>
      </c>
      <c r="K281" s="1" t="n">
        <v>0.005711317</v>
      </c>
      <c r="L281" s="1" t="n">
        <v>0.005578041</v>
      </c>
      <c r="M281" s="1" t="n">
        <v>0.005544424</v>
      </c>
      <c r="N281" s="1" t="n">
        <v>0.005605459</v>
      </c>
      <c r="O281" s="1" t="n">
        <v>0.005614519</v>
      </c>
      <c r="P281" s="1" t="n">
        <v>0.00588131</v>
      </c>
      <c r="R281" s="1" t="n">
        <f aca="false">PERCENTILE(G281:P281,0.9)</f>
        <v>0.0111521248</v>
      </c>
      <c r="S281" s="5" t="n">
        <f aca="false">spmv_1!R$10/R281</f>
        <v>3.14126006731919</v>
      </c>
      <c r="T281" s="6" t="n">
        <f aca="false">S281/128</f>
        <v>0.0245410942759312</v>
      </c>
    </row>
    <row r="282" customFormat="false" ht="15" hidden="false" customHeight="false" outlineLevel="0" collapsed="false">
      <c r="A282" s="1" t="s">
        <v>17</v>
      </c>
      <c r="B282" s="1" t="n">
        <v>18</v>
      </c>
      <c r="D282" s="1" t="n">
        <v>158217</v>
      </c>
      <c r="E282" s="1" t="n">
        <v>0.041975</v>
      </c>
      <c r="G282" s="1" t="n">
        <v>0.013154268</v>
      </c>
      <c r="H282" s="1" t="n">
        <v>0.011257172</v>
      </c>
      <c r="I282" s="1" t="n">
        <v>0.009148359</v>
      </c>
      <c r="J282" s="1" t="n">
        <v>0.006068468</v>
      </c>
      <c r="K282" s="1" t="n">
        <v>0.005881071</v>
      </c>
      <c r="L282" s="1" t="n">
        <v>0.005888224</v>
      </c>
      <c r="M282" s="1" t="n">
        <v>0.005842686</v>
      </c>
      <c r="N282" s="1" t="n">
        <v>0.00595665</v>
      </c>
      <c r="O282" s="1" t="n">
        <v>0.005922556</v>
      </c>
      <c r="P282" s="1" t="n">
        <v>0.006266594</v>
      </c>
      <c r="R282" s="1" t="n">
        <f aca="false">PERCENTILE(G282:P282,0.9)</f>
        <v>0.0114468816</v>
      </c>
      <c r="S282" s="5" t="n">
        <f aca="false">spmv_1!R$10/R282</f>
        <v>3.06037273068326</v>
      </c>
      <c r="T282" s="6" t="n">
        <f aca="false">S282/128</f>
        <v>0.023909161958463</v>
      </c>
    </row>
    <row r="283" customFormat="false" ht="15" hidden="false" customHeight="false" outlineLevel="0" collapsed="false">
      <c r="A283" s="1" t="s">
        <v>17</v>
      </c>
      <c r="B283" s="1" t="n">
        <v>19</v>
      </c>
      <c r="D283" s="1" t="n">
        <v>158676</v>
      </c>
      <c r="E283" s="1" t="n">
        <v>0.042867</v>
      </c>
      <c r="G283" s="1" t="n">
        <v>0.013973713</v>
      </c>
      <c r="H283" s="1" t="n">
        <v>0.010619164</v>
      </c>
      <c r="I283" s="1" t="n">
        <v>0.008897305</v>
      </c>
      <c r="J283" s="1" t="n">
        <v>0.005888224</v>
      </c>
      <c r="K283" s="1" t="n">
        <v>0.005779028</v>
      </c>
      <c r="L283" s="1" t="n">
        <v>0.00576663</v>
      </c>
      <c r="M283" s="1" t="n">
        <v>0.00564456</v>
      </c>
      <c r="N283" s="1" t="n">
        <v>0.005771399</v>
      </c>
      <c r="O283" s="1" t="n">
        <v>0.005753517</v>
      </c>
      <c r="P283" s="1" t="n">
        <v>0.005938768</v>
      </c>
      <c r="R283" s="1" t="n">
        <f aca="false">PERCENTILE(G283:P283,0.9)</f>
        <v>0.0109546189</v>
      </c>
      <c r="S283" s="5" t="n">
        <f aca="false">spmv_1!R$10/R283</f>
        <v>3.19789530058412</v>
      </c>
      <c r="T283" s="6" t="n">
        <f aca="false">S283/128</f>
        <v>0.0249835570358135</v>
      </c>
    </row>
    <row r="284" customFormat="false" ht="15" hidden="false" customHeight="false" outlineLevel="0" collapsed="false">
      <c r="A284" s="1" t="s">
        <v>17</v>
      </c>
      <c r="B284" s="1" t="n">
        <v>20</v>
      </c>
      <c r="D284" s="1" t="n">
        <v>157833</v>
      </c>
      <c r="E284" s="1" t="n">
        <v>0.042907</v>
      </c>
      <c r="G284" s="1" t="n">
        <v>0.013999224</v>
      </c>
      <c r="H284" s="1" t="n">
        <v>0.010568857</v>
      </c>
      <c r="I284" s="1" t="n">
        <v>0.008827686</v>
      </c>
      <c r="J284" s="1" t="n">
        <v>0.005848408</v>
      </c>
      <c r="K284" s="1" t="n">
        <v>0.005699873</v>
      </c>
      <c r="L284" s="1" t="n">
        <v>0.005717516</v>
      </c>
      <c r="M284" s="1" t="n">
        <v>0.005628347</v>
      </c>
      <c r="N284" s="1" t="n">
        <v>0.00573349</v>
      </c>
      <c r="O284" s="1" t="n">
        <v>0.005674601</v>
      </c>
      <c r="P284" s="1" t="n">
        <v>0.005871058</v>
      </c>
      <c r="R284" s="1" t="n">
        <f aca="false">PERCENTILE(G284:P284,0.9)</f>
        <v>0.0109118937</v>
      </c>
      <c r="S284" s="5" t="n">
        <f aca="false">spmv_1!R$10/R284</f>
        <v>3.21041656591651</v>
      </c>
      <c r="T284" s="6" t="n">
        <f aca="false">S284/128</f>
        <v>0.0250813794212227</v>
      </c>
    </row>
    <row r="285" customFormat="false" ht="15" hidden="false" customHeight="false" outlineLevel="0" collapsed="false">
      <c r="A285" s="1" t="s">
        <v>17</v>
      </c>
      <c r="B285" s="1" t="n">
        <v>21</v>
      </c>
      <c r="D285" s="1" t="n">
        <v>157773</v>
      </c>
      <c r="E285" s="1" t="n">
        <v>0.045026</v>
      </c>
      <c r="G285" s="1" t="n">
        <v>0.01387763</v>
      </c>
      <c r="H285" s="1" t="n">
        <v>0.010274649</v>
      </c>
      <c r="I285" s="1" t="n">
        <v>0.008450985</v>
      </c>
      <c r="J285" s="1" t="n">
        <v>0.005445242</v>
      </c>
      <c r="K285" s="1" t="n">
        <v>0.005235195</v>
      </c>
      <c r="L285" s="1" t="n">
        <v>0.005238056</v>
      </c>
      <c r="M285" s="1" t="n">
        <v>0.005232334</v>
      </c>
      <c r="N285" s="1" t="n">
        <v>0.005365372</v>
      </c>
      <c r="O285" s="1" t="n">
        <v>0.005295038</v>
      </c>
      <c r="P285" s="1" t="n">
        <v>0.005666971</v>
      </c>
      <c r="R285" s="1" t="n">
        <f aca="false">PERCENTILE(G285:P285,0.9)</f>
        <v>0.0106349471</v>
      </c>
      <c r="S285" s="5" t="n">
        <f aca="false">spmv_1!R$10/R285</f>
        <v>3.29401961012105</v>
      </c>
      <c r="T285" s="6" t="n">
        <f aca="false">S285/128</f>
        <v>0.0257345282040707</v>
      </c>
    </row>
    <row r="286" customFormat="false" ht="15" hidden="false" customHeight="false" outlineLevel="0" collapsed="false">
      <c r="A286" s="1" t="s">
        <v>17</v>
      </c>
      <c r="B286" s="1" t="n">
        <v>22</v>
      </c>
      <c r="D286" s="1" t="n">
        <v>157565</v>
      </c>
      <c r="E286" s="1" t="n">
        <v>0.044149</v>
      </c>
      <c r="G286" s="1" t="n">
        <v>0.013899088</v>
      </c>
      <c r="H286" s="1" t="n">
        <v>0.010226488</v>
      </c>
      <c r="I286" s="1" t="n">
        <v>0.008605242</v>
      </c>
      <c r="J286" s="1" t="n">
        <v>0.005643606</v>
      </c>
      <c r="K286" s="1" t="n">
        <v>0.005384684</v>
      </c>
      <c r="L286" s="1" t="n">
        <v>0.005436182</v>
      </c>
      <c r="M286" s="1" t="n">
        <v>0.005355597</v>
      </c>
      <c r="N286" s="1" t="n">
        <v>0.005455256</v>
      </c>
      <c r="O286" s="1" t="n">
        <v>0.005426407</v>
      </c>
      <c r="P286" s="1" t="n">
        <v>0.005946875</v>
      </c>
      <c r="R286" s="1" t="n">
        <f aca="false">PERCENTILE(G286:P286,0.9)</f>
        <v>0.010593748</v>
      </c>
      <c r="S286" s="5" t="n">
        <f aca="false">spmv_1!R$10/R286</f>
        <v>3.30683005674668</v>
      </c>
      <c r="T286" s="6" t="n">
        <f aca="false">S286/128</f>
        <v>0.0258346098183334</v>
      </c>
    </row>
    <row r="287" customFormat="false" ht="15" hidden="false" customHeight="false" outlineLevel="0" collapsed="false">
      <c r="A287" s="1" t="s">
        <v>17</v>
      </c>
      <c r="B287" s="1" t="n">
        <v>23</v>
      </c>
      <c r="D287" s="1" t="n">
        <v>157323</v>
      </c>
      <c r="E287" s="1" t="n">
        <v>0.044107</v>
      </c>
      <c r="G287" s="1" t="n">
        <v>0.014044523</v>
      </c>
      <c r="H287" s="1" t="n">
        <v>0.010206938</v>
      </c>
      <c r="I287" s="1" t="n">
        <v>0.008577824</v>
      </c>
      <c r="J287" s="1" t="n">
        <v>0.00560236</v>
      </c>
      <c r="K287" s="1" t="n">
        <v>0.005369186</v>
      </c>
      <c r="L287" s="1" t="n">
        <v>0.005428791</v>
      </c>
      <c r="M287" s="1" t="n">
        <v>0.005348206</v>
      </c>
      <c r="N287" s="1" t="n">
        <v>0.005447865</v>
      </c>
      <c r="O287" s="1" t="n">
        <v>0.005429029</v>
      </c>
      <c r="P287" s="1" t="n">
        <v>0.005882978</v>
      </c>
      <c r="R287" s="1" t="n">
        <f aca="false">PERCENTILE(G287:P287,0.9)</f>
        <v>0.0105906965</v>
      </c>
      <c r="S287" s="5" t="n">
        <f aca="false">spmv_1!R$10/R287</f>
        <v>3.3077828545082</v>
      </c>
      <c r="T287" s="6" t="n">
        <f aca="false">S287/128</f>
        <v>0.0258420535508453</v>
      </c>
    </row>
    <row r="288" customFormat="false" ht="15" hidden="false" customHeight="false" outlineLevel="0" collapsed="false">
      <c r="A288" s="1" t="s">
        <v>17</v>
      </c>
      <c r="B288" s="1" t="n">
        <v>24</v>
      </c>
      <c r="D288" s="1" t="n">
        <v>158786</v>
      </c>
      <c r="E288" s="1" t="n">
        <v>0.044622</v>
      </c>
      <c r="G288" s="1" t="n">
        <v>0.014054298</v>
      </c>
      <c r="H288" s="1" t="n">
        <v>0.010093689</v>
      </c>
      <c r="I288" s="1" t="n">
        <v>0.008526087</v>
      </c>
      <c r="J288" s="1" t="n">
        <v>0.005620956</v>
      </c>
      <c r="K288" s="1" t="n">
        <v>0.00556922</v>
      </c>
      <c r="L288" s="1" t="n">
        <v>0.005380392</v>
      </c>
      <c r="M288" s="1" t="n">
        <v>0.005369186</v>
      </c>
      <c r="N288" s="1" t="n">
        <v>0.005428791</v>
      </c>
      <c r="O288" s="1" t="n">
        <v>0.005433559</v>
      </c>
      <c r="P288" s="1" t="n">
        <v>0.005693436</v>
      </c>
      <c r="R288" s="1" t="n">
        <f aca="false">PERCENTILE(G288:P288,0.9)</f>
        <v>0.0104897499</v>
      </c>
      <c r="S288" s="5" t="n">
        <f aca="false">spmv_1!R$10/R288</f>
        <v>3.33961482723244</v>
      </c>
      <c r="T288" s="6" t="n">
        <f aca="false">S288/128</f>
        <v>0.0260907408377534</v>
      </c>
    </row>
    <row r="289" customFormat="false" ht="15" hidden="false" customHeight="false" outlineLevel="0" collapsed="false">
      <c r="A289" s="1" t="s">
        <v>17</v>
      </c>
      <c r="B289" s="1" t="n">
        <v>25</v>
      </c>
      <c r="D289" s="1" t="n">
        <v>159348</v>
      </c>
      <c r="E289" s="1" t="n">
        <v>0.045276</v>
      </c>
      <c r="G289" s="1" t="n">
        <v>0.014008045</v>
      </c>
      <c r="H289" s="1" t="n">
        <v>0.010020494</v>
      </c>
      <c r="I289" s="1" t="n">
        <v>0.008478165</v>
      </c>
      <c r="J289" s="1" t="n">
        <v>0.005510092</v>
      </c>
      <c r="K289" s="1" t="n">
        <v>0.005282402</v>
      </c>
      <c r="L289" s="1" t="n">
        <v>0.005383015</v>
      </c>
      <c r="M289" s="1" t="n">
        <v>0.005246401</v>
      </c>
      <c r="N289" s="1" t="n">
        <v>0.005364656</v>
      </c>
      <c r="O289" s="1" t="n">
        <v>0.005337238</v>
      </c>
      <c r="P289" s="1" t="n">
        <v>0.005758762</v>
      </c>
      <c r="R289" s="1" t="n">
        <f aca="false">PERCENTILE(G289:P289,0.9)</f>
        <v>0.0104192491</v>
      </c>
      <c r="S289" s="5" t="n">
        <f aca="false">spmv_1!R$10/R289</f>
        <v>3.36221199472043</v>
      </c>
      <c r="T289" s="6" t="n">
        <f aca="false">S289/128</f>
        <v>0.0262672812087533</v>
      </c>
    </row>
    <row r="290" customFormat="false" ht="15" hidden="false" customHeight="false" outlineLevel="0" collapsed="false">
      <c r="A290" s="1" t="s">
        <v>17</v>
      </c>
      <c r="B290" s="1" t="n">
        <v>26</v>
      </c>
      <c r="D290" s="1" t="n">
        <v>159220</v>
      </c>
      <c r="E290" s="1" t="n">
        <v>0.045538</v>
      </c>
      <c r="G290" s="1" t="n">
        <v>0.014017105</v>
      </c>
      <c r="H290" s="1" t="n">
        <v>0.009986639</v>
      </c>
      <c r="I290" s="1" t="n">
        <v>0.00840497</v>
      </c>
      <c r="J290" s="1" t="n">
        <v>0.005472183</v>
      </c>
      <c r="K290" s="1" t="n">
        <v>0.005229473</v>
      </c>
      <c r="L290" s="1" t="n">
        <v>0.005337715</v>
      </c>
      <c r="M290" s="1" t="n">
        <v>0.005222082</v>
      </c>
      <c r="N290" s="1" t="n">
        <v>0.005344868</v>
      </c>
      <c r="O290" s="1" t="n">
        <v>0.005306005</v>
      </c>
      <c r="P290" s="1" t="n">
        <v>0.005607128</v>
      </c>
      <c r="R290" s="1" t="n">
        <f aca="false">PERCENTILE(G290:P290,0.9)</f>
        <v>0.0103896856</v>
      </c>
      <c r="S290" s="5" t="n">
        <f aca="false">spmv_1!R$10/R290</f>
        <v>3.37177905556642</v>
      </c>
      <c r="T290" s="6" t="n">
        <f aca="false">S290/128</f>
        <v>0.0263420238716126</v>
      </c>
    </row>
    <row r="291" customFormat="false" ht="15" hidden="false" customHeight="false" outlineLevel="0" collapsed="false">
      <c r="A291" s="1" t="s">
        <v>17</v>
      </c>
      <c r="B291" s="1" t="n">
        <v>27</v>
      </c>
      <c r="D291" s="1" t="n">
        <v>159132</v>
      </c>
      <c r="E291" s="1" t="n">
        <v>0.045559</v>
      </c>
      <c r="G291" s="1" t="n">
        <v>0.0140872</v>
      </c>
      <c r="H291" s="1" t="n">
        <v>0.009690046</v>
      </c>
      <c r="I291" s="1" t="n">
        <v>0.008370399</v>
      </c>
      <c r="J291" s="1" t="n">
        <v>0.005517721</v>
      </c>
      <c r="K291" s="1" t="n">
        <v>0.005487204</v>
      </c>
      <c r="L291" s="1" t="n">
        <v>0.005272865</v>
      </c>
      <c r="M291" s="1" t="n">
        <v>0.005264044</v>
      </c>
      <c r="N291" s="1" t="n">
        <v>0.00532198</v>
      </c>
      <c r="O291" s="1" t="n">
        <v>0.005327702</v>
      </c>
      <c r="P291" s="1" t="n">
        <v>0.005518436</v>
      </c>
      <c r="R291" s="1" t="n">
        <f aca="false">PERCENTILE(G291:P291,0.9)</f>
        <v>0.0101297614</v>
      </c>
      <c r="S291" s="5" t="n">
        <f aca="false">spmv_1!R$10/R291</f>
        <v>3.45829708289082</v>
      </c>
      <c r="T291" s="6" t="n">
        <f aca="false">S291/128</f>
        <v>0.0270179459600845</v>
      </c>
    </row>
    <row r="292" customFormat="false" ht="15" hidden="false" customHeight="false" outlineLevel="0" collapsed="false">
      <c r="A292" s="1" t="s">
        <v>17</v>
      </c>
      <c r="B292" s="1" t="n">
        <v>28</v>
      </c>
      <c r="D292" s="1" t="n">
        <v>157689</v>
      </c>
      <c r="E292" s="1" t="n">
        <v>0.04531</v>
      </c>
      <c r="G292" s="1" t="n">
        <v>0.014043331</v>
      </c>
      <c r="H292" s="1" t="n">
        <v>0.009553194</v>
      </c>
      <c r="I292" s="1" t="n">
        <v>0.008362293</v>
      </c>
      <c r="J292" s="1" t="n">
        <v>0.005496979</v>
      </c>
      <c r="K292" s="1" t="n">
        <v>0.005483627</v>
      </c>
      <c r="L292" s="1" t="n">
        <v>0.005262136</v>
      </c>
      <c r="M292" s="1" t="n">
        <v>0.005237341</v>
      </c>
      <c r="N292" s="1" t="n">
        <v>0.00532198</v>
      </c>
      <c r="O292" s="1" t="n">
        <v>0.005320787</v>
      </c>
      <c r="P292" s="1" t="n">
        <v>0.005523443</v>
      </c>
      <c r="R292" s="1" t="n">
        <f aca="false">PERCENTILE(G292:P292,0.9)</f>
        <v>0.0100022077</v>
      </c>
      <c r="S292" s="5" t="n">
        <f aca="false">spmv_1!R$10/R292</f>
        <v>3.50239920532744</v>
      </c>
      <c r="T292" s="6" t="n">
        <f aca="false">S292/128</f>
        <v>0.0273624937916206</v>
      </c>
    </row>
    <row r="293" customFormat="false" ht="15" hidden="false" customHeight="false" outlineLevel="0" collapsed="false">
      <c r="A293" s="1" t="s">
        <v>17</v>
      </c>
      <c r="B293" s="1" t="n">
        <v>29</v>
      </c>
      <c r="D293" s="1" t="n">
        <v>157934</v>
      </c>
      <c r="E293" s="1" t="n">
        <v>0.045531</v>
      </c>
      <c r="G293" s="1" t="n">
        <v>0.014046907</v>
      </c>
      <c r="H293" s="1" t="n">
        <v>0.009518385</v>
      </c>
      <c r="I293" s="1" t="n">
        <v>0.008257627</v>
      </c>
      <c r="J293" s="1" t="n">
        <v>0.005485773</v>
      </c>
      <c r="K293" s="1" t="n">
        <v>0.005296469</v>
      </c>
      <c r="L293" s="1" t="n">
        <v>0.005308628</v>
      </c>
      <c r="M293" s="1" t="n">
        <v>0.005232573</v>
      </c>
      <c r="N293" s="1" t="n">
        <v>0.005386591</v>
      </c>
      <c r="O293" s="1" t="n">
        <v>0.005339622</v>
      </c>
      <c r="P293" s="1" t="n">
        <v>0.005501986</v>
      </c>
      <c r="R293" s="1" t="n">
        <f aca="false">PERCENTILE(G293:P293,0.9)</f>
        <v>0.0099712372</v>
      </c>
      <c r="S293" s="5" t="n">
        <f aca="false">spmv_1!R$10/R293</f>
        <v>3.5132776000956</v>
      </c>
      <c r="T293" s="6" t="n">
        <f aca="false">S293/128</f>
        <v>0.0274474812507469</v>
      </c>
    </row>
    <row r="294" customFormat="false" ht="15" hidden="false" customHeight="false" outlineLevel="0" collapsed="false">
      <c r="A294" s="1" t="s">
        <v>17</v>
      </c>
      <c r="B294" s="1" t="n">
        <v>30</v>
      </c>
      <c r="D294" s="1" t="n">
        <v>157459</v>
      </c>
      <c r="E294" s="1" t="n">
        <v>0.04702</v>
      </c>
      <c r="G294" s="1" t="n">
        <v>0.013910294</v>
      </c>
      <c r="H294" s="1" t="n">
        <v>0.009308815</v>
      </c>
      <c r="I294" s="1" t="n">
        <v>0.008081198</v>
      </c>
      <c r="J294" s="1" t="n">
        <v>0.005203962</v>
      </c>
      <c r="K294" s="1" t="n">
        <v>0.005021334</v>
      </c>
      <c r="L294" s="1" t="n">
        <v>0.004988432</v>
      </c>
      <c r="M294" s="1" t="n">
        <v>0.004997253</v>
      </c>
      <c r="N294" s="1" t="n">
        <v>0.005102396</v>
      </c>
      <c r="O294" s="1" t="n">
        <v>0.00503087</v>
      </c>
      <c r="P294" s="1" t="n">
        <v>0.005330324</v>
      </c>
      <c r="R294" s="1" t="n">
        <f aca="false">PERCENTILE(G294:P294,0.9)</f>
        <v>0.0097689629</v>
      </c>
      <c r="S294" s="5" t="n">
        <f aca="false">spmv_1!R$10/R294</f>
        <v>3.5860228622631</v>
      </c>
      <c r="T294" s="6" t="n">
        <f aca="false">S294/128</f>
        <v>0.0280158036114304</v>
      </c>
    </row>
    <row r="295" customFormat="false" ht="15" hidden="false" customHeight="false" outlineLevel="0" collapsed="false">
      <c r="A295" s="1" t="s">
        <v>17</v>
      </c>
      <c r="B295" s="1" t="n">
        <v>31</v>
      </c>
      <c r="D295" s="1" t="n">
        <v>157521</v>
      </c>
      <c r="E295" s="1" t="n">
        <v>0.045556</v>
      </c>
      <c r="G295" s="1" t="n">
        <v>0.01395607</v>
      </c>
      <c r="H295" s="1" t="n">
        <v>0.009535551</v>
      </c>
      <c r="I295" s="1" t="n">
        <v>0.008567333</v>
      </c>
      <c r="J295" s="1" t="n">
        <v>0.005436182</v>
      </c>
      <c r="K295" s="1" t="n">
        <v>0.005184174</v>
      </c>
      <c r="L295" s="1" t="n">
        <v>0.00529027</v>
      </c>
      <c r="M295" s="1" t="n">
        <v>0.005157471</v>
      </c>
      <c r="N295" s="1" t="n">
        <v>0.005250454</v>
      </c>
      <c r="O295" s="1" t="n">
        <v>0.005238056</v>
      </c>
      <c r="P295" s="1" t="n">
        <v>0.00553894</v>
      </c>
      <c r="R295" s="1" t="n">
        <f aca="false">PERCENTILE(G295:P295,0.9)</f>
        <v>0.0099776029</v>
      </c>
      <c r="S295" s="5" t="n">
        <f aca="false">spmv_1!R$10/R295</f>
        <v>3.51103613273685</v>
      </c>
      <c r="T295" s="6" t="n">
        <f aca="false">S295/128</f>
        <v>0.0274299697870067</v>
      </c>
    </row>
    <row r="296" customFormat="false" ht="15" hidden="false" customHeight="false" outlineLevel="0" collapsed="false">
      <c r="A296" s="1" t="s">
        <v>17</v>
      </c>
      <c r="B296" s="1" t="n">
        <v>32</v>
      </c>
      <c r="D296" s="1" t="n">
        <v>158423</v>
      </c>
      <c r="E296" s="1" t="n">
        <v>0.041886</v>
      </c>
      <c r="G296" s="1" t="n">
        <v>0.01397872</v>
      </c>
      <c r="H296" s="1" t="n">
        <v>0.014230013</v>
      </c>
      <c r="I296" s="1" t="n">
        <v>0.00837326</v>
      </c>
      <c r="J296" s="1" t="n">
        <v>0.005718946</v>
      </c>
      <c r="K296" s="1" t="n">
        <v>0.005353212</v>
      </c>
      <c r="L296" s="1" t="n">
        <v>0.005422354</v>
      </c>
      <c r="M296" s="1" t="n">
        <v>0.005514622</v>
      </c>
      <c r="N296" s="1" t="n">
        <v>0.005716562</v>
      </c>
      <c r="O296" s="1" t="n">
        <v>0.005571365</v>
      </c>
      <c r="P296" s="1" t="n">
        <v>0.00576663</v>
      </c>
      <c r="R296" s="1" t="n">
        <f aca="false">PERCENTILE(G296:P296,0.9)</f>
        <v>0.0140038493</v>
      </c>
      <c r="S296" s="5" t="n">
        <f aca="false">spmv_1!R$10/R296</f>
        <v>2.50157821249905</v>
      </c>
      <c r="T296" s="6" t="n">
        <f aca="false">S296/128</f>
        <v>0.0195435797851488</v>
      </c>
    </row>
    <row r="297" customFormat="false" ht="15" hidden="false" customHeight="false" outlineLevel="0" collapsed="false">
      <c r="A297" s="1" t="s">
        <v>17</v>
      </c>
      <c r="B297" s="1" t="n">
        <v>33</v>
      </c>
      <c r="D297" s="1" t="n">
        <v>158518</v>
      </c>
      <c r="E297" s="1" t="n">
        <v>0.041699</v>
      </c>
      <c r="G297" s="1" t="n">
        <v>0.014100313</v>
      </c>
      <c r="H297" s="1" t="n">
        <v>0.014467955</v>
      </c>
      <c r="I297" s="1" t="n">
        <v>0.008366585</v>
      </c>
      <c r="J297" s="1" t="n">
        <v>0.005741596</v>
      </c>
      <c r="K297" s="1" t="n">
        <v>0.005349874</v>
      </c>
      <c r="L297" s="1" t="n">
        <v>0.005435467</v>
      </c>
      <c r="M297" s="1" t="n">
        <v>0.005497932</v>
      </c>
      <c r="N297" s="1" t="n">
        <v>0.005715132</v>
      </c>
      <c r="O297" s="1" t="n">
        <v>0.005581856</v>
      </c>
      <c r="P297" s="1" t="n">
        <v>0.005773067</v>
      </c>
      <c r="R297" s="1" t="n">
        <f aca="false">PERCENTILE(G297:P297,0.9)</f>
        <v>0.0141370772</v>
      </c>
      <c r="S297" s="5" t="n">
        <f aca="false">spmv_1!R$10/R297</f>
        <v>2.47800332447785</v>
      </c>
      <c r="T297" s="6" t="n">
        <f aca="false">S297/128</f>
        <v>0.0193594009724832</v>
      </c>
    </row>
    <row r="298" customFormat="false" ht="15" hidden="false" customHeight="false" outlineLevel="0" collapsed="false">
      <c r="A298" s="1" t="s">
        <v>17</v>
      </c>
      <c r="B298" s="1" t="n">
        <v>34</v>
      </c>
      <c r="D298" s="1" t="n">
        <v>158240</v>
      </c>
      <c r="E298" s="1" t="n">
        <v>0.041721</v>
      </c>
      <c r="G298" s="1" t="n">
        <v>0.01348424</v>
      </c>
      <c r="H298" s="1" t="n">
        <v>0.014341593</v>
      </c>
      <c r="I298" s="1" t="n">
        <v>0.008163929</v>
      </c>
      <c r="J298" s="1" t="n">
        <v>0.005673647</v>
      </c>
      <c r="K298" s="1" t="n">
        <v>0.005803108</v>
      </c>
      <c r="L298" s="1" t="n">
        <v>0.005909204</v>
      </c>
      <c r="M298" s="1" t="n">
        <v>0.005383968</v>
      </c>
      <c r="N298" s="1" t="n">
        <v>0.005521059</v>
      </c>
      <c r="O298" s="1" t="n">
        <v>0.005969286</v>
      </c>
      <c r="P298" s="1" t="n">
        <v>0.005607128</v>
      </c>
      <c r="R298" s="1" t="n">
        <f aca="false">PERCENTILE(G298:P298,0.9)</f>
        <v>0.0135699753</v>
      </c>
      <c r="S298" s="5" t="n">
        <f aca="false">spmv_1!R$10/R298</f>
        <v>2.58156139016701</v>
      </c>
      <c r="T298" s="6" t="n">
        <f aca="false">S298/128</f>
        <v>0.0201684483606798</v>
      </c>
    </row>
    <row r="299" customFormat="false" ht="15" hidden="false" customHeight="false" outlineLevel="0" collapsed="false">
      <c r="A299" s="1" t="s">
        <v>17</v>
      </c>
      <c r="B299" s="1" t="n">
        <v>35</v>
      </c>
      <c r="D299" s="1" t="n">
        <v>158121</v>
      </c>
      <c r="E299" s="1" t="n">
        <v>0.041776</v>
      </c>
      <c r="G299" s="1" t="n">
        <v>0.013912678</v>
      </c>
      <c r="H299" s="1" t="n">
        <v>0.014616013</v>
      </c>
      <c r="I299" s="1" t="n">
        <v>0.008276701</v>
      </c>
      <c r="J299" s="1" t="n">
        <v>0.005718231</v>
      </c>
      <c r="K299" s="1" t="n">
        <v>0.005293608</v>
      </c>
      <c r="L299" s="1" t="n">
        <v>0.005423307</v>
      </c>
      <c r="M299" s="1" t="n">
        <v>0.005469322</v>
      </c>
      <c r="N299" s="1" t="n">
        <v>0.005672693</v>
      </c>
      <c r="O299" s="1" t="n">
        <v>0.00557518</v>
      </c>
      <c r="P299" s="1" t="n">
        <v>0.005741596</v>
      </c>
      <c r="R299" s="1" t="n">
        <f aca="false">PERCENTILE(G299:P299,0.9)</f>
        <v>0.0139830115</v>
      </c>
      <c r="S299" s="5" t="n">
        <f aca="false">spmv_1!R$10/R299</f>
        <v>2.5053061209311</v>
      </c>
      <c r="T299" s="6" t="n">
        <f aca="false">S299/128</f>
        <v>0.0195727040697742</v>
      </c>
    </row>
    <row r="300" customFormat="false" ht="15" hidden="false" customHeight="false" outlineLevel="0" collapsed="false">
      <c r="A300" s="1" t="s">
        <v>17</v>
      </c>
      <c r="B300" s="1" t="n">
        <v>36</v>
      </c>
      <c r="D300" s="1" t="n">
        <v>156934</v>
      </c>
      <c r="E300" s="1" t="n">
        <v>0.041679</v>
      </c>
      <c r="G300" s="1" t="n">
        <v>0.013835669</v>
      </c>
      <c r="H300" s="1" t="n">
        <v>0.014621019</v>
      </c>
      <c r="I300" s="1" t="n">
        <v>0.008220673</v>
      </c>
      <c r="J300" s="1" t="n">
        <v>0.00569272</v>
      </c>
      <c r="K300" s="1" t="n">
        <v>0.005263329</v>
      </c>
      <c r="L300" s="1" t="n">
        <v>0.005376339</v>
      </c>
      <c r="M300" s="1" t="n">
        <v>0.005430698</v>
      </c>
      <c r="N300" s="1" t="n">
        <v>0.005633354</v>
      </c>
      <c r="O300" s="1" t="n">
        <v>0.005527496</v>
      </c>
      <c r="P300" s="1" t="n">
        <v>0.005704165</v>
      </c>
      <c r="R300" s="1" t="n">
        <f aca="false">PERCENTILE(G300:P300,0.9)</f>
        <v>0.013914204</v>
      </c>
      <c r="S300" s="5" t="n">
        <f aca="false">spmv_1!R$10/R300</f>
        <v>2.51769517681356</v>
      </c>
      <c r="T300" s="6" t="n">
        <f aca="false">S300/128</f>
        <v>0.019669493568856</v>
      </c>
    </row>
    <row r="301" customFormat="false" ht="15" hidden="false" customHeight="false" outlineLevel="0" collapsed="false">
      <c r="A301" s="1" t="s">
        <v>17</v>
      </c>
      <c r="B301" s="1" t="n">
        <v>37</v>
      </c>
      <c r="D301" s="1" t="n">
        <v>157580</v>
      </c>
      <c r="E301" s="1" t="n">
        <v>0.041968</v>
      </c>
      <c r="G301" s="1" t="n">
        <v>0.013629675</v>
      </c>
      <c r="H301" s="1" t="n">
        <v>0.014987946</v>
      </c>
      <c r="I301" s="1" t="n">
        <v>0.008334875</v>
      </c>
      <c r="J301" s="1" t="n">
        <v>0.005618095</v>
      </c>
      <c r="K301" s="1" t="n">
        <v>0.005282879</v>
      </c>
      <c r="L301" s="1" t="n">
        <v>0.005297899</v>
      </c>
      <c r="M301" s="1" t="n">
        <v>0.00526762</v>
      </c>
      <c r="N301" s="1" t="n">
        <v>0.005512238</v>
      </c>
      <c r="O301" s="1" t="n">
        <v>0.005459309</v>
      </c>
      <c r="P301" s="1" t="n">
        <v>0.005705595</v>
      </c>
      <c r="R301" s="1" t="n">
        <f aca="false">PERCENTILE(G301:P301,0.9)</f>
        <v>0.0137655021</v>
      </c>
      <c r="S301" s="5" t="n">
        <f aca="false">spmv_1!R$10/R301</f>
        <v>2.54489259058702</v>
      </c>
      <c r="T301" s="6" t="n">
        <f aca="false">S301/128</f>
        <v>0.0198819733639611</v>
      </c>
    </row>
    <row r="302" customFormat="false" ht="15" hidden="false" customHeight="false" outlineLevel="0" collapsed="false">
      <c r="A302" s="1" t="s">
        <v>17</v>
      </c>
      <c r="B302" s="1" t="n">
        <v>38</v>
      </c>
      <c r="D302" s="1" t="n">
        <v>157618</v>
      </c>
      <c r="E302" s="1" t="n">
        <v>0.04212</v>
      </c>
      <c r="G302" s="1" t="n">
        <v>0.013468742</v>
      </c>
      <c r="H302" s="1" t="n">
        <v>0.014986277</v>
      </c>
      <c r="I302" s="1" t="n">
        <v>0.008324146</v>
      </c>
      <c r="J302" s="1" t="n">
        <v>0.005629778</v>
      </c>
      <c r="K302" s="1" t="n">
        <v>0.00527072</v>
      </c>
      <c r="L302" s="1" t="n">
        <v>0.005280256</v>
      </c>
      <c r="M302" s="1" t="n">
        <v>0.005261421</v>
      </c>
      <c r="N302" s="1" t="n">
        <v>0.005489111</v>
      </c>
      <c r="O302" s="1" t="n">
        <v>0.005438089</v>
      </c>
      <c r="P302" s="1" t="n">
        <v>0.005694628</v>
      </c>
      <c r="R302" s="1" t="n">
        <f aca="false">PERCENTILE(G302:P302,0.9)</f>
        <v>0.0136204955</v>
      </c>
      <c r="S302" s="5" t="n">
        <f aca="false">spmv_1!R$10/R302</f>
        <v>2.5719860411833</v>
      </c>
      <c r="T302" s="6" t="n">
        <f aca="false">S302/128</f>
        <v>0.0200936409467446</v>
      </c>
    </row>
    <row r="303" customFormat="false" ht="15" hidden="false" customHeight="false" outlineLevel="0" collapsed="false">
      <c r="A303" s="1" t="s">
        <v>17</v>
      </c>
      <c r="B303" s="1" t="n">
        <v>39</v>
      </c>
      <c r="D303" s="1" t="n">
        <v>157802</v>
      </c>
      <c r="E303" s="1" t="n">
        <v>0.042053</v>
      </c>
      <c r="G303" s="1" t="n">
        <v>0.013808966</v>
      </c>
      <c r="H303" s="1" t="n">
        <v>0.014651775</v>
      </c>
      <c r="I303" s="1" t="n">
        <v>0.008034706</v>
      </c>
      <c r="J303" s="1" t="n">
        <v>0.005693913</v>
      </c>
      <c r="K303" s="1" t="n">
        <v>0.005234718</v>
      </c>
      <c r="L303" s="1" t="n">
        <v>0.00537014</v>
      </c>
      <c r="M303" s="1" t="n">
        <v>0.00544548</v>
      </c>
      <c r="N303" s="1" t="n">
        <v>0.005644321</v>
      </c>
      <c r="O303" s="1" t="n">
        <v>0.005517721</v>
      </c>
      <c r="P303" s="1" t="n">
        <v>0.005647898</v>
      </c>
      <c r="R303" s="1" t="n">
        <f aca="false">PERCENTILE(G303:P303,0.9)</f>
        <v>0.0138932469</v>
      </c>
      <c r="S303" s="5" t="n">
        <f aca="false">spmv_1!R$10/R303</f>
        <v>2.52149296360666</v>
      </c>
      <c r="T303" s="6" t="n">
        <f aca="false">S303/128</f>
        <v>0.019699163778177</v>
      </c>
    </row>
    <row r="304" customFormat="false" ht="15" hidden="false" customHeight="false" outlineLevel="0" collapsed="false">
      <c r="A304" s="1" t="s">
        <v>17</v>
      </c>
      <c r="B304" s="1" t="n">
        <v>40</v>
      </c>
      <c r="D304" s="1" t="n">
        <v>157998</v>
      </c>
      <c r="E304" s="1" t="n">
        <v>0.042353</v>
      </c>
      <c r="G304" s="1" t="n">
        <v>0.013757229</v>
      </c>
      <c r="H304" s="1" t="n">
        <v>0.01462245</v>
      </c>
      <c r="I304" s="1" t="n">
        <v>0.00797987</v>
      </c>
      <c r="J304" s="1" t="n">
        <v>0.005633116</v>
      </c>
      <c r="K304" s="1" t="n">
        <v>0.005207777</v>
      </c>
      <c r="L304" s="1" t="n">
        <v>0.005331755</v>
      </c>
      <c r="M304" s="1" t="n">
        <v>0.005384684</v>
      </c>
      <c r="N304" s="1" t="n">
        <v>0.005619526</v>
      </c>
      <c r="O304" s="1" t="n">
        <v>0.005482674</v>
      </c>
      <c r="P304" s="1" t="n">
        <v>0.005590677</v>
      </c>
      <c r="R304" s="1" t="n">
        <f aca="false">PERCENTILE(G304:P304,0.9)</f>
        <v>0.0138437511</v>
      </c>
      <c r="S304" s="5" t="n">
        <f aca="false">spmv_1!R$10/R304</f>
        <v>2.53050810051042</v>
      </c>
      <c r="T304" s="6" t="n">
        <f aca="false">S304/128</f>
        <v>0.0197695945352376</v>
      </c>
    </row>
    <row r="305" customFormat="false" ht="15" hidden="false" customHeight="false" outlineLevel="0" collapsed="false">
      <c r="A305" s="1" t="s">
        <v>17</v>
      </c>
      <c r="B305" s="1" t="n">
        <v>41</v>
      </c>
      <c r="D305" s="1" t="n">
        <v>158435</v>
      </c>
      <c r="E305" s="1" t="n">
        <v>0.042315</v>
      </c>
      <c r="G305" s="1" t="n">
        <v>0.013407469</v>
      </c>
      <c r="H305" s="1" t="n">
        <v>0.014915466</v>
      </c>
      <c r="I305" s="1" t="n">
        <v>0.008291245</v>
      </c>
      <c r="J305" s="1" t="n">
        <v>0.005610943</v>
      </c>
      <c r="K305" s="1" t="n">
        <v>0.005257607</v>
      </c>
      <c r="L305" s="1" t="n">
        <v>0.005263567</v>
      </c>
      <c r="M305" s="1" t="n">
        <v>0.005265236</v>
      </c>
      <c r="N305" s="1" t="n">
        <v>0.005484581</v>
      </c>
      <c r="O305" s="1" t="n">
        <v>0.005436897</v>
      </c>
      <c r="P305" s="1" t="n">
        <v>0.005951405</v>
      </c>
      <c r="R305" s="1" t="n">
        <f aca="false">PERCENTILE(G305:P305,0.9)</f>
        <v>0.0135582687</v>
      </c>
      <c r="S305" s="5" t="n">
        <f aca="false">spmv_1!R$10/R305</f>
        <v>2.58379038468238</v>
      </c>
      <c r="T305" s="6" t="n">
        <f aca="false">S305/128</f>
        <v>0.0201858623803311</v>
      </c>
    </row>
    <row r="306" customFormat="false" ht="15" hidden="false" customHeight="false" outlineLevel="0" collapsed="false">
      <c r="A306" s="1" t="s">
        <v>17</v>
      </c>
      <c r="B306" s="1" t="n">
        <v>42</v>
      </c>
      <c r="D306" s="1" t="n">
        <v>158476</v>
      </c>
      <c r="E306" s="1" t="n">
        <v>0.04274</v>
      </c>
      <c r="G306" s="1" t="n">
        <v>0.013254642</v>
      </c>
      <c r="H306" s="1" t="n">
        <v>0.014936686</v>
      </c>
      <c r="I306" s="1" t="n">
        <v>0.008210659</v>
      </c>
      <c r="J306" s="1" t="n">
        <v>0.005575895</v>
      </c>
      <c r="K306" s="1" t="n">
        <v>0.005217314</v>
      </c>
      <c r="L306" s="1" t="n">
        <v>0.005226135</v>
      </c>
      <c r="M306" s="1" t="n">
        <v>0.005222559</v>
      </c>
      <c r="N306" s="1" t="n">
        <v>0.005450487</v>
      </c>
      <c r="O306" s="1" t="n">
        <v>0.005400419</v>
      </c>
      <c r="P306" s="1" t="n">
        <v>0.00566411</v>
      </c>
      <c r="R306" s="1" t="n">
        <f aca="false">PERCENTILE(G306:P306,0.9)</f>
        <v>0.0134228464</v>
      </c>
      <c r="S306" s="5" t="n">
        <f aca="false">spmv_1!R$10/R306</f>
        <v>2.60985809239388</v>
      </c>
      <c r="T306" s="6" t="n">
        <f aca="false">S306/128</f>
        <v>0.0203895163468272</v>
      </c>
    </row>
    <row r="307" customFormat="false" ht="15" hidden="false" customHeight="false" outlineLevel="0" collapsed="false">
      <c r="A307" s="1" t="s">
        <v>17</v>
      </c>
      <c r="B307" s="1" t="n">
        <v>43</v>
      </c>
      <c r="D307" s="1" t="n">
        <v>158677</v>
      </c>
      <c r="E307" s="1" t="n">
        <v>0.042824</v>
      </c>
      <c r="G307" s="1" t="n">
        <v>0.013226509</v>
      </c>
      <c r="H307" s="1" t="n">
        <v>0.014966249</v>
      </c>
      <c r="I307" s="1" t="n">
        <v>0.008201838</v>
      </c>
      <c r="J307" s="1" t="n">
        <v>0.00557971</v>
      </c>
      <c r="K307" s="1" t="n">
        <v>0.005190134</v>
      </c>
      <c r="L307" s="1" t="n">
        <v>0.005209684</v>
      </c>
      <c r="M307" s="1" t="n">
        <v>0.005224705</v>
      </c>
      <c r="N307" s="1" t="n">
        <v>0.005447865</v>
      </c>
      <c r="O307" s="1" t="n">
        <v>0.005412102</v>
      </c>
      <c r="P307" s="1" t="n">
        <v>0.005646944</v>
      </c>
      <c r="R307" s="1" t="n">
        <f aca="false">PERCENTILE(G307:P307,0.9)</f>
        <v>0.013400483</v>
      </c>
      <c r="S307" s="5" t="n">
        <f aca="false">spmv_1!R$10/R307</f>
        <v>2.61421355483978</v>
      </c>
      <c r="T307" s="6" t="n">
        <f aca="false">S307/128</f>
        <v>0.0204235433971858</v>
      </c>
    </row>
    <row r="308" customFormat="false" ht="15" hidden="false" customHeight="false" outlineLevel="0" collapsed="false">
      <c r="A308" s="1" t="s">
        <v>17</v>
      </c>
      <c r="B308" s="1" t="n">
        <v>44</v>
      </c>
      <c r="D308" s="1" t="n">
        <v>157566</v>
      </c>
      <c r="E308" s="1" t="n">
        <v>0.04227</v>
      </c>
      <c r="G308" s="1" t="n">
        <v>0.01341033</v>
      </c>
      <c r="H308" s="1" t="n">
        <v>0.014991999</v>
      </c>
      <c r="I308" s="1" t="n">
        <v>0.008251905</v>
      </c>
      <c r="J308" s="1" t="n">
        <v>0.005568027</v>
      </c>
      <c r="K308" s="1" t="n">
        <v>0.005193233</v>
      </c>
      <c r="L308" s="1" t="n">
        <v>0.005213976</v>
      </c>
      <c r="M308" s="1" t="n">
        <v>0.005206347</v>
      </c>
      <c r="N308" s="1" t="n">
        <v>0.005433083</v>
      </c>
      <c r="O308" s="1" t="n">
        <v>0.005407333</v>
      </c>
      <c r="P308" s="1" t="n">
        <v>0.005876064</v>
      </c>
      <c r="R308" s="1" t="n">
        <f aca="false">PERCENTILE(G308:P308,0.9)</f>
        <v>0.0135684969</v>
      </c>
      <c r="S308" s="5" t="n">
        <f aca="false">spmv_1!R$10/R308</f>
        <v>2.58184267263974</v>
      </c>
      <c r="T308" s="6" t="n">
        <f aca="false">S308/128</f>
        <v>0.020170645879998</v>
      </c>
    </row>
    <row r="309" customFormat="false" ht="15" hidden="false" customHeight="false" outlineLevel="0" collapsed="false">
      <c r="A309" s="1" t="s">
        <v>17</v>
      </c>
      <c r="B309" s="1" t="n">
        <v>45</v>
      </c>
      <c r="D309" s="1" t="n">
        <v>158009</v>
      </c>
      <c r="E309" s="1" t="n">
        <v>0.04277</v>
      </c>
      <c r="G309" s="1" t="n">
        <v>0.013401031</v>
      </c>
      <c r="H309" s="1" t="n">
        <v>0.014605522</v>
      </c>
      <c r="I309" s="1" t="n">
        <v>0.00786376</v>
      </c>
      <c r="J309" s="1" t="n">
        <v>0.005624533</v>
      </c>
      <c r="K309" s="1" t="n">
        <v>0.005164146</v>
      </c>
      <c r="L309" s="1" t="n">
        <v>0.005288839</v>
      </c>
      <c r="M309" s="1" t="n">
        <v>0.005346775</v>
      </c>
      <c r="N309" s="1" t="n">
        <v>0.005568266</v>
      </c>
      <c r="O309" s="1" t="n">
        <v>0.005444288</v>
      </c>
      <c r="P309" s="1" t="n">
        <v>0.005580664</v>
      </c>
      <c r="R309" s="1" t="n">
        <f aca="false">PERCENTILE(G309:P309,0.9)</f>
        <v>0.0135214801</v>
      </c>
      <c r="S309" s="5" t="n">
        <f aca="false">spmv_1!R$10/R309</f>
        <v>2.59082023868082</v>
      </c>
      <c r="T309" s="6" t="n">
        <f aca="false">S309/128</f>
        <v>0.0202407831146939</v>
      </c>
    </row>
    <row r="310" customFormat="false" ht="15" hidden="false" customHeight="false" outlineLevel="0" collapsed="false">
      <c r="A310" s="1" t="s">
        <v>17</v>
      </c>
      <c r="B310" s="1" t="n">
        <v>46</v>
      </c>
      <c r="D310" s="1" t="n">
        <v>157784</v>
      </c>
      <c r="E310" s="1" t="n">
        <v>0.042641</v>
      </c>
      <c r="G310" s="1" t="n">
        <v>0.013374567</v>
      </c>
      <c r="H310" s="1" t="n">
        <v>0.014957428</v>
      </c>
      <c r="I310" s="1" t="n">
        <v>0.008145094</v>
      </c>
      <c r="J310" s="1" t="n">
        <v>0.00556922</v>
      </c>
      <c r="K310" s="1" t="n">
        <v>0.005136728</v>
      </c>
      <c r="L310" s="1" t="n">
        <v>0.00518775</v>
      </c>
      <c r="M310" s="1" t="n">
        <v>0.005206347</v>
      </c>
      <c r="N310" s="1" t="n">
        <v>0.005434752</v>
      </c>
      <c r="O310" s="1" t="n">
        <v>0.005361319</v>
      </c>
      <c r="P310" s="1" t="n">
        <v>0.005631924</v>
      </c>
      <c r="R310" s="1" t="n">
        <f aca="false">PERCENTILE(G310:P310,0.9)</f>
        <v>0.0135328531</v>
      </c>
      <c r="S310" s="5" t="n">
        <f aca="false">spmv_1!R$10/R310</f>
        <v>2.58864291521793</v>
      </c>
      <c r="T310" s="6" t="n">
        <f aca="false">S310/128</f>
        <v>0.0202237727751401</v>
      </c>
    </row>
    <row r="311" customFormat="false" ht="15" hidden="false" customHeight="false" outlineLevel="0" collapsed="false">
      <c r="A311" s="1" t="s">
        <v>17</v>
      </c>
      <c r="B311" s="1" t="n">
        <v>47</v>
      </c>
      <c r="D311" s="1" t="n">
        <v>158695</v>
      </c>
      <c r="E311" s="1" t="n">
        <v>0.042632</v>
      </c>
      <c r="G311" s="1" t="n">
        <v>0.013203144</v>
      </c>
      <c r="H311" s="1" t="n">
        <v>0.014420748</v>
      </c>
      <c r="I311" s="1" t="n">
        <v>0.007712364</v>
      </c>
      <c r="J311" s="1" t="n">
        <v>0.00558424</v>
      </c>
      <c r="K311" s="1" t="n">
        <v>0.005660057</v>
      </c>
      <c r="L311" s="1" t="n">
        <v>0.005829334</v>
      </c>
      <c r="M311" s="1" t="n">
        <v>0.00528574</v>
      </c>
      <c r="N311" s="1" t="n">
        <v>0.005432129</v>
      </c>
      <c r="O311" s="1" t="n">
        <v>0.005868196</v>
      </c>
      <c r="P311" s="1" t="n">
        <v>0.00545311</v>
      </c>
      <c r="R311" s="1" t="n">
        <f aca="false">PERCENTILE(G311:P311,0.9)</f>
        <v>0.0133249044</v>
      </c>
      <c r="S311" s="5" t="n">
        <f aca="false">spmv_1!R$10/R311</f>
        <v>2.62904132355351</v>
      </c>
      <c r="T311" s="6" t="n">
        <f aca="false">S311/128</f>
        <v>0.0205393853402618</v>
      </c>
    </row>
    <row r="312" customFormat="false" ht="15" hidden="false" customHeight="false" outlineLevel="0" collapsed="false">
      <c r="A312" s="1" t="s">
        <v>17</v>
      </c>
      <c r="B312" s="1" t="n">
        <v>48</v>
      </c>
      <c r="D312" s="1" t="n">
        <v>159213</v>
      </c>
      <c r="E312" s="1" t="n">
        <v>0.043037</v>
      </c>
      <c r="G312" s="1" t="n">
        <v>0.013130903</v>
      </c>
      <c r="H312" s="1" t="n">
        <v>0.01441288</v>
      </c>
      <c r="I312" s="1" t="n">
        <v>0.007662296</v>
      </c>
      <c r="J312" s="1" t="n">
        <v>0.00554204</v>
      </c>
      <c r="K312" s="1" t="n">
        <v>0.005617619</v>
      </c>
      <c r="L312" s="1" t="n">
        <v>0.00579381</v>
      </c>
      <c r="M312" s="1" t="n">
        <v>0.005235434</v>
      </c>
      <c r="N312" s="1" t="n">
        <v>0.00538373</v>
      </c>
      <c r="O312" s="1" t="n">
        <v>0.005830288</v>
      </c>
      <c r="P312" s="1" t="n">
        <v>0.005380392</v>
      </c>
      <c r="R312" s="1" t="n">
        <f aca="false">PERCENTILE(G312:P312,0.9)</f>
        <v>0.0132591007</v>
      </c>
      <c r="S312" s="5" t="n">
        <f aca="false">spmv_1!R$10/R312</f>
        <v>2.64208901437788</v>
      </c>
      <c r="T312" s="6" t="n">
        <f aca="false">S312/128</f>
        <v>0.0206413204248272</v>
      </c>
    </row>
    <row r="313" customFormat="false" ht="15" hidden="false" customHeight="false" outlineLevel="0" collapsed="false">
      <c r="A313" s="1" t="s">
        <v>17</v>
      </c>
      <c r="B313" s="1" t="n">
        <v>49</v>
      </c>
      <c r="D313" s="1" t="n">
        <v>159206</v>
      </c>
      <c r="E313" s="1" t="n">
        <v>0.042987</v>
      </c>
      <c r="G313" s="1" t="n">
        <v>0.013200283</v>
      </c>
      <c r="H313" s="1" t="n">
        <v>0.014340639</v>
      </c>
      <c r="I313" s="1" t="n">
        <v>0.007632971</v>
      </c>
      <c r="J313" s="1" t="n">
        <v>0.005549908</v>
      </c>
      <c r="K313" s="1" t="n">
        <v>0.005667925</v>
      </c>
      <c r="L313" s="1" t="n">
        <v>0.005824089</v>
      </c>
      <c r="M313" s="1" t="n">
        <v>0.005223036</v>
      </c>
      <c r="N313" s="1" t="n">
        <v>0.005386353</v>
      </c>
      <c r="O313" s="1" t="n">
        <v>0.005841494</v>
      </c>
      <c r="P313" s="1" t="n">
        <v>0.005405426</v>
      </c>
      <c r="R313" s="1" t="n">
        <f aca="false">PERCENTILE(G313:P313,0.9)</f>
        <v>0.0133143186</v>
      </c>
      <c r="S313" s="5" t="n">
        <f aca="false">spmv_1!R$10/R313</f>
        <v>2.63113159241961</v>
      </c>
      <c r="T313" s="6" t="n">
        <f aca="false">S313/128</f>
        <v>0.0205557155657782</v>
      </c>
    </row>
    <row r="314" customFormat="false" ht="15" hidden="false" customHeight="false" outlineLevel="0" collapsed="false">
      <c r="A314" s="1" t="s">
        <v>17</v>
      </c>
      <c r="B314" s="1" t="n">
        <v>50</v>
      </c>
      <c r="D314" s="1" t="n">
        <v>158837</v>
      </c>
      <c r="E314" s="1" t="n">
        <v>0.043338</v>
      </c>
      <c r="G314" s="1" t="n">
        <v>0.0129776</v>
      </c>
      <c r="H314" s="1" t="n">
        <v>0.014147758</v>
      </c>
      <c r="I314" s="1" t="n">
        <v>0.007561922</v>
      </c>
      <c r="J314" s="1" t="n">
        <v>0.005522966</v>
      </c>
      <c r="K314" s="1" t="n">
        <v>0.005632162</v>
      </c>
      <c r="L314" s="1" t="n">
        <v>0.005763769</v>
      </c>
      <c r="M314" s="1" t="n">
        <v>0.005180836</v>
      </c>
      <c r="N314" s="1" t="n">
        <v>0.005343914</v>
      </c>
      <c r="O314" s="1" t="n">
        <v>0.005809069</v>
      </c>
      <c r="P314" s="1" t="n">
        <v>0.005361795</v>
      </c>
      <c r="R314" s="1" t="n">
        <f aca="false">PERCENTILE(G314:P314,0.9)</f>
        <v>0.0130946158</v>
      </c>
      <c r="S314" s="5" t="n">
        <f aca="false">spmv_1!R$10/R314</f>
        <v>2.67527698674443</v>
      </c>
      <c r="T314" s="6" t="n">
        <f aca="false">S314/128</f>
        <v>0.0209006014589409</v>
      </c>
    </row>
    <row r="315" customFormat="false" ht="15" hidden="false" customHeight="false" outlineLevel="0" collapsed="false">
      <c r="A315" s="1" t="s">
        <v>17</v>
      </c>
      <c r="B315" s="1" t="n">
        <v>51</v>
      </c>
      <c r="D315" s="1" t="n">
        <v>159383</v>
      </c>
      <c r="E315" s="1" t="n">
        <v>0.043694</v>
      </c>
      <c r="G315" s="1" t="n">
        <v>0.012662172</v>
      </c>
      <c r="H315" s="1" t="n">
        <v>0.014082193</v>
      </c>
      <c r="I315" s="1" t="n">
        <v>0.007565498</v>
      </c>
      <c r="J315" s="1" t="n">
        <v>0.005518675</v>
      </c>
      <c r="K315" s="1" t="n">
        <v>0.005597115</v>
      </c>
      <c r="L315" s="1" t="n">
        <v>0.005773067</v>
      </c>
      <c r="M315" s="1" t="n">
        <v>0.005195141</v>
      </c>
      <c r="N315" s="1" t="n">
        <v>0.005367517</v>
      </c>
      <c r="O315" s="1" t="n">
        <v>0.005818367</v>
      </c>
      <c r="P315" s="1" t="n">
        <v>0.005373955</v>
      </c>
      <c r="R315" s="1" t="n">
        <f aca="false">PERCENTILE(G315:P315,0.9)</f>
        <v>0.0128041741</v>
      </c>
      <c r="S315" s="5" t="n">
        <f aca="false">spmv_1!R$10/R315</f>
        <v>2.73596125969577</v>
      </c>
      <c r="T315" s="6" t="n">
        <f aca="false">S315/128</f>
        <v>0.0213746973413732</v>
      </c>
    </row>
    <row r="316" customFormat="false" ht="15" hidden="false" customHeight="false" outlineLevel="0" collapsed="false">
      <c r="A316" s="1" t="s">
        <v>17</v>
      </c>
      <c r="B316" s="1" t="n">
        <v>52</v>
      </c>
      <c r="D316" s="1" t="n">
        <v>158164</v>
      </c>
      <c r="E316" s="1" t="n">
        <v>0.043265</v>
      </c>
      <c r="G316" s="1" t="n">
        <v>0.013143301</v>
      </c>
      <c r="H316" s="1" t="n">
        <v>0.01403594</v>
      </c>
      <c r="I316" s="1" t="n">
        <v>0.007474422</v>
      </c>
      <c r="J316" s="1" t="n">
        <v>0.005502462</v>
      </c>
      <c r="K316" s="1" t="n">
        <v>0.005597591</v>
      </c>
      <c r="L316" s="1" t="n">
        <v>0.005760193</v>
      </c>
      <c r="M316" s="1" t="n">
        <v>0.005180836</v>
      </c>
      <c r="N316" s="1" t="n">
        <v>0.005344629</v>
      </c>
      <c r="O316" s="1" t="n">
        <v>0.005725145</v>
      </c>
      <c r="P316" s="1" t="n">
        <v>0.005350351</v>
      </c>
      <c r="R316" s="1" t="n">
        <f aca="false">PERCENTILE(G316:P316,0.9)</f>
        <v>0.0132325649</v>
      </c>
      <c r="S316" s="5" t="n">
        <f aca="false">spmv_1!R$10/R316</f>
        <v>2.64738730281988</v>
      </c>
      <c r="T316" s="6" t="n">
        <f aca="false">S316/128</f>
        <v>0.0206827133032803</v>
      </c>
    </row>
    <row r="317" customFormat="false" ht="15" hidden="false" customHeight="false" outlineLevel="0" collapsed="false">
      <c r="A317" s="1" t="s">
        <v>17</v>
      </c>
      <c r="B317" s="1" t="n">
        <v>53</v>
      </c>
      <c r="D317" s="1" t="n">
        <v>158284</v>
      </c>
      <c r="E317" s="1" t="n">
        <v>0.044086</v>
      </c>
      <c r="G317" s="1" t="n">
        <v>0.012933016</v>
      </c>
      <c r="H317" s="1" t="n">
        <v>0.014287233</v>
      </c>
      <c r="I317" s="1" t="n">
        <v>0.007472277</v>
      </c>
      <c r="J317" s="1" t="n">
        <v>0.005508184</v>
      </c>
      <c r="K317" s="1" t="n">
        <v>0.005323172</v>
      </c>
      <c r="L317" s="1" t="n">
        <v>0.005017519</v>
      </c>
      <c r="M317" s="1" t="n">
        <v>0.005067587</v>
      </c>
      <c r="N317" s="1" t="n">
        <v>0.005166769</v>
      </c>
      <c r="O317" s="1" t="n">
        <v>0.005699396</v>
      </c>
      <c r="P317" s="1" t="n">
        <v>0.00533247</v>
      </c>
      <c r="R317" s="1" t="n">
        <f aca="false">PERCENTILE(G317:P317,0.9)</f>
        <v>0.0130684377</v>
      </c>
      <c r="S317" s="5" t="n">
        <f aca="false">spmv_1!R$10/R317</f>
        <v>2.68063597992283</v>
      </c>
      <c r="T317" s="6" t="n">
        <f aca="false">S317/128</f>
        <v>0.0209424685931471</v>
      </c>
    </row>
    <row r="318" customFormat="false" ht="15" hidden="false" customHeight="false" outlineLevel="0" collapsed="false">
      <c r="A318" s="1" t="s">
        <v>17</v>
      </c>
      <c r="B318" s="1" t="n">
        <v>54</v>
      </c>
      <c r="D318" s="1" t="n">
        <v>158300</v>
      </c>
      <c r="E318" s="1" t="n">
        <v>0.044085</v>
      </c>
      <c r="G318" s="1" t="n">
        <v>0.012457609</v>
      </c>
      <c r="H318" s="1" t="n">
        <v>0.015055656</v>
      </c>
      <c r="I318" s="1" t="n">
        <v>0.007946253</v>
      </c>
      <c r="J318" s="1" t="n">
        <v>0.005459309</v>
      </c>
      <c r="K318" s="1" t="n">
        <v>0.004978657</v>
      </c>
      <c r="L318" s="1" t="n">
        <v>0.00500226</v>
      </c>
      <c r="M318" s="1" t="n">
        <v>0.005004883</v>
      </c>
      <c r="N318" s="1" t="n">
        <v>0.005308867</v>
      </c>
      <c r="O318" s="1" t="n">
        <v>0.005171776</v>
      </c>
      <c r="P318" s="1" t="n">
        <v>0.005430937</v>
      </c>
      <c r="R318" s="1" t="n">
        <f aca="false">PERCENTILE(G318:P318,0.9)</f>
        <v>0.0127174137</v>
      </c>
      <c r="S318" s="5" t="n">
        <f aca="false">spmv_1!R$10/R318</f>
        <v>2.7546264615108</v>
      </c>
      <c r="T318" s="6" t="n">
        <f aca="false">S318/128</f>
        <v>0.0215205192305531</v>
      </c>
    </row>
    <row r="319" customFormat="false" ht="15" hidden="false" customHeight="false" outlineLevel="0" collapsed="false">
      <c r="A319" s="1" t="s">
        <v>17</v>
      </c>
      <c r="B319" s="1" t="n">
        <v>55</v>
      </c>
      <c r="D319" s="1" t="n">
        <v>158108</v>
      </c>
      <c r="E319" s="1" t="n">
        <v>0.044089</v>
      </c>
      <c r="G319" s="1" t="n">
        <v>0.012203455</v>
      </c>
      <c r="H319" s="1" t="n">
        <v>0.01450491</v>
      </c>
      <c r="I319" s="1" t="n">
        <v>0.007307291</v>
      </c>
      <c r="J319" s="1" t="n">
        <v>0.005394697</v>
      </c>
      <c r="K319" s="1" t="n">
        <v>0.005500317</v>
      </c>
      <c r="L319" s="1" t="n">
        <v>0.005675793</v>
      </c>
      <c r="M319" s="1" t="n">
        <v>0.005063057</v>
      </c>
      <c r="N319" s="1" t="n">
        <v>0.005234718</v>
      </c>
      <c r="O319" s="1" t="n">
        <v>0.005615473</v>
      </c>
      <c r="P319" s="1" t="n">
        <v>0.005223036</v>
      </c>
      <c r="R319" s="1" t="n">
        <f aca="false">PERCENTILE(G319:P319,0.9)</f>
        <v>0.0124336005</v>
      </c>
      <c r="S319" s="5" t="n">
        <f aca="false">spmv_1!R$10/R319</f>
        <v>2.81750441475098</v>
      </c>
      <c r="T319" s="6" t="n">
        <f aca="false">S319/128</f>
        <v>0.022011753240242</v>
      </c>
    </row>
    <row r="320" customFormat="false" ht="15" hidden="false" customHeight="false" outlineLevel="0" collapsed="false">
      <c r="A320" s="1" t="s">
        <v>17</v>
      </c>
      <c r="B320" s="1" t="n">
        <v>56</v>
      </c>
      <c r="D320" s="1" t="n">
        <v>159076</v>
      </c>
      <c r="E320" s="1" t="n">
        <v>0.045016</v>
      </c>
      <c r="G320" s="1" t="n">
        <v>0.012250423</v>
      </c>
      <c r="H320" s="1" t="n">
        <v>0.01501441</v>
      </c>
      <c r="I320" s="1" t="n">
        <v>0.007255077</v>
      </c>
      <c r="J320" s="1" t="n">
        <v>0.005378485</v>
      </c>
      <c r="K320" s="1" t="n">
        <v>0.005187511</v>
      </c>
      <c r="L320" s="1" t="n">
        <v>0.004877806</v>
      </c>
      <c r="M320" s="1" t="n">
        <v>0.004907608</v>
      </c>
      <c r="N320" s="1" t="n">
        <v>0.005036831</v>
      </c>
      <c r="O320" s="1" t="n">
        <v>0.005585909</v>
      </c>
      <c r="P320" s="1" t="n">
        <v>0.005181074</v>
      </c>
      <c r="R320" s="1" t="n">
        <f aca="false">PERCENTILE(G320:P320,0.9)</f>
        <v>0.0125268217</v>
      </c>
      <c r="S320" s="5" t="n">
        <f aca="false">spmv_1!R$10/R320</f>
        <v>2.7965373132117</v>
      </c>
      <c r="T320" s="6" t="n">
        <f aca="false">S320/128</f>
        <v>0.0218479477594664</v>
      </c>
    </row>
    <row r="321" customFormat="false" ht="15" hidden="false" customHeight="false" outlineLevel="0" collapsed="false">
      <c r="A321" s="1" t="s">
        <v>17</v>
      </c>
      <c r="B321" s="1" t="n">
        <v>57</v>
      </c>
      <c r="D321" s="1" t="n">
        <v>158947</v>
      </c>
      <c r="E321" s="1" t="n">
        <v>0.044498</v>
      </c>
      <c r="G321" s="1" t="n">
        <v>0.012185574</v>
      </c>
      <c r="H321" s="1" t="n">
        <v>0.015109062</v>
      </c>
      <c r="I321" s="1" t="n">
        <v>0.007873297</v>
      </c>
      <c r="J321" s="1" t="n">
        <v>0.005409002</v>
      </c>
      <c r="K321" s="1" t="n">
        <v>0.004927158</v>
      </c>
      <c r="L321" s="1" t="n">
        <v>0.004917383</v>
      </c>
      <c r="M321" s="1" t="n">
        <v>0.004979372</v>
      </c>
      <c r="N321" s="1" t="n">
        <v>0.005278111</v>
      </c>
      <c r="O321" s="1" t="n">
        <v>0.005157948</v>
      </c>
      <c r="P321" s="1" t="n">
        <v>0.005603075</v>
      </c>
      <c r="R321" s="1" t="n">
        <f aca="false">PERCENTILE(G321:P321,0.9)</f>
        <v>0.0124779228</v>
      </c>
      <c r="S321" s="5" t="n">
        <f aca="false">spmv_1!R$10/R321</f>
        <v>2.80749647689758</v>
      </c>
      <c r="T321" s="6" t="n">
        <f aca="false">S321/128</f>
        <v>0.0219335662257624</v>
      </c>
    </row>
    <row r="322" customFormat="false" ht="15" hidden="false" customHeight="false" outlineLevel="0" collapsed="false">
      <c r="A322" s="1" t="s">
        <v>17</v>
      </c>
      <c r="B322" s="1" t="n">
        <v>58</v>
      </c>
      <c r="D322" s="1" t="n">
        <v>158779</v>
      </c>
      <c r="E322" s="1" t="n">
        <v>0.044702</v>
      </c>
      <c r="G322" s="1" t="n">
        <v>0.01295495</v>
      </c>
      <c r="H322" s="1" t="n">
        <v>0.014712334</v>
      </c>
      <c r="I322" s="1" t="n">
        <v>0.007175446</v>
      </c>
      <c r="J322" s="1" t="n">
        <v>0.005447388</v>
      </c>
      <c r="K322" s="1" t="n">
        <v>0.004824877</v>
      </c>
      <c r="L322" s="1" t="n">
        <v>0.004972696</v>
      </c>
      <c r="M322" s="1" t="n">
        <v>0.005134344</v>
      </c>
      <c r="N322" s="1" t="n">
        <v>0.005388021</v>
      </c>
      <c r="O322" s="1" t="n">
        <v>0.005136728</v>
      </c>
      <c r="P322" s="1" t="n">
        <v>0.005292416</v>
      </c>
      <c r="R322" s="1" t="n">
        <f aca="false">PERCENTILE(G322:P322,0.9)</f>
        <v>0.0131306884</v>
      </c>
      <c r="S322" s="5" t="n">
        <f aca="false">spmv_1!R$10/R322</f>
        <v>2.66792747134263</v>
      </c>
      <c r="T322" s="6" t="n">
        <f aca="false">S322/128</f>
        <v>0.0208431833698643</v>
      </c>
    </row>
    <row r="323" customFormat="false" ht="15" hidden="false" customHeight="false" outlineLevel="0" collapsed="false">
      <c r="A323" s="1" t="s">
        <v>17</v>
      </c>
      <c r="B323" s="1" t="n">
        <v>59</v>
      </c>
      <c r="D323" s="1" t="n">
        <v>159343</v>
      </c>
      <c r="E323" s="1" t="n">
        <v>0.044972</v>
      </c>
      <c r="G323" s="1" t="n">
        <v>0.012964725</v>
      </c>
      <c r="H323" s="1" t="n">
        <v>0.014701843</v>
      </c>
      <c r="I323" s="1" t="n">
        <v>0.007178783</v>
      </c>
      <c r="J323" s="1" t="n">
        <v>0.005431414</v>
      </c>
      <c r="K323" s="1" t="n">
        <v>0.004799604</v>
      </c>
      <c r="L323" s="1" t="n">
        <v>0.004937172</v>
      </c>
      <c r="M323" s="1" t="n">
        <v>0.00510478</v>
      </c>
      <c r="N323" s="1" t="n">
        <v>0.005385399</v>
      </c>
      <c r="O323" s="1" t="n">
        <v>0.005115986</v>
      </c>
      <c r="P323" s="1" t="n">
        <v>0.005244255</v>
      </c>
      <c r="R323" s="1" t="n">
        <f aca="false">PERCENTILE(G323:P323,0.9)</f>
        <v>0.0131384368</v>
      </c>
      <c r="S323" s="5" t="n">
        <f aca="false">spmv_1!R$10/R323</f>
        <v>2.66635405971584</v>
      </c>
      <c r="T323" s="6" t="n">
        <f aca="false">S323/128</f>
        <v>0.02083089109153</v>
      </c>
    </row>
    <row r="324" customFormat="false" ht="15" hidden="false" customHeight="false" outlineLevel="0" collapsed="false">
      <c r="A324" s="1" t="s">
        <v>17</v>
      </c>
      <c r="B324" s="1" t="n">
        <v>60</v>
      </c>
      <c r="D324" s="1" t="n">
        <v>157861</v>
      </c>
      <c r="E324" s="1" t="n">
        <v>0.045153</v>
      </c>
      <c r="G324" s="1" t="n">
        <v>0.011764765</v>
      </c>
      <c r="H324" s="1" t="n">
        <v>0.015013933</v>
      </c>
      <c r="I324" s="1" t="n">
        <v>0.007088423</v>
      </c>
      <c r="J324" s="1" t="n">
        <v>0.005375862</v>
      </c>
      <c r="K324" s="1" t="n">
        <v>0.005197048</v>
      </c>
      <c r="L324" s="1" t="n">
        <v>0.004863501</v>
      </c>
      <c r="M324" s="1" t="n">
        <v>0.004855394</v>
      </c>
      <c r="N324" s="1" t="n">
        <v>0.005012512</v>
      </c>
      <c r="O324" s="1" t="n">
        <v>0.005579472</v>
      </c>
      <c r="P324" s="1" t="n">
        <v>0.005171061</v>
      </c>
      <c r="R324" s="1" t="n">
        <f aca="false">PERCENTILE(G324:P324,0.9)</f>
        <v>0.0120896818</v>
      </c>
      <c r="S324" s="5" t="n">
        <f aca="false">spmv_1!R$10/R324</f>
        <v>2.89765478360233</v>
      </c>
      <c r="T324" s="6" t="n">
        <f aca="false">S324/128</f>
        <v>0.0226379279968932</v>
      </c>
    </row>
    <row r="325" customFormat="false" ht="15" hidden="false" customHeight="false" outlineLevel="0" collapsed="false">
      <c r="A325" s="1" t="s">
        <v>17</v>
      </c>
      <c r="B325" s="1" t="n">
        <v>61</v>
      </c>
      <c r="D325" s="1" t="n">
        <v>157775</v>
      </c>
      <c r="E325" s="1" t="n">
        <v>0.044769</v>
      </c>
      <c r="G325" s="1" t="n">
        <v>0.01222229</v>
      </c>
      <c r="H325" s="1" t="n">
        <v>0.015059948</v>
      </c>
      <c r="I325" s="1" t="n">
        <v>0.007102013</v>
      </c>
      <c r="J325" s="1" t="n">
        <v>0.00541544</v>
      </c>
      <c r="K325" s="1" t="n">
        <v>0.005217791</v>
      </c>
      <c r="L325" s="1" t="n">
        <v>0.004866838</v>
      </c>
      <c r="M325" s="1" t="n">
        <v>0.004838228</v>
      </c>
      <c r="N325" s="1" t="n">
        <v>0.005013466</v>
      </c>
      <c r="O325" s="1" t="n">
        <v>0.005558968</v>
      </c>
      <c r="P325" s="1" t="n">
        <v>0.005188704</v>
      </c>
      <c r="R325" s="1" t="n">
        <f aca="false">PERCENTILE(G325:P325,0.9)</f>
        <v>0.0125060558</v>
      </c>
      <c r="S325" s="5" t="n">
        <f aca="false">spmv_1!R$10/R325</f>
        <v>2.80118087270968</v>
      </c>
      <c r="T325" s="6" t="n">
        <f aca="false">S325/128</f>
        <v>0.0218842255680444</v>
      </c>
    </row>
    <row r="326" customFormat="false" ht="15" hidden="false" customHeight="false" outlineLevel="0" collapsed="false">
      <c r="A326" s="1" t="s">
        <v>17</v>
      </c>
      <c r="B326" s="1" t="n">
        <v>62</v>
      </c>
      <c r="D326" s="1" t="n">
        <v>158022</v>
      </c>
      <c r="E326" s="1" t="n">
        <v>0.045022</v>
      </c>
      <c r="G326" s="1" t="n">
        <v>0.011856556</v>
      </c>
      <c r="H326" s="1" t="n">
        <v>0.014988661</v>
      </c>
      <c r="I326" s="1" t="n">
        <v>0.007632971</v>
      </c>
      <c r="J326" s="1" t="n">
        <v>0.005368471</v>
      </c>
      <c r="K326" s="1" t="n">
        <v>0.004846096</v>
      </c>
      <c r="L326" s="1" t="n">
        <v>0.004833937</v>
      </c>
      <c r="M326" s="1" t="n">
        <v>0.004882097</v>
      </c>
      <c r="N326" s="1" t="n">
        <v>0.00519681</v>
      </c>
      <c r="O326" s="1" t="n">
        <v>0.005084038</v>
      </c>
      <c r="P326" s="1" t="n">
        <v>0.005508661</v>
      </c>
      <c r="R326" s="1" t="n">
        <f aca="false">PERCENTILE(G326:P326,0.9)</f>
        <v>0.0121697665</v>
      </c>
      <c r="S326" s="5" t="n">
        <f aca="false">spmv_1!R$10/R326</f>
        <v>2.8785863968713</v>
      </c>
      <c r="T326" s="6" t="n">
        <f aca="false">S326/128</f>
        <v>0.022488956225557</v>
      </c>
    </row>
    <row r="327" customFormat="false" ht="15" hidden="false" customHeight="false" outlineLevel="0" collapsed="false">
      <c r="A327" s="1" t="s">
        <v>17</v>
      </c>
      <c r="B327" s="1" t="n">
        <v>63</v>
      </c>
      <c r="D327" s="1" t="n">
        <v>158153</v>
      </c>
      <c r="E327" s="1" t="n">
        <v>0.045642</v>
      </c>
      <c r="G327" s="1" t="n">
        <v>0.011671066</v>
      </c>
      <c r="H327" s="1" t="n">
        <v>0.014927864</v>
      </c>
      <c r="I327" s="1" t="n">
        <v>0.007478714</v>
      </c>
      <c r="J327" s="1" t="n">
        <v>0.005332708</v>
      </c>
      <c r="K327" s="1" t="n">
        <v>0.004812956</v>
      </c>
      <c r="L327" s="1" t="n">
        <v>0.004791737</v>
      </c>
      <c r="M327" s="1" t="n">
        <v>0.004823208</v>
      </c>
      <c r="N327" s="1" t="n">
        <v>0.005141258</v>
      </c>
      <c r="O327" s="1" t="n">
        <v>0.005046606</v>
      </c>
      <c r="P327" s="1" t="n">
        <v>0.005274773</v>
      </c>
      <c r="R327" s="1" t="n">
        <f aca="false">PERCENTILE(G327:P327,0.9)</f>
        <v>0.0119967458</v>
      </c>
      <c r="S327" s="5" t="n">
        <f aca="false">spmv_1!R$10/R327</f>
        <v>2.92010224139283</v>
      </c>
      <c r="T327" s="6" t="n">
        <f aca="false">S327/128</f>
        <v>0.0228132987608815</v>
      </c>
    </row>
    <row r="328" customFormat="false" ht="15" hidden="false" customHeight="false" outlineLevel="0" collapsed="false">
      <c r="A328" s="1" t="s">
        <v>17</v>
      </c>
      <c r="B328" s="1" t="n">
        <v>64</v>
      </c>
      <c r="D328" s="1" t="n">
        <v>159680</v>
      </c>
      <c r="E328" s="1" t="n">
        <v>0.046197</v>
      </c>
      <c r="G328" s="1" t="n">
        <v>0.01168704</v>
      </c>
      <c r="H328" s="1" t="n">
        <v>0.014687061</v>
      </c>
      <c r="I328" s="1" t="n">
        <v>0.006997347</v>
      </c>
      <c r="J328" s="1" t="n">
        <v>0.00533843</v>
      </c>
      <c r="K328" s="1" t="n">
        <v>0.005176067</v>
      </c>
      <c r="L328" s="1" t="n">
        <v>0.004814386</v>
      </c>
      <c r="M328" s="1" t="n">
        <v>0.004784584</v>
      </c>
      <c r="N328" s="1" t="n">
        <v>0.004950762</v>
      </c>
      <c r="O328" s="1" t="n">
        <v>0.005536795</v>
      </c>
      <c r="P328" s="1" t="n">
        <v>0.005157709</v>
      </c>
      <c r="R328" s="1" t="n">
        <f aca="false">PERCENTILE(G328:P328,0.9)</f>
        <v>0.0119870421</v>
      </c>
      <c r="S328" s="5" t="n">
        <f aca="false">spmv_1!R$10/R328</f>
        <v>2.92246611030089</v>
      </c>
      <c r="T328" s="6" t="n">
        <f aca="false">S328/128</f>
        <v>0.0228317664867257</v>
      </c>
    </row>
    <row r="329" customFormat="false" ht="15" hidden="false" customHeight="false" outlineLevel="0" collapsed="false">
      <c r="A329" s="1" t="s">
        <v>17</v>
      </c>
      <c r="B329" s="1" t="n">
        <v>65</v>
      </c>
      <c r="D329" s="1" t="n">
        <v>159770</v>
      </c>
      <c r="E329" s="1" t="n">
        <v>0.045999</v>
      </c>
      <c r="G329" s="1" t="n">
        <v>0.012316942</v>
      </c>
      <c r="H329" s="1" t="n">
        <v>0.014725208</v>
      </c>
      <c r="I329" s="1" t="n">
        <v>0.006919146</v>
      </c>
      <c r="J329" s="1" t="n">
        <v>0.005408049</v>
      </c>
      <c r="K329" s="1" t="n">
        <v>0.004685879</v>
      </c>
      <c r="L329" s="1" t="n">
        <v>0.004780293</v>
      </c>
      <c r="M329" s="1" t="n">
        <v>0.005040407</v>
      </c>
      <c r="N329" s="1" t="n">
        <v>0.005270481</v>
      </c>
      <c r="O329" s="1" t="n">
        <v>0.005119085</v>
      </c>
      <c r="P329" s="1" t="n">
        <v>0.00520134</v>
      </c>
      <c r="R329" s="1" t="n">
        <f aca="false">PERCENTILE(G329:P329,0.9)</f>
        <v>0.0125577686</v>
      </c>
      <c r="S329" s="5" t="n">
        <f aca="false">spmv_1!R$10/R329</f>
        <v>2.7896456301958</v>
      </c>
      <c r="T329" s="6" t="n">
        <f aca="false">S329/128</f>
        <v>0.0217941064859047</v>
      </c>
    </row>
    <row r="330" customFormat="false" ht="15" hidden="false" customHeight="false" outlineLevel="0" collapsed="false">
      <c r="A330" s="1" t="s">
        <v>17</v>
      </c>
      <c r="B330" s="1" t="n">
        <v>66</v>
      </c>
      <c r="D330" s="1" t="n">
        <v>159185</v>
      </c>
      <c r="E330" s="1" t="n">
        <v>0.045461</v>
      </c>
      <c r="G330" s="1" t="n">
        <v>0.011690855</v>
      </c>
      <c r="H330" s="1" t="n">
        <v>0.014545679</v>
      </c>
      <c r="I330" s="1" t="n">
        <v>0.006762028</v>
      </c>
      <c r="J330" s="1" t="n">
        <v>0.00534606</v>
      </c>
      <c r="K330" s="1" t="n">
        <v>0.005339384</v>
      </c>
      <c r="L330" s="1" t="n">
        <v>0.005606651</v>
      </c>
      <c r="M330" s="1" t="n">
        <v>0.004907846</v>
      </c>
      <c r="N330" s="1" t="n">
        <v>0.005080223</v>
      </c>
      <c r="O330" s="1" t="n">
        <v>0.005629301</v>
      </c>
      <c r="P330" s="1" t="n">
        <v>0.005123854</v>
      </c>
      <c r="R330" s="1" t="n">
        <f aca="false">PERCENTILE(G330:P330,0.9)</f>
        <v>0.0119763374</v>
      </c>
      <c r="S330" s="5" t="n">
        <f aca="false">spmv_1!R$10/R330</f>
        <v>2.92507827142545</v>
      </c>
      <c r="T330" s="6" t="n">
        <f aca="false">S330/128</f>
        <v>0.0228521739955114</v>
      </c>
    </row>
    <row r="331" customFormat="false" ht="15" hidden="false" customHeight="false" outlineLevel="0" collapsed="false">
      <c r="A331" s="1" t="s">
        <v>17</v>
      </c>
      <c r="B331" s="1" t="n">
        <v>67</v>
      </c>
      <c r="D331" s="1" t="n">
        <v>159301</v>
      </c>
      <c r="E331" s="1" t="n">
        <v>0.045804</v>
      </c>
      <c r="G331" s="1" t="n">
        <v>0.011832237</v>
      </c>
      <c r="H331" s="1" t="n">
        <v>0.015095472</v>
      </c>
      <c r="I331" s="1" t="n">
        <v>0.006726742</v>
      </c>
      <c r="J331" s="1" t="n">
        <v>0.005393267</v>
      </c>
      <c r="K331" s="1" t="n">
        <v>0.00518465</v>
      </c>
      <c r="L331" s="1" t="n">
        <v>0.004833221</v>
      </c>
      <c r="M331" s="1" t="n">
        <v>0.004779816</v>
      </c>
      <c r="N331" s="1" t="n">
        <v>0.004914284</v>
      </c>
      <c r="O331" s="1" t="n">
        <v>0.005646229</v>
      </c>
      <c r="P331" s="1" t="n">
        <v>0.005152225</v>
      </c>
      <c r="R331" s="1" t="n">
        <f aca="false">PERCENTILE(G331:P331,0.9)</f>
        <v>0.0121585605</v>
      </c>
      <c r="S331" s="5" t="n">
        <f aca="false">spmv_1!R$10/R331</f>
        <v>2.88123946087203</v>
      </c>
      <c r="T331" s="6" t="n">
        <f aca="false">S331/128</f>
        <v>0.0225096832880628</v>
      </c>
    </row>
    <row r="332" customFormat="false" ht="15" hidden="false" customHeight="false" outlineLevel="0" collapsed="false">
      <c r="A332" s="1" t="s">
        <v>17</v>
      </c>
      <c r="B332" s="1" t="n">
        <v>68</v>
      </c>
      <c r="D332" s="1" t="n">
        <v>157153</v>
      </c>
      <c r="E332" s="1" t="n">
        <v>0.045787</v>
      </c>
      <c r="G332" s="1" t="n">
        <v>0.01157403</v>
      </c>
      <c r="H332" s="1" t="n">
        <v>0.015083075</v>
      </c>
      <c r="I332" s="1" t="n">
        <v>0.006950855</v>
      </c>
      <c r="J332" s="1" t="n">
        <v>0.005350113</v>
      </c>
      <c r="K332" s="1" t="n">
        <v>0.004751682</v>
      </c>
      <c r="L332" s="1" t="n">
        <v>0.004801035</v>
      </c>
      <c r="M332" s="1" t="n">
        <v>0.004756212</v>
      </c>
      <c r="N332" s="1" t="n">
        <v>0.005003929</v>
      </c>
      <c r="O332" s="1" t="n">
        <v>0.005135536</v>
      </c>
      <c r="P332" s="1" t="n">
        <v>0.005238771</v>
      </c>
      <c r="R332" s="1" t="n">
        <f aca="false">PERCENTILE(G332:P332,0.9)</f>
        <v>0.0119249345</v>
      </c>
      <c r="S332" s="5" t="n">
        <f aca="false">spmv_1!R$10/R332</f>
        <v>2.93768693656137</v>
      </c>
      <c r="T332" s="6" t="n">
        <f aca="false">S332/128</f>
        <v>0.0229506791918857</v>
      </c>
    </row>
    <row r="333" customFormat="false" ht="15" hidden="false" customHeight="false" outlineLevel="0" collapsed="false">
      <c r="A333" s="1" t="s">
        <v>17</v>
      </c>
      <c r="B333" s="1" t="n">
        <v>69</v>
      </c>
      <c r="D333" s="1" t="n">
        <v>156873</v>
      </c>
      <c r="E333" s="1" t="n">
        <v>0.045396</v>
      </c>
      <c r="G333" s="1" t="n">
        <v>0.012266636</v>
      </c>
      <c r="H333" s="1" t="n">
        <v>0.014704227</v>
      </c>
      <c r="I333" s="1" t="n">
        <v>0.006658554</v>
      </c>
      <c r="J333" s="1" t="n">
        <v>0.005407572</v>
      </c>
      <c r="K333" s="1" t="n">
        <v>0.00466609</v>
      </c>
      <c r="L333" s="1" t="n">
        <v>0.004847288</v>
      </c>
      <c r="M333" s="1" t="n">
        <v>0.005000114</v>
      </c>
      <c r="N333" s="1" t="n">
        <v>0.005283117</v>
      </c>
      <c r="O333" s="1" t="n">
        <v>0.005117893</v>
      </c>
      <c r="P333" s="1" t="n">
        <v>0.005161285</v>
      </c>
      <c r="R333" s="1" t="n">
        <f aca="false">PERCENTILE(G333:P333,0.9)</f>
        <v>0.0125103951</v>
      </c>
      <c r="S333" s="5" t="n">
        <f aca="false">spmv_1!R$10/R333</f>
        <v>2.80020926757141</v>
      </c>
      <c r="T333" s="6" t="n">
        <f aca="false">S333/128</f>
        <v>0.0218766349029017</v>
      </c>
    </row>
    <row r="334" customFormat="false" ht="15" hidden="false" customHeight="false" outlineLevel="0" collapsed="false">
      <c r="A334" s="1" t="s">
        <v>17</v>
      </c>
      <c r="B334" s="1" t="n">
        <v>70</v>
      </c>
      <c r="D334" s="1" t="n">
        <v>156624</v>
      </c>
      <c r="E334" s="1" t="n">
        <v>0.044697</v>
      </c>
      <c r="G334" s="1" t="n">
        <v>0.012044668</v>
      </c>
      <c r="H334" s="1" t="n">
        <v>0.014513969</v>
      </c>
      <c r="I334" s="1" t="n">
        <v>0.006496429</v>
      </c>
      <c r="J334" s="1" t="n">
        <v>0.005327463</v>
      </c>
      <c r="K334" s="1" t="n">
        <v>0.005351067</v>
      </c>
      <c r="L334" s="1" t="n">
        <v>0.005638838</v>
      </c>
      <c r="M334" s="1" t="n">
        <v>0.004883289</v>
      </c>
      <c r="N334" s="1" t="n">
        <v>0.005091906</v>
      </c>
      <c r="O334" s="1" t="n">
        <v>0.005643606</v>
      </c>
      <c r="P334" s="1" t="n">
        <v>0.005091667</v>
      </c>
      <c r="R334" s="1" t="n">
        <f aca="false">PERCENTILE(G334:P334,0.9)</f>
        <v>0.0122915981</v>
      </c>
      <c r="S334" s="5" t="n">
        <f aca="false">spmv_1!R$10/R334</f>
        <v>2.85005448559207</v>
      </c>
      <c r="T334" s="6" t="n">
        <f aca="false">S334/128</f>
        <v>0.0222660506686881</v>
      </c>
    </row>
    <row r="335" customFormat="false" ht="15" hidden="false" customHeight="false" outlineLevel="0" collapsed="false">
      <c r="A335" s="1" t="s">
        <v>17</v>
      </c>
      <c r="B335" s="1" t="n">
        <v>71</v>
      </c>
      <c r="D335" s="1" t="n">
        <v>156435</v>
      </c>
      <c r="E335" s="1" t="n">
        <v>0.045223</v>
      </c>
      <c r="G335" s="1" t="n">
        <v>0.011978865</v>
      </c>
      <c r="H335" s="1" t="n">
        <v>0.014462709</v>
      </c>
      <c r="I335" s="1" t="n">
        <v>0.006313324</v>
      </c>
      <c r="J335" s="1" t="n">
        <v>0.005274296</v>
      </c>
      <c r="K335" s="1" t="n">
        <v>0.005253553</v>
      </c>
      <c r="L335" s="1" t="n">
        <v>0.005545855</v>
      </c>
      <c r="M335" s="1" t="n">
        <v>0.004784822</v>
      </c>
      <c r="N335" s="1" t="n">
        <v>0.005013704</v>
      </c>
      <c r="O335" s="1" t="n">
        <v>0.00553751</v>
      </c>
      <c r="P335" s="1" t="n">
        <v>0.005018711</v>
      </c>
      <c r="R335" s="1" t="n">
        <f aca="false">PERCENTILE(G335:P335,0.9)</f>
        <v>0.0122272494</v>
      </c>
      <c r="S335" s="5" t="n">
        <f aca="false">spmv_1!R$10/R335</f>
        <v>2.8650535499832</v>
      </c>
      <c r="T335" s="6" t="n">
        <f aca="false">S335/128</f>
        <v>0.0223832308592438</v>
      </c>
    </row>
    <row r="336" customFormat="false" ht="15" hidden="false" customHeight="false" outlineLevel="0" collapsed="false">
      <c r="A336" s="1" t="s">
        <v>17</v>
      </c>
      <c r="B336" s="1" t="n">
        <v>72</v>
      </c>
      <c r="D336" s="1" t="n">
        <v>157697</v>
      </c>
      <c r="E336" s="1" t="n">
        <v>0.04619</v>
      </c>
      <c r="G336" s="1" t="n">
        <v>0.011929274</v>
      </c>
      <c r="H336" s="1" t="n">
        <v>0.014639378</v>
      </c>
      <c r="I336" s="1" t="n">
        <v>0.006351948</v>
      </c>
      <c r="J336" s="1" t="n">
        <v>0.005414486</v>
      </c>
      <c r="K336" s="1" t="n">
        <v>0.004627466</v>
      </c>
      <c r="L336" s="1" t="n">
        <v>0.004846811</v>
      </c>
      <c r="M336" s="1" t="n">
        <v>0.004984379</v>
      </c>
      <c r="N336" s="1" t="n">
        <v>0.005264759</v>
      </c>
      <c r="O336" s="1" t="n">
        <v>0.005033731</v>
      </c>
      <c r="P336" s="1" t="n">
        <v>0.00518918</v>
      </c>
      <c r="R336" s="1" t="n">
        <f aca="false">PERCENTILE(G336:P336,0.9)</f>
        <v>0.0122002844</v>
      </c>
      <c r="S336" s="5" t="n">
        <f aca="false">spmv_1!R$10/R336</f>
        <v>2.87138587523419</v>
      </c>
      <c r="T336" s="6" t="n">
        <f aca="false">S336/128</f>
        <v>0.0224327021502671</v>
      </c>
    </row>
    <row r="337" customFormat="false" ht="15" hidden="false" customHeight="false" outlineLevel="0" collapsed="false">
      <c r="A337" s="1" t="s">
        <v>17</v>
      </c>
      <c r="B337" s="1" t="n">
        <v>73</v>
      </c>
      <c r="D337" s="1" t="n">
        <v>158206</v>
      </c>
      <c r="E337" s="1" t="n">
        <v>0.046515</v>
      </c>
      <c r="G337" s="1" t="n">
        <v>0.012012005</v>
      </c>
      <c r="H337" s="1" t="n">
        <v>0.01458478</v>
      </c>
      <c r="I337" s="1" t="n">
        <v>0.00630188</v>
      </c>
      <c r="J337" s="1" t="n">
        <v>0.005384684</v>
      </c>
      <c r="K337" s="1" t="n">
        <v>0.004581213</v>
      </c>
      <c r="L337" s="1" t="n">
        <v>0.004814863</v>
      </c>
      <c r="M337" s="1" t="n">
        <v>0.004960537</v>
      </c>
      <c r="N337" s="1" t="n">
        <v>0.005255699</v>
      </c>
      <c r="O337" s="1" t="n">
        <v>0.00498414</v>
      </c>
      <c r="P337" s="1" t="n">
        <v>0.005144119</v>
      </c>
      <c r="R337" s="1" t="n">
        <f aca="false">PERCENTILE(G337:P337,0.9)</f>
        <v>0.0122692825</v>
      </c>
      <c r="S337" s="5" t="n">
        <f aca="false">spmv_1!R$10/R337</f>
        <v>2.85523821788275</v>
      </c>
      <c r="T337" s="6" t="n">
        <f aca="false">S337/128</f>
        <v>0.022306548577209</v>
      </c>
    </row>
    <row r="338" customFormat="false" ht="15" hidden="false" customHeight="false" outlineLevel="0" collapsed="false">
      <c r="A338" s="1" t="s">
        <v>17</v>
      </c>
      <c r="B338" s="1" t="n">
        <v>74</v>
      </c>
      <c r="D338" s="1" t="n">
        <v>157948</v>
      </c>
      <c r="E338" s="1" t="n">
        <v>0.046851</v>
      </c>
      <c r="G338" s="1" t="n">
        <v>0.011265039</v>
      </c>
      <c r="H338" s="1" t="n">
        <v>0.014976978</v>
      </c>
      <c r="I338" s="1" t="n">
        <v>0.006443024</v>
      </c>
      <c r="J338" s="1" t="n">
        <v>0.005367279</v>
      </c>
      <c r="K338" s="1" t="n">
        <v>0.004633904</v>
      </c>
      <c r="L338" s="1" t="n">
        <v>0.004762888</v>
      </c>
      <c r="M338" s="1" t="n">
        <v>0.004707575</v>
      </c>
      <c r="N338" s="1" t="n">
        <v>0.00502944</v>
      </c>
      <c r="O338" s="1" t="n">
        <v>0.005029202</v>
      </c>
      <c r="P338" s="1" t="n">
        <v>0.0052104</v>
      </c>
      <c r="R338" s="1" t="n">
        <f aca="false">PERCENTILE(G338:P338,0.9)</f>
        <v>0.0116362329</v>
      </c>
      <c r="S338" s="5" t="n">
        <f aca="false">spmv_1!R$10/R338</f>
        <v>3.01057263128517</v>
      </c>
      <c r="T338" s="6" t="n">
        <f aca="false">S338/128</f>
        <v>0.0235200986819154</v>
      </c>
    </row>
    <row r="339" customFormat="false" ht="15" hidden="false" customHeight="false" outlineLevel="0" collapsed="false">
      <c r="A339" s="1" t="s">
        <v>17</v>
      </c>
      <c r="B339" s="1" t="n">
        <v>75</v>
      </c>
      <c r="D339" s="1" t="n">
        <v>158428</v>
      </c>
      <c r="E339" s="1" t="n">
        <v>0.046544</v>
      </c>
      <c r="G339" s="1" t="n">
        <v>0.011536598</v>
      </c>
      <c r="H339" s="1" t="n">
        <v>0.01499629</v>
      </c>
      <c r="I339" s="1" t="n">
        <v>0.006121874</v>
      </c>
      <c r="J339" s="1" t="n">
        <v>0.005367041</v>
      </c>
      <c r="K339" s="1" t="n">
        <v>0.005119324</v>
      </c>
      <c r="L339" s="1" t="n">
        <v>0.004792929</v>
      </c>
      <c r="M339" s="1" t="n">
        <v>0.004674196</v>
      </c>
      <c r="N339" s="1" t="n">
        <v>0.004867554</v>
      </c>
      <c r="O339" s="1" t="n">
        <v>0.005485058</v>
      </c>
      <c r="P339" s="1" t="n">
        <v>0.005116463</v>
      </c>
      <c r="R339" s="1" t="n">
        <f aca="false">PERCENTILE(G339:P339,0.9)</f>
        <v>0.0118825672</v>
      </c>
      <c r="S339" s="5" t="n">
        <f aca="false">spmv_1!R$10/R339</f>
        <v>2.94816126097734</v>
      </c>
      <c r="T339" s="6" t="n">
        <f aca="false">S339/128</f>
        <v>0.0230325098513855</v>
      </c>
    </row>
    <row r="340" customFormat="false" ht="15" hidden="false" customHeight="false" outlineLevel="0" collapsed="false">
      <c r="A340" s="1" t="s">
        <v>17</v>
      </c>
      <c r="B340" s="1" t="n">
        <v>76</v>
      </c>
      <c r="D340" s="1" t="n">
        <v>157013</v>
      </c>
      <c r="E340" s="1" t="n">
        <v>0.045522</v>
      </c>
      <c r="G340" s="1" t="n">
        <v>0.011866808</v>
      </c>
      <c r="H340" s="1" t="n">
        <v>0.014502048</v>
      </c>
      <c r="I340" s="1" t="n">
        <v>0.005983114</v>
      </c>
      <c r="J340" s="1" t="n">
        <v>0.005321026</v>
      </c>
      <c r="K340" s="1" t="n">
        <v>0.005223513</v>
      </c>
      <c r="L340" s="1" t="n">
        <v>0.005589724</v>
      </c>
      <c r="M340" s="1" t="n">
        <v>0.004820585</v>
      </c>
      <c r="N340" s="1" t="n">
        <v>0.005046129</v>
      </c>
      <c r="O340" s="1" t="n">
        <v>0.005574226</v>
      </c>
      <c r="P340" s="1" t="n">
        <v>0.005055428</v>
      </c>
      <c r="R340" s="1" t="n">
        <f aca="false">PERCENTILE(G340:P340,0.9)</f>
        <v>0.012130332</v>
      </c>
      <c r="S340" s="5" t="n">
        <f aca="false">spmv_1!R$10/R340</f>
        <v>2.8879443942672</v>
      </c>
      <c r="T340" s="6" t="n">
        <f aca="false">S340/128</f>
        <v>0.0225620655802125</v>
      </c>
    </row>
    <row r="341" customFormat="false" ht="15" hidden="false" customHeight="false" outlineLevel="0" collapsed="false">
      <c r="A341" s="1" t="s">
        <v>17</v>
      </c>
      <c r="B341" s="1" t="n">
        <v>77</v>
      </c>
      <c r="D341" s="1" t="n">
        <v>157343</v>
      </c>
      <c r="E341" s="1" t="n">
        <v>0.045842</v>
      </c>
      <c r="G341" s="1" t="n">
        <v>0.012102604</v>
      </c>
      <c r="H341" s="1" t="n">
        <v>0.01469183</v>
      </c>
      <c r="I341" s="1" t="n">
        <v>0.006210327</v>
      </c>
      <c r="J341" s="1" t="n">
        <v>0.005431414</v>
      </c>
      <c r="K341" s="1" t="n">
        <v>0.004617691</v>
      </c>
      <c r="L341" s="1" t="n">
        <v>0.004989147</v>
      </c>
      <c r="M341" s="1" t="n">
        <v>0.004996538</v>
      </c>
      <c r="N341" s="1" t="n">
        <v>0.005303383</v>
      </c>
      <c r="O341" s="1" t="n">
        <v>0.005097151</v>
      </c>
      <c r="P341" s="1" t="n">
        <v>0.005205154</v>
      </c>
      <c r="R341" s="1" t="n">
        <f aca="false">PERCENTILE(G341:P341,0.9)</f>
        <v>0.0123615266</v>
      </c>
      <c r="S341" s="5" t="n">
        <f aca="false">spmv_1!R$10/R341</f>
        <v>2.83393187860794</v>
      </c>
      <c r="T341" s="6" t="n">
        <f aca="false">S341/128</f>
        <v>0.0221400928016245</v>
      </c>
    </row>
    <row r="342" customFormat="false" ht="15" hidden="false" customHeight="false" outlineLevel="0" collapsed="false">
      <c r="A342" s="1" t="s">
        <v>17</v>
      </c>
      <c r="B342" s="1" t="n">
        <v>78</v>
      </c>
      <c r="D342" s="1" t="n">
        <v>157667</v>
      </c>
      <c r="E342" s="1" t="n">
        <v>0.046197</v>
      </c>
      <c r="G342" s="1" t="n">
        <v>0.011524916</v>
      </c>
      <c r="H342" s="1" t="n">
        <v>0.015029907</v>
      </c>
      <c r="I342" s="1" t="n">
        <v>0.006080151</v>
      </c>
      <c r="J342" s="1" t="n">
        <v>0.005377293</v>
      </c>
      <c r="K342" s="1" t="n">
        <v>0.005176306</v>
      </c>
      <c r="L342" s="1" t="n">
        <v>0.004791737</v>
      </c>
      <c r="M342" s="1" t="n">
        <v>0.004715919</v>
      </c>
      <c r="N342" s="1" t="n">
        <v>0.004878759</v>
      </c>
      <c r="O342" s="1" t="n">
        <v>0.005542994</v>
      </c>
      <c r="P342" s="1" t="n">
        <v>0.005141258</v>
      </c>
      <c r="R342" s="1" t="n">
        <f aca="false">PERCENTILE(G342:P342,0.9)</f>
        <v>0.0118754151</v>
      </c>
      <c r="S342" s="5" t="n">
        <f aca="false">spmv_1!R$10/R342</f>
        <v>2.94993682368206</v>
      </c>
      <c r="T342" s="6" t="n">
        <f aca="false">S342/128</f>
        <v>0.0230463814350161</v>
      </c>
    </row>
    <row r="343" customFormat="false" ht="15" hidden="false" customHeight="false" outlineLevel="0" collapsed="false">
      <c r="A343" s="1" t="s">
        <v>17</v>
      </c>
      <c r="B343" s="1" t="n">
        <v>79</v>
      </c>
      <c r="D343" s="1" t="n">
        <v>158081</v>
      </c>
      <c r="E343" s="1" t="n">
        <v>0.046688</v>
      </c>
      <c r="G343" s="1" t="n">
        <v>0.011437178</v>
      </c>
      <c r="H343" s="1" t="n">
        <v>0.015050173</v>
      </c>
      <c r="I343" s="1" t="n">
        <v>0.006304026</v>
      </c>
      <c r="J343" s="1" t="n">
        <v>0.005367041</v>
      </c>
      <c r="K343" s="1" t="n">
        <v>0.004731178</v>
      </c>
      <c r="L343" s="1" t="n">
        <v>0.004748821</v>
      </c>
      <c r="M343" s="1" t="n">
        <v>0.004717588</v>
      </c>
      <c r="N343" s="1" t="n">
        <v>0.005011082</v>
      </c>
      <c r="O343" s="1" t="n">
        <v>0.005115032</v>
      </c>
      <c r="P343" s="1" t="n">
        <v>0.005235672</v>
      </c>
      <c r="R343" s="1" t="n">
        <f aca="false">PERCENTILE(G343:P343,0.9)</f>
        <v>0.0117984775</v>
      </c>
      <c r="S343" s="5" t="n">
        <f aca="false">spmv_1!R$10/R343</f>
        <v>2.96917329375761</v>
      </c>
      <c r="T343" s="6" t="n">
        <f aca="false">S343/128</f>
        <v>0.0231966663574813</v>
      </c>
    </row>
    <row r="344" customFormat="false" ht="15" hidden="false" customHeight="false" outlineLevel="0" collapsed="false">
      <c r="A344" s="1" t="s">
        <v>17</v>
      </c>
      <c r="B344" s="1" t="n">
        <v>80</v>
      </c>
      <c r="D344" s="1" t="n">
        <v>159102</v>
      </c>
      <c r="E344" s="1" t="n">
        <v>0.046443</v>
      </c>
      <c r="G344" s="1" t="n">
        <v>0.011906624</v>
      </c>
      <c r="H344" s="1" t="n">
        <v>0.014455795</v>
      </c>
      <c r="I344" s="1" t="n">
        <v>0.005732536</v>
      </c>
      <c r="J344" s="1" t="n">
        <v>0.005264044</v>
      </c>
      <c r="K344" s="1" t="n">
        <v>0.005260944</v>
      </c>
      <c r="L344" s="1" t="n">
        <v>0.005545139</v>
      </c>
      <c r="M344" s="1" t="n">
        <v>0.004785061</v>
      </c>
      <c r="N344" s="1" t="n">
        <v>0.00497961</v>
      </c>
      <c r="O344" s="1" t="n">
        <v>0.005589485</v>
      </c>
      <c r="P344" s="1" t="n">
        <v>0.004995108</v>
      </c>
      <c r="R344" s="1" t="n">
        <f aca="false">PERCENTILE(G344:P344,0.9)</f>
        <v>0.0121615411</v>
      </c>
      <c r="S344" s="5" t="n">
        <f aca="false">spmv_1!R$10/R344</f>
        <v>2.88053331497601</v>
      </c>
      <c r="T344" s="6" t="n">
        <f aca="false">S344/128</f>
        <v>0.0225041665232501</v>
      </c>
    </row>
    <row r="345" customFormat="false" ht="15" hidden="false" customHeight="false" outlineLevel="0" collapsed="false">
      <c r="A345" s="1" t="s">
        <v>17</v>
      </c>
      <c r="B345" s="1" t="n">
        <v>81</v>
      </c>
      <c r="D345" s="1" t="n">
        <v>159586</v>
      </c>
      <c r="E345" s="1" t="n">
        <v>0.04661</v>
      </c>
      <c r="G345" s="1" t="n">
        <v>0.011781931</v>
      </c>
      <c r="H345" s="1" t="n">
        <v>0.014401436</v>
      </c>
      <c r="I345" s="1" t="n">
        <v>0.005748272</v>
      </c>
      <c r="J345" s="1" t="n">
        <v>0.0052917</v>
      </c>
      <c r="K345" s="1" t="n">
        <v>0.005276918</v>
      </c>
      <c r="L345" s="1" t="n">
        <v>0.005568504</v>
      </c>
      <c r="M345" s="1" t="n">
        <v>0.004788637</v>
      </c>
      <c r="N345" s="1" t="n">
        <v>0.005000591</v>
      </c>
      <c r="O345" s="1" t="n">
        <v>0.005598545</v>
      </c>
      <c r="P345" s="1" t="n">
        <v>0.005020618</v>
      </c>
      <c r="R345" s="1" t="n">
        <f aca="false">PERCENTILE(G345:P345,0.9)</f>
        <v>0.0120438815</v>
      </c>
      <c r="S345" s="5" t="n">
        <f aca="false">spmv_1!R$10/R345</f>
        <v>2.90867394369498</v>
      </c>
      <c r="T345" s="6" t="n">
        <f aca="false">S345/128</f>
        <v>0.022724015185117</v>
      </c>
    </row>
    <row r="346" customFormat="false" ht="15" hidden="false" customHeight="false" outlineLevel="0" collapsed="false">
      <c r="A346" s="1" t="s">
        <v>17</v>
      </c>
      <c r="B346" s="1" t="n">
        <v>82</v>
      </c>
      <c r="D346" s="1" t="n">
        <v>159214</v>
      </c>
      <c r="E346" s="1" t="n">
        <v>0.046885</v>
      </c>
      <c r="G346" s="1" t="n">
        <v>0.011385918</v>
      </c>
      <c r="H346" s="1" t="n">
        <v>0.014946461</v>
      </c>
      <c r="I346" s="1" t="n">
        <v>0.005843401</v>
      </c>
      <c r="J346" s="1" t="n">
        <v>0.005393505</v>
      </c>
      <c r="K346" s="1" t="n">
        <v>0.005192518</v>
      </c>
      <c r="L346" s="1" t="n">
        <v>0.00480938</v>
      </c>
      <c r="M346" s="1" t="n">
        <v>0.004725456</v>
      </c>
      <c r="N346" s="1" t="n">
        <v>0.004889011</v>
      </c>
      <c r="O346" s="1" t="n">
        <v>0.005591393</v>
      </c>
      <c r="P346" s="1" t="n">
        <v>0.005139828</v>
      </c>
      <c r="R346" s="1" t="n">
        <f aca="false">PERCENTILE(G346:P346,0.9)</f>
        <v>0.0117419723</v>
      </c>
      <c r="S346" s="5" t="n">
        <f aca="false">spmv_1!R$10/R346</f>
        <v>2.9834616710857</v>
      </c>
      <c r="T346" s="6" t="n">
        <f aca="false">S346/128</f>
        <v>0.023308294305357</v>
      </c>
    </row>
    <row r="347" customFormat="false" ht="15" hidden="false" customHeight="false" outlineLevel="0" collapsed="false">
      <c r="A347" s="1" t="s">
        <v>17</v>
      </c>
      <c r="B347" s="1" t="n">
        <v>83</v>
      </c>
      <c r="D347" s="1" t="n">
        <v>159484</v>
      </c>
      <c r="E347" s="1" t="n">
        <v>0.04782</v>
      </c>
      <c r="G347" s="1" t="n">
        <v>0.011019468</v>
      </c>
      <c r="H347" s="1" t="n">
        <v>0.014986753</v>
      </c>
      <c r="I347" s="1" t="n">
        <v>0.005973816</v>
      </c>
      <c r="J347" s="1" t="n">
        <v>0.005322218</v>
      </c>
      <c r="K347" s="1" t="n">
        <v>0.00469017</v>
      </c>
      <c r="L347" s="1" t="n">
        <v>0.004745245</v>
      </c>
      <c r="M347" s="1" t="n">
        <v>0.004671812</v>
      </c>
      <c r="N347" s="1" t="n">
        <v>0.004969835</v>
      </c>
      <c r="O347" s="1" t="n">
        <v>0.005119085</v>
      </c>
      <c r="P347" s="1" t="n">
        <v>0.005203724</v>
      </c>
      <c r="R347" s="1" t="n">
        <f aca="false">PERCENTILE(G347:P347,0.9)</f>
        <v>0.0114161965</v>
      </c>
      <c r="S347" s="5" t="n">
        <f aca="false">spmv_1!R$10/R347</f>
        <v>3.06859857396463</v>
      </c>
      <c r="T347" s="6" t="n">
        <f aca="false">S347/128</f>
        <v>0.0239734263590987</v>
      </c>
    </row>
    <row r="348" customFormat="false" ht="15" hidden="false" customHeight="false" outlineLevel="0" collapsed="false">
      <c r="A348" s="1" t="s">
        <v>17</v>
      </c>
      <c r="B348" s="1" t="n">
        <v>84</v>
      </c>
      <c r="D348" s="1" t="n">
        <v>158059</v>
      </c>
      <c r="E348" s="1" t="n">
        <v>0.046819</v>
      </c>
      <c r="G348" s="1" t="n">
        <v>0.011970758</v>
      </c>
      <c r="H348" s="1" t="n">
        <v>0.014692307</v>
      </c>
      <c r="I348" s="1" t="n">
        <v>0.005717754</v>
      </c>
      <c r="J348" s="1" t="n">
        <v>0.005372047</v>
      </c>
      <c r="K348" s="1" t="n">
        <v>0.004567623</v>
      </c>
      <c r="L348" s="1" t="n">
        <v>0.004765034</v>
      </c>
      <c r="M348" s="1" t="n">
        <v>0.004962206</v>
      </c>
      <c r="N348" s="1" t="n">
        <v>0.005256891</v>
      </c>
      <c r="O348" s="1" t="n">
        <v>0.005081654</v>
      </c>
      <c r="P348" s="1" t="n">
        <v>0.005132675</v>
      </c>
      <c r="R348" s="1" t="n">
        <f aca="false">PERCENTILE(G348:P348,0.9)</f>
        <v>0.0122429129</v>
      </c>
      <c r="S348" s="5" t="n">
        <f aca="false">spmv_1!R$10/R348</f>
        <v>2.86138801983963</v>
      </c>
      <c r="T348" s="6" t="n">
        <f aca="false">S348/128</f>
        <v>0.0223545939049971</v>
      </c>
    </row>
    <row r="349" customFormat="false" ht="15" hidden="false" customHeight="false" outlineLevel="0" collapsed="false">
      <c r="A349" s="1" t="s">
        <v>17</v>
      </c>
      <c r="B349" s="1" t="n">
        <v>85</v>
      </c>
      <c r="D349" s="1" t="n">
        <v>158004</v>
      </c>
      <c r="E349" s="1" t="n">
        <v>0.046406</v>
      </c>
      <c r="G349" s="1" t="n">
        <v>0.011395454</v>
      </c>
      <c r="H349" s="1" t="n">
        <v>0.01451993</v>
      </c>
      <c r="I349" s="1" t="n">
        <v>0.005486012</v>
      </c>
      <c r="J349" s="1" t="n">
        <v>0.00531292</v>
      </c>
      <c r="K349" s="1" t="n">
        <v>0.005238056</v>
      </c>
      <c r="L349" s="1" t="n">
        <v>0.005592108</v>
      </c>
      <c r="M349" s="1" t="n">
        <v>0.004826546</v>
      </c>
      <c r="N349" s="1" t="n">
        <v>0.005026579</v>
      </c>
      <c r="O349" s="1" t="n">
        <v>0.005637407</v>
      </c>
      <c r="P349" s="1" t="n">
        <v>0.005060911</v>
      </c>
      <c r="R349" s="1" t="n">
        <f aca="false">PERCENTILE(G349:P349,0.9)</f>
        <v>0.0117079016</v>
      </c>
      <c r="S349" s="5" t="n">
        <f aca="false">spmv_1!R$10/R349</f>
        <v>2.99214372454241</v>
      </c>
      <c r="T349" s="6" t="n">
        <f aca="false">S349/128</f>
        <v>0.0233761228479876</v>
      </c>
    </row>
    <row r="350" customFormat="false" ht="15" hidden="false" customHeight="false" outlineLevel="0" collapsed="false">
      <c r="A350" s="1" t="s">
        <v>17</v>
      </c>
      <c r="B350" s="1" t="n">
        <v>86</v>
      </c>
      <c r="D350" s="1" t="n">
        <v>157224</v>
      </c>
      <c r="E350" s="1" t="n">
        <v>0.047468</v>
      </c>
      <c r="G350" s="1" t="n">
        <v>0.011091232</v>
      </c>
      <c r="H350" s="1" t="n">
        <v>0.015029669</v>
      </c>
      <c r="I350" s="1" t="n">
        <v>0.005620003</v>
      </c>
      <c r="J350" s="1" t="n">
        <v>0.005225182</v>
      </c>
      <c r="K350" s="1" t="n">
        <v>0.005089998</v>
      </c>
      <c r="L350" s="1" t="n">
        <v>0.004631281</v>
      </c>
      <c r="M350" s="1" t="n">
        <v>0.004447222</v>
      </c>
      <c r="N350" s="1" t="n">
        <v>0.004705667</v>
      </c>
      <c r="O350" s="1" t="n">
        <v>0.005440712</v>
      </c>
      <c r="P350" s="1" t="n">
        <v>0.004962921</v>
      </c>
      <c r="R350" s="1" t="n">
        <f aca="false">PERCENTILE(G350:P350,0.9)</f>
        <v>0.0114850757</v>
      </c>
      <c r="S350" s="5" t="n">
        <f aca="false">spmv_1!R$10/R350</f>
        <v>3.05019533306167</v>
      </c>
      <c r="T350" s="6" t="n">
        <f aca="false">S350/128</f>
        <v>0.0238296510395443</v>
      </c>
    </row>
    <row r="351" customFormat="false" ht="15" hidden="false" customHeight="false" outlineLevel="0" collapsed="false">
      <c r="A351" s="1" t="s">
        <v>17</v>
      </c>
      <c r="B351" s="1" t="n">
        <v>87</v>
      </c>
      <c r="D351" s="1" t="n">
        <v>157637</v>
      </c>
      <c r="E351" s="1" t="n">
        <v>0.047835</v>
      </c>
      <c r="G351" s="1" t="n">
        <v>0.011021852</v>
      </c>
      <c r="H351" s="1" t="n">
        <v>0.015061378</v>
      </c>
      <c r="I351" s="1" t="n">
        <v>0.005583048</v>
      </c>
      <c r="J351" s="1" t="n">
        <v>0.005203009</v>
      </c>
      <c r="K351" s="1" t="n">
        <v>0.005115509</v>
      </c>
      <c r="L351" s="1" t="n">
        <v>0.004565239</v>
      </c>
      <c r="M351" s="1" t="n">
        <v>0.004407167</v>
      </c>
      <c r="N351" s="1" t="n">
        <v>0.004630566</v>
      </c>
      <c r="O351" s="1" t="n">
        <v>0.005397797</v>
      </c>
      <c r="P351" s="1" t="n">
        <v>0.004923582</v>
      </c>
      <c r="R351" s="1" t="n">
        <f aca="false">PERCENTILE(G351:P351,0.9)</f>
        <v>0.0114258046</v>
      </c>
      <c r="S351" s="5" t="n">
        <f aca="false">spmv_1!R$10/R351</f>
        <v>3.06601815157945</v>
      </c>
      <c r="T351" s="6" t="n">
        <f aca="false">S351/128</f>
        <v>0.0239532668092145</v>
      </c>
    </row>
    <row r="352" customFormat="false" ht="15" hidden="false" customHeight="false" outlineLevel="0" collapsed="false">
      <c r="A352" s="1" t="s">
        <v>17</v>
      </c>
      <c r="B352" s="1" t="n">
        <v>88</v>
      </c>
      <c r="D352" s="1" t="n">
        <v>158561</v>
      </c>
      <c r="E352" s="1" t="n">
        <v>0.048199</v>
      </c>
      <c r="G352" s="1" t="n">
        <v>0.011009216</v>
      </c>
      <c r="H352" s="1" t="n">
        <v>0.015045166</v>
      </c>
      <c r="I352" s="1" t="n">
        <v>0.005596876</v>
      </c>
      <c r="J352" s="1" t="n">
        <v>0.005201817</v>
      </c>
      <c r="K352" s="1" t="n">
        <v>0.005098343</v>
      </c>
      <c r="L352" s="1" t="n">
        <v>0.004558563</v>
      </c>
      <c r="M352" s="1" t="n">
        <v>0.004351616</v>
      </c>
      <c r="N352" s="1" t="n">
        <v>0.004637957</v>
      </c>
      <c r="O352" s="1" t="n">
        <v>0.005405188</v>
      </c>
      <c r="P352" s="1" t="n">
        <v>0.004889965</v>
      </c>
      <c r="R352" s="1" t="n">
        <f aca="false">PERCENTILE(G352:P352,0.9)</f>
        <v>0.011412811</v>
      </c>
      <c r="S352" s="5" t="n">
        <f aca="false">spmv_1!R$10/R352</f>
        <v>3.06950884405253</v>
      </c>
      <c r="T352" s="6" t="n">
        <f aca="false">S352/128</f>
        <v>0.0239805378441604</v>
      </c>
    </row>
    <row r="353" customFormat="false" ht="15" hidden="false" customHeight="false" outlineLevel="0" collapsed="false">
      <c r="A353" s="1" t="s">
        <v>17</v>
      </c>
      <c r="B353" s="1" t="n">
        <v>89</v>
      </c>
      <c r="D353" s="1" t="n">
        <v>158820</v>
      </c>
      <c r="E353" s="1" t="n">
        <v>0.048598</v>
      </c>
      <c r="G353" s="1" t="n">
        <v>0.010843992</v>
      </c>
      <c r="H353" s="1" t="n">
        <v>0.015017271</v>
      </c>
      <c r="I353" s="1" t="n">
        <v>0.00557971</v>
      </c>
      <c r="J353" s="1" t="n">
        <v>0.005166054</v>
      </c>
      <c r="K353" s="1" t="n">
        <v>0.005062819</v>
      </c>
      <c r="L353" s="1" t="n">
        <v>0.004528046</v>
      </c>
      <c r="M353" s="1" t="n">
        <v>0.00432682</v>
      </c>
      <c r="N353" s="1" t="n">
        <v>0.004608393</v>
      </c>
      <c r="O353" s="1" t="n">
        <v>0.005345821</v>
      </c>
      <c r="P353" s="1" t="n">
        <v>0.004881382</v>
      </c>
      <c r="R353" s="1" t="n">
        <f aca="false">PERCENTILE(G353:P353,0.9)</f>
        <v>0.0112613199</v>
      </c>
      <c r="S353" s="5" t="n">
        <f aca="false">spmv_1!R$10/R353</f>
        <v>3.11080091952632</v>
      </c>
      <c r="T353" s="6" t="n">
        <f aca="false">S353/128</f>
        <v>0.0243031321837994</v>
      </c>
    </row>
    <row r="354" customFormat="false" ht="15" hidden="false" customHeight="false" outlineLevel="0" collapsed="false">
      <c r="A354" s="1" t="s">
        <v>17</v>
      </c>
      <c r="B354" s="1" t="n">
        <v>90</v>
      </c>
      <c r="D354" s="1" t="n">
        <v>158395</v>
      </c>
      <c r="E354" s="1" t="n">
        <v>0.049092</v>
      </c>
      <c r="G354" s="1" t="n">
        <v>0.01102972</v>
      </c>
      <c r="H354" s="1" t="n">
        <v>0.01475811</v>
      </c>
      <c r="I354" s="1" t="n">
        <v>0.005519867</v>
      </c>
      <c r="J354" s="1" t="n">
        <v>0.005057335</v>
      </c>
      <c r="K354" s="1" t="n">
        <v>0.00497961</v>
      </c>
      <c r="L354" s="1" t="n">
        <v>0.004437923</v>
      </c>
      <c r="M354" s="1" t="n">
        <v>0.004213333</v>
      </c>
      <c r="N354" s="1" t="n">
        <v>0.004472017</v>
      </c>
      <c r="O354" s="1" t="n">
        <v>0.005308628</v>
      </c>
      <c r="P354" s="1" t="n">
        <v>0.004753828</v>
      </c>
      <c r="R354" s="1" t="n">
        <f aca="false">PERCENTILE(G354:P354,0.9)</f>
        <v>0.011402559</v>
      </c>
      <c r="S354" s="5" t="n">
        <f aca="false">spmv_1!R$10/R354</f>
        <v>3.07226862847191</v>
      </c>
      <c r="T354" s="6" t="n">
        <f aca="false">S354/128</f>
        <v>0.0240020986599368</v>
      </c>
    </row>
    <row r="355" customFormat="false" ht="15" hidden="false" customHeight="false" outlineLevel="0" collapsed="false">
      <c r="A355" s="1" t="s">
        <v>17</v>
      </c>
      <c r="B355" s="1" t="n">
        <v>91</v>
      </c>
      <c r="D355" s="1" t="n">
        <v>158452</v>
      </c>
      <c r="E355" s="1" t="n">
        <v>0.049262</v>
      </c>
      <c r="G355" s="1" t="n">
        <v>0.010982275</v>
      </c>
      <c r="H355" s="1" t="n">
        <v>0.014605522</v>
      </c>
      <c r="I355" s="1" t="n">
        <v>0.005540848</v>
      </c>
      <c r="J355" s="1" t="n">
        <v>0.005070686</v>
      </c>
      <c r="K355" s="1" t="n">
        <v>0.004977703</v>
      </c>
      <c r="L355" s="1" t="n">
        <v>0.004422188</v>
      </c>
      <c r="M355" s="1" t="n">
        <v>0.004209757</v>
      </c>
      <c r="N355" s="1" t="n">
        <v>0.004464149</v>
      </c>
      <c r="O355" s="1" t="n">
        <v>0.005285978</v>
      </c>
      <c r="P355" s="1" t="n">
        <v>0.004771233</v>
      </c>
      <c r="R355" s="1" t="n">
        <f aca="false">PERCENTILE(G355:P355,0.9)</f>
        <v>0.0113445997</v>
      </c>
      <c r="S355" s="5" t="n">
        <f aca="false">spmv_1!R$10/R355</f>
        <v>3.08796477851925</v>
      </c>
      <c r="T355" s="6" t="n">
        <f aca="false">S355/128</f>
        <v>0.0241247248321816</v>
      </c>
    </row>
    <row r="356" customFormat="false" ht="15" hidden="false" customHeight="false" outlineLevel="0" collapsed="false">
      <c r="A356" s="1" t="s">
        <v>17</v>
      </c>
      <c r="B356" s="1" t="n">
        <v>92</v>
      </c>
      <c r="D356" s="1" t="n">
        <v>157118</v>
      </c>
      <c r="E356" s="1" t="n">
        <v>0.049745</v>
      </c>
      <c r="G356" s="1" t="n">
        <v>0.010639668</v>
      </c>
      <c r="H356" s="1" t="n">
        <v>0.014855146</v>
      </c>
      <c r="I356" s="1" t="n">
        <v>0.00578928</v>
      </c>
      <c r="J356" s="1" t="n">
        <v>0.004936934</v>
      </c>
      <c r="K356" s="1" t="n">
        <v>0.004329443</v>
      </c>
      <c r="L356" s="1" t="n">
        <v>0.004222393</v>
      </c>
      <c r="M356" s="1" t="n">
        <v>0.004122734</v>
      </c>
      <c r="N356" s="1" t="n">
        <v>0.004248619</v>
      </c>
      <c r="O356" s="1" t="n">
        <v>0.004683495</v>
      </c>
      <c r="P356" s="1" t="n">
        <v>0.005341291</v>
      </c>
      <c r="R356" s="1" t="n">
        <f aca="false">PERCENTILE(G356:P356,0.9)</f>
        <v>0.0110612158</v>
      </c>
      <c r="S356" s="5" t="n">
        <f aca="false">spmv_1!R$10/R356</f>
        <v>3.16707719417245</v>
      </c>
      <c r="T356" s="6" t="n">
        <f aca="false">S356/128</f>
        <v>0.0247427905794723</v>
      </c>
    </row>
    <row r="357" customFormat="false" ht="15" hidden="false" customHeight="false" outlineLevel="0" collapsed="false">
      <c r="A357" s="1" t="s">
        <v>17</v>
      </c>
      <c r="B357" s="1" t="n">
        <v>93</v>
      </c>
      <c r="D357" s="1" t="n">
        <v>157307</v>
      </c>
      <c r="E357" s="1" t="n">
        <v>0.050249</v>
      </c>
      <c r="G357" s="1" t="n">
        <v>0.010461569</v>
      </c>
      <c r="H357" s="1" t="n">
        <v>0.014119864</v>
      </c>
      <c r="I357" s="1" t="n">
        <v>0.005244732</v>
      </c>
      <c r="J357" s="1" t="n">
        <v>0.004606247</v>
      </c>
      <c r="K357" s="1" t="n">
        <v>0.004701853</v>
      </c>
      <c r="L357" s="1" t="n">
        <v>0.0051229</v>
      </c>
      <c r="M357" s="1" t="n">
        <v>0.004061937</v>
      </c>
      <c r="N357" s="1" t="n">
        <v>0.004278183</v>
      </c>
      <c r="O357" s="1" t="n">
        <v>0.005055904</v>
      </c>
      <c r="P357" s="1" t="n">
        <v>0.004957914</v>
      </c>
      <c r="R357" s="1" t="n">
        <f aca="false">PERCENTILE(G357:P357,0.9)</f>
        <v>0.0108273985</v>
      </c>
      <c r="S357" s="5" t="n">
        <f aca="false">spmv_1!R$10/R357</f>
        <v>3.23547011777575</v>
      </c>
      <c r="T357" s="6" t="n">
        <f aca="false">S357/128</f>
        <v>0.0252771102951231</v>
      </c>
    </row>
    <row r="358" customFormat="false" ht="15" hidden="false" customHeight="false" outlineLevel="0" collapsed="false">
      <c r="A358" s="1" t="s">
        <v>17</v>
      </c>
      <c r="B358" s="1" t="n">
        <v>94</v>
      </c>
      <c r="D358" s="1" t="n">
        <v>156313</v>
      </c>
      <c r="E358" s="1" t="n">
        <v>0.048502</v>
      </c>
      <c r="G358" s="1" t="n">
        <v>0.010377645</v>
      </c>
      <c r="H358" s="1" t="n">
        <v>0.015058517</v>
      </c>
      <c r="I358" s="1" t="n">
        <v>0.005524397</v>
      </c>
      <c r="J358" s="1" t="n">
        <v>0.005038261</v>
      </c>
      <c r="K358" s="1" t="n">
        <v>0.004956961</v>
      </c>
      <c r="L358" s="1" t="n">
        <v>0.004428864</v>
      </c>
      <c r="M358" s="1" t="n">
        <v>0.004182816</v>
      </c>
      <c r="N358" s="1" t="n">
        <v>0.004494905</v>
      </c>
      <c r="O358" s="1" t="n">
        <v>0.005368948</v>
      </c>
      <c r="P358" s="1" t="n">
        <v>0.005024672</v>
      </c>
      <c r="R358" s="1" t="n">
        <f aca="false">PERCENTILE(G358:P358,0.9)</f>
        <v>0.0108457322</v>
      </c>
      <c r="S358" s="5" t="n">
        <f aca="false">spmv_1!R$10/R358</f>
        <v>3.23000085692693</v>
      </c>
      <c r="T358" s="6" t="n">
        <f aca="false">S358/128</f>
        <v>0.0252343816947417</v>
      </c>
    </row>
    <row r="359" customFormat="false" ht="15" hidden="false" customHeight="false" outlineLevel="0" collapsed="false">
      <c r="A359" s="1" t="s">
        <v>17</v>
      </c>
      <c r="B359" s="1" t="n">
        <v>95</v>
      </c>
      <c r="D359" s="1" t="n">
        <v>156407</v>
      </c>
      <c r="E359" s="1" t="n">
        <v>0.048331</v>
      </c>
      <c r="G359" s="1" t="n">
        <v>0.011208057</v>
      </c>
      <c r="H359" s="1" t="n">
        <v>0.014736891</v>
      </c>
      <c r="I359" s="1" t="n">
        <v>0.006071329</v>
      </c>
      <c r="J359" s="1" t="n">
        <v>0.00498414</v>
      </c>
      <c r="K359" s="1" t="n">
        <v>0.004281044</v>
      </c>
      <c r="L359" s="1" t="n">
        <v>0.004289865</v>
      </c>
      <c r="M359" s="1" t="n">
        <v>0.004654884</v>
      </c>
      <c r="N359" s="1" t="n">
        <v>0.004952431</v>
      </c>
      <c r="O359" s="1" t="n">
        <v>0.00451684</v>
      </c>
      <c r="P359" s="1" t="n">
        <v>0.005028009</v>
      </c>
      <c r="R359" s="1" t="n">
        <f aca="false">PERCENTILE(G359:P359,0.9)</f>
        <v>0.0115609404</v>
      </c>
      <c r="S359" s="5" t="n">
        <f aca="false">spmv_1!R$10/R359</f>
        <v>3.0301794739812</v>
      </c>
      <c r="T359" s="6" t="n">
        <f aca="false">S359/128</f>
        <v>0.0236732771404781</v>
      </c>
    </row>
    <row r="360" customFormat="false" ht="15" hidden="false" customHeight="false" outlineLevel="0" collapsed="false">
      <c r="A360" s="1" t="s">
        <v>17</v>
      </c>
      <c r="B360" s="1" t="n">
        <v>96</v>
      </c>
      <c r="D360" s="1" t="n">
        <v>157384</v>
      </c>
      <c r="E360" s="1" t="n">
        <v>0.049032</v>
      </c>
      <c r="G360" s="1" t="n">
        <v>0.010724783</v>
      </c>
      <c r="H360" s="1" t="n">
        <v>0.014338255</v>
      </c>
      <c r="I360" s="1" t="n">
        <v>0.009445429</v>
      </c>
      <c r="J360" s="1" t="n">
        <v>0.004418612</v>
      </c>
      <c r="K360" s="1" t="n">
        <v>0.004095078</v>
      </c>
      <c r="L360" s="1" t="n">
        <v>0.004038095</v>
      </c>
      <c r="M360" s="1" t="n">
        <v>0.004033566</v>
      </c>
      <c r="N360" s="1" t="n">
        <v>0.004114866</v>
      </c>
      <c r="O360" s="1" t="n">
        <v>0.004347324</v>
      </c>
      <c r="P360" s="1" t="n">
        <v>0.004640102</v>
      </c>
      <c r="R360" s="1" t="n">
        <f aca="false">PERCENTILE(G360:P360,0.9)</f>
        <v>0.0110861302</v>
      </c>
      <c r="S360" s="5" t="n">
        <f aca="false">spmv_1!R$10/R360</f>
        <v>3.15995966744103</v>
      </c>
      <c r="T360" s="6" t="n">
        <f aca="false">S360/128</f>
        <v>0.0246871849018831</v>
      </c>
    </row>
    <row r="361" customFormat="false" ht="15" hidden="false" customHeight="false" outlineLevel="0" collapsed="false">
      <c r="A361" s="1" t="s">
        <v>17</v>
      </c>
      <c r="B361" s="1" t="n">
        <v>97</v>
      </c>
      <c r="D361" s="1" t="n">
        <v>157270</v>
      </c>
      <c r="E361" s="1" t="n">
        <v>0.04879</v>
      </c>
      <c r="G361" s="1" t="n">
        <v>0.010860443</v>
      </c>
      <c r="H361" s="1" t="n">
        <v>0.014322758</v>
      </c>
      <c r="I361" s="1" t="n">
        <v>0.009469748</v>
      </c>
      <c r="J361" s="1" t="n">
        <v>0.004462481</v>
      </c>
      <c r="K361" s="1" t="n">
        <v>0.004121304</v>
      </c>
      <c r="L361" s="1" t="n">
        <v>0.004081726</v>
      </c>
      <c r="M361" s="1" t="n">
        <v>0.004051924</v>
      </c>
      <c r="N361" s="1" t="n">
        <v>0.004119158</v>
      </c>
      <c r="O361" s="1" t="n">
        <v>0.004347086</v>
      </c>
      <c r="P361" s="1" t="n">
        <v>0.004631758</v>
      </c>
      <c r="R361" s="1" t="n">
        <f aca="false">PERCENTILE(G361:P361,0.9)</f>
        <v>0.0112066745</v>
      </c>
      <c r="S361" s="5" t="n">
        <f aca="false">spmv_1!R$10/R361</f>
        <v>3.12596964425084</v>
      </c>
      <c r="T361" s="6" t="n">
        <f aca="false">S361/128</f>
        <v>0.0244216378457097</v>
      </c>
    </row>
    <row r="362" customFormat="false" ht="15" hidden="false" customHeight="false" outlineLevel="0" collapsed="false">
      <c r="A362" s="1" t="s">
        <v>17</v>
      </c>
      <c r="B362" s="1" t="n">
        <v>98</v>
      </c>
      <c r="D362" s="1" t="n">
        <v>157125</v>
      </c>
      <c r="E362" s="1" t="n">
        <v>0.048202</v>
      </c>
      <c r="G362" s="1" t="n">
        <v>0.010963917</v>
      </c>
      <c r="H362" s="1" t="n">
        <v>0.014394283</v>
      </c>
      <c r="I362" s="1" t="n">
        <v>0.009667635</v>
      </c>
      <c r="J362" s="1" t="n">
        <v>0.004514456</v>
      </c>
      <c r="K362" s="1" t="n">
        <v>0.004177094</v>
      </c>
      <c r="L362" s="1" t="n">
        <v>0.004134655</v>
      </c>
      <c r="M362" s="1" t="n">
        <v>0.004106522</v>
      </c>
      <c r="N362" s="1" t="n">
        <v>0.00417161</v>
      </c>
      <c r="O362" s="1" t="n">
        <v>0.004395247</v>
      </c>
      <c r="P362" s="1" t="n">
        <v>0.004668713</v>
      </c>
      <c r="R362" s="1" t="n">
        <f aca="false">PERCENTILE(G362:P362,0.9)</f>
        <v>0.0113069536</v>
      </c>
      <c r="S362" s="5" t="n">
        <f aca="false">spmv_1!R$10/R362</f>
        <v>3.0982460474588</v>
      </c>
      <c r="T362" s="6" t="n">
        <f aca="false">S362/128</f>
        <v>0.0242050472457718</v>
      </c>
    </row>
    <row r="363" customFormat="false" ht="15" hidden="false" customHeight="false" outlineLevel="0" collapsed="false">
      <c r="A363" s="1" t="s">
        <v>17</v>
      </c>
      <c r="B363" s="1" t="n">
        <v>99</v>
      </c>
      <c r="D363" s="1" t="n">
        <v>157722</v>
      </c>
      <c r="E363" s="1" t="n">
        <v>0.048467</v>
      </c>
      <c r="G363" s="1" t="n">
        <v>0.010915756</v>
      </c>
      <c r="H363" s="1" t="n">
        <v>0.014379263</v>
      </c>
      <c r="I363" s="1" t="n">
        <v>0.00968504</v>
      </c>
      <c r="J363" s="1" t="n">
        <v>0.00451684</v>
      </c>
      <c r="K363" s="1" t="n">
        <v>0.004165888</v>
      </c>
      <c r="L363" s="1" t="n">
        <v>0.004133224</v>
      </c>
      <c r="M363" s="1" t="n">
        <v>0.004095793</v>
      </c>
      <c r="N363" s="1" t="n">
        <v>0.004157305</v>
      </c>
      <c r="O363" s="1" t="n">
        <v>0.00438571</v>
      </c>
      <c r="P363" s="1" t="n">
        <v>0.004649878</v>
      </c>
      <c r="R363" s="1" t="n">
        <f aca="false">PERCENTILE(G363:P363,0.9)</f>
        <v>0.0112621067</v>
      </c>
      <c r="S363" s="5" t="n">
        <f aca="false">spmv_1!R$10/R363</f>
        <v>3.11058359090134</v>
      </c>
      <c r="T363" s="6" t="n">
        <f aca="false">S363/128</f>
        <v>0.0243014343039167</v>
      </c>
    </row>
    <row r="364" customFormat="false" ht="15" hidden="false" customHeight="false" outlineLevel="0" collapsed="false">
      <c r="A364" s="1" t="s">
        <v>17</v>
      </c>
      <c r="B364" s="1" t="n">
        <v>100</v>
      </c>
      <c r="D364" s="1" t="n">
        <v>157085</v>
      </c>
      <c r="E364" s="1" t="n">
        <v>0.048312</v>
      </c>
      <c r="G364" s="1" t="n">
        <v>0.010972261</v>
      </c>
      <c r="H364" s="1" t="n">
        <v>0.014360189</v>
      </c>
      <c r="I364" s="1" t="n">
        <v>0.009662867</v>
      </c>
      <c r="J364" s="1" t="n">
        <v>0.004513264</v>
      </c>
      <c r="K364" s="1" t="n">
        <v>0.004159212</v>
      </c>
      <c r="L364" s="1" t="n">
        <v>0.00412178</v>
      </c>
      <c r="M364" s="1" t="n">
        <v>0.0040977</v>
      </c>
      <c r="N364" s="1" t="n">
        <v>0.004150391</v>
      </c>
      <c r="O364" s="1" t="n">
        <v>0.004361868</v>
      </c>
      <c r="P364" s="1" t="n">
        <v>0.004630089</v>
      </c>
      <c r="R364" s="1" t="n">
        <f aca="false">PERCENTILE(G364:P364,0.9)</f>
        <v>0.0113110538</v>
      </c>
      <c r="S364" s="5" t="n">
        <f aca="false">spmv_1!R$10/R364</f>
        <v>3.09712294888032</v>
      </c>
      <c r="T364" s="6" t="n">
        <f aca="false">S364/128</f>
        <v>0.0241962730381275</v>
      </c>
    </row>
    <row r="365" customFormat="false" ht="15" hidden="false" customHeight="false" outlineLevel="0" collapsed="false">
      <c r="A365" s="1" t="s">
        <v>17</v>
      </c>
      <c r="B365" s="1" t="n">
        <v>101</v>
      </c>
      <c r="D365" s="1" t="n">
        <v>157490</v>
      </c>
      <c r="E365" s="1" t="n">
        <v>0.048598</v>
      </c>
      <c r="G365" s="1" t="n">
        <v>0.010941982</v>
      </c>
      <c r="H365" s="1" t="n">
        <v>0.014302731</v>
      </c>
      <c r="I365" s="1" t="n">
        <v>0.009673834</v>
      </c>
      <c r="J365" s="1" t="n">
        <v>0.00449729</v>
      </c>
      <c r="K365" s="1" t="n">
        <v>0.004132986</v>
      </c>
      <c r="L365" s="1" t="n">
        <v>0.004104376</v>
      </c>
      <c r="M365" s="1" t="n">
        <v>0.004071474</v>
      </c>
      <c r="N365" s="1" t="n">
        <v>0.00413394</v>
      </c>
      <c r="O365" s="1" t="n">
        <v>0.004346609</v>
      </c>
      <c r="P365" s="1" t="n">
        <v>0.004608393</v>
      </c>
      <c r="R365" s="1" t="n">
        <f aca="false">PERCENTILE(G365:P365,0.9)</f>
        <v>0.0112780569</v>
      </c>
      <c r="S365" s="5" t="n">
        <f aca="false">spmv_1!R$10/R365</f>
        <v>3.1061843906817</v>
      </c>
      <c r="T365" s="6" t="n">
        <f aca="false">S365/128</f>
        <v>0.0242670655522008</v>
      </c>
    </row>
    <row r="366" customFormat="false" ht="15" hidden="false" customHeight="false" outlineLevel="0" collapsed="false">
      <c r="A366" s="1" t="s">
        <v>17</v>
      </c>
      <c r="B366" s="1" t="n">
        <v>102</v>
      </c>
      <c r="D366" s="1" t="n">
        <v>157486</v>
      </c>
      <c r="E366" s="1" t="n">
        <v>0.04882</v>
      </c>
      <c r="G366" s="1" t="n">
        <v>0.010865688</v>
      </c>
      <c r="H366" s="1" t="n">
        <v>0.01428628</v>
      </c>
      <c r="I366" s="1" t="n">
        <v>0.009684563</v>
      </c>
      <c r="J366" s="1" t="n">
        <v>0.004466295</v>
      </c>
      <c r="K366" s="1" t="n">
        <v>0.004113674</v>
      </c>
      <c r="L366" s="1" t="n">
        <v>0.004066229</v>
      </c>
      <c r="M366" s="1" t="n">
        <v>0.004057407</v>
      </c>
      <c r="N366" s="1" t="n">
        <v>0.004087448</v>
      </c>
      <c r="O366" s="1" t="n">
        <v>0.004335165</v>
      </c>
      <c r="P366" s="1" t="n">
        <v>0.004554033</v>
      </c>
      <c r="R366" s="1" t="n">
        <f aca="false">PERCENTILE(G366:P366,0.9)</f>
        <v>0.0112077472</v>
      </c>
      <c r="S366" s="5" t="n">
        <f aca="false">spmv_1!R$10/R366</f>
        <v>3.12567045587895</v>
      </c>
      <c r="T366" s="6" t="n">
        <f aca="false">S366/128</f>
        <v>0.0244193004365543</v>
      </c>
    </row>
    <row r="367" customFormat="false" ht="15" hidden="false" customHeight="false" outlineLevel="0" collapsed="false">
      <c r="A367" s="1" t="s">
        <v>17</v>
      </c>
      <c r="B367" s="1" t="n">
        <v>103</v>
      </c>
      <c r="D367" s="1" t="n">
        <v>157854</v>
      </c>
      <c r="E367" s="1" t="n">
        <v>0.049259</v>
      </c>
      <c r="G367" s="1" t="n">
        <v>0.010785818</v>
      </c>
      <c r="H367" s="1" t="n">
        <v>0.014187098</v>
      </c>
      <c r="I367" s="1" t="n">
        <v>0.00964427</v>
      </c>
      <c r="J367" s="1" t="n">
        <v>0.004430771</v>
      </c>
      <c r="K367" s="1" t="n">
        <v>0.004075289</v>
      </c>
      <c r="L367" s="1" t="n">
        <v>0.004034281</v>
      </c>
      <c r="M367" s="1" t="n">
        <v>0.004020452</v>
      </c>
      <c r="N367" s="1" t="n">
        <v>0.004072666</v>
      </c>
      <c r="O367" s="1" t="n">
        <v>0.004306078</v>
      </c>
      <c r="P367" s="1" t="n">
        <v>0.004534721</v>
      </c>
      <c r="R367" s="1" t="n">
        <f aca="false">PERCENTILE(G367:P367,0.9)</f>
        <v>0.011125946</v>
      </c>
      <c r="S367" s="5" t="n">
        <f aca="false">spmv_1!R$10/R367</f>
        <v>3.14865129670771</v>
      </c>
      <c r="T367" s="6" t="n">
        <f aca="false">S367/128</f>
        <v>0.024598838255529</v>
      </c>
    </row>
    <row r="368" customFormat="false" ht="15" hidden="false" customHeight="false" outlineLevel="0" collapsed="false">
      <c r="A368" s="1" t="s">
        <v>17</v>
      </c>
      <c r="B368" s="1" t="n">
        <v>104</v>
      </c>
      <c r="D368" s="1" t="n">
        <v>159051</v>
      </c>
      <c r="E368" s="1" t="n">
        <v>0.050192</v>
      </c>
      <c r="G368" s="1" t="n">
        <v>0.010689259</v>
      </c>
      <c r="H368" s="1" t="n">
        <v>0.014087677</v>
      </c>
      <c r="I368" s="1" t="n">
        <v>0.009520054</v>
      </c>
      <c r="J368" s="1" t="n">
        <v>0.004372358</v>
      </c>
      <c r="K368" s="1" t="n">
        <v>0.004027605</v>
      </c>
      <c r="L368" s="1" t="n">
        <v>0.003973961</v>
      </c>
      <c r="M368" s="1" t="n">
        <v>0.003956318</v>
      </c>
      <c r="N368" s="1" t="n">
        <v>0.004013062</v>
      </c>
      <c r="O368" s="1" t="n">
        <v>0.004250526</v>
      </c>
      <c r="P368" s="1" t="n">
        <v>0.004486322</v>
      </c>
      <c r="R368" s="1" t="n">
        <f aca="false">PERCENTILE(G368:P368,0.9)</f>
        <v>0.0110291008</v>
      </c>
      <c r="S368" s="5" t="n">
        <f aca="false">spmv_1!R$10/R368</f>
        <v>3.17629922287046</v>
      </c>
      <c r="T368" s="6" t="n">
        <f aca="false">S368/128</f>
        <v>0.0248148376786755</v>
      </c>
    </row>
    <row r="369" customFormat="false" ht="15" hidden="false" customHeight="false" outlineLevel="0" collapsed="false">
      <c r="A369" s="1" t="s">
        <v>17</v>
      </c>
      <c r="B369" s="1" t="n">
        <v>105</v>
      </c>
      <c r="D369" s="1" t="n">
        <v>159240</v>
      </c>
      <c r="E369" s="1" t="n">
        <v>0.050039</v>
      </c>
      <c r="G369" s="1" t="n">
        <v>0.010695934</v>
      </c>
      <c r="H369" s="1" t="n">
        <v>0.014045</v>
      </c>
      <c r="I369" s="1" t="n">
        <v>0.009730816</v>
      </c>
      <c r="J369" s="1" t="n">
        <v>0.004389524</v>
      </c>
      <c r="K369" s="1" t="n">
        <v>0.004024744</v>
      </c>
      <c r="L369" s="1" t="n">
        <v>0.0040133</v>
      </c>
      <c r="M369" s="1" t="n">
        <v>0.00399375</v>
      </c>
      <c r="N369" s="1" t="n">
        <v>0.004031181</v>
      </c>
      <c r="O369" s="1" t="n">
        <v>0.004258394</v>
      </c>
      <c r="P369" s="1" t="n">
        <v>0.004464149</v>
      </c>
      <c r="R369" s="1" t="n">
        <f aca="false">PERCENTILE(G369:P369,0.9)</f>
        <v>0.0110308406</v>
      </c>
      <c r="S369" s="5" t="n">
        <f aca="false">spmv_1!R$10/R369</f>
        <v>3.17579825240154</v>
      </c>
      <c r="T369" s="6" t="n">
        <f aca="false">S369/128</f>
        <v>0.0248109238468871</v>
      </c>
    </row>
    <row r="370" customFormat="false" ht="15" hidden="false" customHeight="false" outlineLevel="0" collapsed="false">
      <c r="A370" s="1" t="s">
        <v>17</v>
      </c>
      <c r="B370" s="1" t="n">
        <v>106</v>
      </c>
      <c r="D370" s="1" t="n">
        <v>159008</v>
      </c>
      <c r="E370" s="1" t="n">
        <v>0.050551</v>
      </c>
      <c r="G370" s="1" t="n">
        <v>0.010530472</v>
      </c>
      <c r="H370" s="1" t="n">
        <v>0.013963699</v>
      </c>
      <c r="I370" s="1" t="n">
        <v>0.009589672</v>
      </c>
      <c r="J370" s="1" t="n">
        <v>0.004353285</v>
      </c>
      <c r="K370" s="1" t="n">
        <v>0.003978491</v>
      </c>
      <c r="L370" s="1" t="n">
        <v>0.00393796</v>
      </c>
      <c r="M370" s="1" t="n">
        <v>0.003940582</v>
      </c>
      <c r="N370" s="1" t="n">
        <v>0.003976583</v>
      </c>
      <c r="O370" s="1" t="n">
        <v>0.004211664</v>
      </c>
      <c r="P370" s="1" t="n">
        <v>0.004427433</v>
      </c>
      <c r="R370" s="1" t="n">
        <f aca="false">PERCENTILE(G370:P370,0.9)</f>
        <v>0.0108737947</v>
      </c>
      <c r="S370" s="5" t="n">
        <f aca="false">spmv_1!R$10/R370</f>
        <v>3.22166504578204</v>
      </c>
      <c r="T370" s="6" t="n">
        <f aca="false">S370/128</f>
        <v>0.0251692581701722</v>
      </c>
    </row>
    <row r="371" customFormat="false" ht="15" hidden="false" customHeight="false" outlineLevel="0" collapsed="false">
      <c r="A371" s="1" t="s">
        <v>17</v>
      </c>
      <c r="B371" s="1" t="n">
        <v>107</v>
      </c>
      <c r="D371" s="1" t="n">
        <v>159238</v>
      </c>
      <c r="E371" s="1" t="n">
        <v>0.04967</v>
      </c>
      <c r="G371" s="1" t="n">
        <v>0.010738134</v>
      </c>
      <c r="H371" s="1" t="n">
        <v>0.013925076</v>
      </c>
      <c r="I371" s="1" t="n">
        <v>0.009712696</v>
      </c>
      <c r="J371" s="1" t="n">
        <v>0.00449419</v>
      </c>
      <c r="K371" s="1" t="n">
        <v>0.004127502</v>
      </c>
      <c r="L371" s="1" t="n">
        <v>0.004103661</v>
      </c>
      <c r="M371" s="1" t="n">
        <v>0.004046679</v>
      </c>
      <c r="N371" s="1" t="n">
        <v>0.004119635</v>
      </c>
      <c r="O371" s="1" t="n">
        <v>0.004310369</v>
      </c>
      <c r="P371" s="1" t="n">
        <v>0.004540443</v>
      </c>
      <c r="R371" s="1" t="n">
        <f aca="false">PERCENTILE(G371:P371,0.9)</f>
        <v>0.0110568282</v>
      </c>
      <c r="S371" s="5" t="n">
        <f aca="false">spmv_1!R$10/R371</f>
        <v>3.16833396217552</v>
      </c>
      <c r="T371" s="6" t="n">
        <f aca="false">S371/128</f>
        <v>0.0247526090794962</v>
      </c>
    </row>
    <row r="372" customFormat="false" ht="15" hidden="false" customHeight="false" outlineLevel="0" collapsed="false">
      <c r="A372" s="1" t="s">
        <v>17</v>
      </c>
      <c r="B372" s="1" t="n">
        <v>108</v>
      </c>
      <c r="D372" s="1" t="n">
        <v>158133</v>
      </c>
      <c r="E372" s="1" t="n">
        <v>0.050386</v>
      </c>
      <c r="G372" s="1" t="n">
        <v>0.010545731</v>
      </c>
      <c r="H372" s="1" t="n">
        <v>0.013861895</v>
      </c>
      <c r="I372" s="1" t="n">
        <v>0.009584188</v>
      </c>
      <c r="J372" s="1" t="n">
        <v>0.004331112</v>
      </c>
      <c r="K372" s="1" t="n">
        <v>0.003975391</v>
      </c>
      <c r="L372" s="1" t="n">
        <v>0.003957748</v>
      </c>
      <c r="M372" s="1" t="n">
        <v>0.003911734</v>
      </c>
      <c r="N372" s="1" t="n">
        <v>0.003970385</v>
      </c>
      <c r="O372" s="1" t="n">
        <v>0.004212141</v>
      </c>
      <c r="P372" s="1" t="n">
        <v>0.004418135</v>
      </c>
      <c r="R372" s="1" t="n">
        <f aca="false">PERCENTILE(G372:P372,0.9)</f>
        <v>0.0108773474</v>
      </c>
      <c r="S372" s="5" t="n">
        <f aca="false">spmv_1!R$10/R372</f>
        <v>3.22061280308102</v>
      </c>
      <c r="T372" s="6" t="n">
        <f aca="false">S372/128</f>
        <v>0.0251610375240704</v>
      </c>
    </row>
    <row r="373" customFormat="false" ht="15" hidden="false" customHeight="false" outlineLevel="0" collapsed="false">
      <c r="A373" s="1" t="s">
        <v>17</v>
      </c>
      <c r="B373" s="1" t="n">
        <v>109</v>
      </c>
      <c r="D373" s="1" t="n">
        <v>157722</v>
      </c>
      <c r="E373" s="1" t="n">
        <v>0.050533</v>
      </c>
      <c r="G373" s="1" t="n">
        <v>0.010505199</v>
      </c>
      <c r="H373" s="1" t="n">
        <v>0.013750792</v>
      </c>
      <c r="I373" s="1" t="n">
        <v>0.009554863</v>
      </c>
      <c r="J373" s="1" t="n">
        <v>0.004281521</v>
      </c>
      <c r="K373" s="1" t="n">
        <v>0.003952742</v>
      </c>
      <c r="L373" s="1" t="n">
        <v>0.003950357</v>
      </c>
      <c r="M373" s="1" t="n">
        <v>0.00389576</v>
      </c>
      <c r="N373" s="1" t="n">
        <v>0.003931761</v>
      </c>
      <c r="O373" s="1" t="n">
        <v>0.00420332</v>
      </c>
      <c r="P373" s="1" t="n">
        <v>0.004396677</v>
      </c>
      <c r="R373" s="1" t="n">
        <f aca="false">PERCENTILE(G373:P373,0.9)</f>
        <v>0.0108297583</v>
      </c>
      <c r="S373" s="5" t="n">
        <f aca="false">spmv_1!R$10/R373</f>
        <v>3.23476511013178</v>
      </c>
      <c r="T373" s="6" t="n">
        <f aca="false">S373/128</f>
        <v>0.0252716024229045</v>
      </c>
    </row>
    <row r="374" customFormat="false" ht="15" hidden="false" customHeight="false" outlineLevel="0" collapsed="false">
      <c r="A374" s="1" t="s">
        <v>17</v>
      </c>
      <c r="B374" s="1" t="n">
        <v>110</v>
      </c>
      <c r="D374" s="1" t="n">
        <v>157542</v>
      </c>
      <c r="E374" s="1" t="n">
        <v>0.04947</v>
      </c>
      <c r="G374" s="1" t="n">
        <v>0.01068449</v>
      </c>
      <c r="H374" s="1" t="n">
        <v>0.01379776</v>
      </c>
      <c r="I374" s="1" t="n">
        <v>0.009678125</v>
      </c>
      <c r="J374" s="1" t="n">
        <v>0.004462481</v>
      </c>
      <c r="K374" s="1" t="n">
        <v>0.00409174</v>
      </c>
      <c r="L374" s="1" t="n">
        <v>0.004072666</v>
      </c>
      <c r="M374" s="1" t="n">
        <v>0.00401473</v>
      </c>
      <c r="N374" s="1" t="n">
        <v>0.004090309</v>
      </c>
      <c r="O374" s="1" t="n">
        <v>0.004279375</v>
      </c>
      <c r="P374" s="1" t="n">
        <v>0.004519701</v>
      </c>
      <c r="R374" s="1" t="n">
        <f aca="false">PERCENTILE(G374:P374,0.9)</f>
        <v>0.010995817</v>
      </c>
      <c r="S374" s="5" t="n">
        <f aca="false">spmv_1!R$10/R374</f>
        <v>3.18591372519204</v>
      </c>
      <c r="T374" s="6" t="n">
        <f aca="false">S374/128</f>
        <v>0.0248899509780628</v>
      </c>
    </row>
    <row r="375" customFormat="false" ht="15" hidden="false" customHeight="false" outlineLevel="0" collapsed="false">
      <c r="A375" s="1" t="s">
        <v>17</v>
      </c>
      <c r="B375" s="1" t="n">
        <v>111</v>
      </c>
      <c r="D375" s="1" t="n">
        <v>157126</v>
      </c>
      <c r="E375" s="1" t="n">
        <v>0.048465</v>
      </c>
      <c r="G375" s="1" t="n">
        <v>0.010717392</v>
      </c>
      <c r="H375" s="1" t="n">
        <v>0.013911009</v>
      </c>
      <c r="I375" s="1" t="n">
        <v>0.009853601</v>
      </c>
      <c r="J375" s="1" t="n">
        <v>0.004594803</v>
      </c>
      <c r="K375" s="1" t="n">
        <v>0.004214048</v>
      </c>
      <c r="L375" s="1" t="n">
        <v>0.004203558</v>
      </c>
      <c r="M375" s="1" t="n">
        <v>0.004132748</v>
      </c>
      <c r="N375" s="1" t="n">
        <v>0.004198313</v>
      </c>
      <c r="O375" s="1" t="n">
        <v>0.004401445</v>
      </c>
      <c r="P375" s="1" t="n">
        <v>0.004613638</v>
      </c>
      <c r="R375" s="1" t="n">
        <f aca="false">PERCENTILE(G375:P375,0.9)</f>
        <v>0.0110367537</v>
      </c>
      <c r="S375" s="5" t="n">
        <f aca="false">spmv_1!R$10/R375</f>
        <v>3.17409677267692</v>
      </c>
      <c r="T375" s="6" t="n">
        <f aca="false">S375/128</f>
        <v>0.0247976310365384</v>
      </c>
    </row>
    <row r="376" customFormat="false" ht="15" hidden="false" customHeight="false" outlineLevel="0" collapsed="false">
      <c r="A376" s="1" t="s">
        <v>17</v>
      </c>
      <c r="B376" s="1" t="n">
        <v>112</v>
      </c>
      <c r="D376" s="1" t="n">
        <v>157884</v>
      </c>
      <c r="E376" s="1" t="n">
        <v>0.049705</v>
      </c>
      <c r="G376" s="1" t="n">
        <v>0.010683298</v>
      </c>
      <c r="H376" s="1" t="n">
        <v>0.013741732</v>
      </c>
      <c r="I376" s="1" t="n">
        <v>0.009664297</v>
      </c>
      <c r="J376" s="1" t="n">
        <v>0.004485607</v>
      </c>
      <c r="K376" s="1" t="n">
        <v>0.004082918</v>
      </c>
      <c r="L376" s="1" t="n">
        <v>0.004063606</v>
      </c>
      <c r="M376" s="1" t="n">
        <v>0.003989935</v>
      </c>
      <c r="N376" s="1" t="n">
        <v>0.004055738</v>
      </c>
      <c r="O376" s="1" t="n">
        <v>0.004263401</v>
      </c>
      <c r="P376" s="1" t="n">
        <v>0.004498243</v>
      </c>
      <c r="R376" s="1" t="n">
        <f aca="false">PERCENTILE(G376:P376,0.9)</f>
        <v>0.0109891414</v>
      </c>
      <c r="S376" s="5" t="n">
        <f aca="false">spmv_1!R$10/R376</f>
        <v>3.18784907981983</v>
      </c>
      <c r="T376" s="6" t="n">
        <f aca="false">S376/128</f>
        <v>0.0249050709360924</v>
      </c>
    </row>
    <row r="377" customFormat="false" ht="15" hidden="false" customHeight="false" outlineLevel="0" collapsed="false">
      <c r="A377" s="1" t="s">
        <v>17</v>
      </c>
      <c r="B377" s="1" t="n">
        <v>113</v>
      </c>
      <c r="D377" s="1" t="n">
        <v>158133</v>
      </c>
      <c r="E377" s="1" t="n">
        <v>0.04987</v>
      </c>
      <c r="G377" s="1" t="n">
        <v>0.010685444</v>
      </c>
      <c r="H377" s="1" t="n">
        <v>0.013683558</v>
      </c>
      <c r="I377" s="1" t="n">
        <v>0.009668827</v>
      </c>
      <c r="J377" s="1" t="n">
        <v>0.004476786</v>
      </c>
      <c r="K377" s="1" t="n">
        <v>0.004080534</v>
      </c>
      <c r="L377" s="1" t="n">
        <v>0.00404501</v>
      </c>
      <c r="M377" s="1" t="n">
        <v>0.003977537</v>
      </c>
      <c r="N377" s="1" t="n">
        <v>0.004046917</v>
      </c>
      <c r="O377" s="1" t="n">
        <v>0.004269361</v>
      </c>
      <c r="P377" s="1" t="n">
        <v>0.004484653</v>
      </c>
      <c r="R377" s="1" t="n">
        <f aca="false">PERCENTILE(G377:P377,0.9)</f>
        <v>0.0109852554</v>
      </c>
      <c r="S377" s="5" t="n">
        <f aca="false">spmv_1!R$10/R377</f>
        <v>3.18897677153687</v>
      </c>
      <c r="T377" s="6" t="n">
        <f aca="false">S377/128</f>
        <v>0.0249138810276318</v>
      </c>
    </row>
    <row r="378" customFormat="false" ht="15" hidden="false" customHeight="false" outlineLevel="0" collapsed="false">
      <c r="A378" s="1" t="s">
        <v>17</v>
      </c>
      <c r="B378" s="1" t="n">
        <v>114</v>
      </c>
      <c r="D378" s="1" t="n">
        <v>157212</v>
      </c>
      <c r="E378" s="1" t="n">
        <v>0.049834</v>
      </c>
      <c r="G378" s="1" t="n">
        <v>0.010625839</v>
      </c>
      <c r="H378" s="1" t="n">
        <v>0.013643265</v>
      </c>
      <c r="I378" s="1" t="n">
        <v>0.0096066</v>
      </c>
      <c r="J378" s="1" t="n">
        <v>0.004461765</v>
      </c>
      <c r="K378" s="1" t="n">
        <v>0.004029751</v>
      </c>
      <c r="L378" s="1" t="n">
        <v>0.00404501</v>
      </c>
      <c r="M378" s="1" t="n">
        <v>0.003965378</v>
      </c>
      <c r="N378" s="1" t="n">
        <v>0.004025698</v>
      </c>
      <c r="O378" s="1" t="n">
        <v>0.004230022</v>
      </c>
      <c r="P378" s="1" t="n">
        <v>0.004460335</v>
      </c>
      <c r="R378" s="1" t="n">
        <f aca="false">PERCENTILE(G378:P378,0.9)</f>
        <v>0.0109275816</v>
      </c>
      <c r="S378" s="5" t="n">
        <f aca="false">spmv_1!R$10/R378</f>
        <v>3.20580761437645</v>
      </c>
      <c r="T378" s="6" t="n">
        <f aca="false">S378/128</f>
        <v>0.025045371987316</v>
      </c>
    </row>
    <row r="379" customFormat="false" ht="15" hidden="false" customHeight="false" outlineLevel="0" collapsed="false">
      <c r="A379" s="1" t="s">
        <v>17</v>
      </c>
      <c r="B379" s="1" t="n">
        <v>115</v>
      </c>
      <c r="D379" s="1" t="n">
        <v>157541</v>
      </c>
      <c r="E379" s="1" t="n">
        <v>0.050162</v>
      </c>
      <c r="G379" s="1" t="n">
        <v>0.010574579</v>
      </c>
      <c r="H379" s="1" t="n">
        <v>0.013546228</v>
      </c>
      <c r="I379" s="1" t="n">
        <v>0.009581566</v>
      </c>
      <c r="J379" s="1" t="n">
        <v>0.004451275</v>
      </c>
      <c r="K379" s="1" t="n">
        <v>0.00402379</v>
      </c>
      <c r="L379" s="1" t="n">
        <v>0.004015684</v>
      </c>
      <c r="M379" s="1" t="n">
        <v>0.003962278</v>
      </c>
      <c r="N379" s="1" t="n">
        <v>0.004010916</v>
      </c>
      <c r="O379" s="1" t="n">
        <v>0.004205227</v>
      </c>
      <c r="P379" s="1" t="n">
        <v>0.0044415</v>
      </c>
      <c r="R379" s="1" t="n">
        <f aca="false">PERCENTILE(G379:P379,0.9)</f>
        <v>0.0108717439</v>
      </c>
      <c r="S379" s="5" t="n">
        <f aca="false">spmv_1!R$10/R379</f>
        <v>3.22227276711329</v>
      </c>
      <c r="T379" s="6" t="n">
        <f aca="false">S379/128</f>
        <v>0.0251740059930726</v>
      </c>
    </row>
    <row r="380" customFormat="false" ht="15" hidden="false" customHeight="false" outlineLevel="0" collapsed="false">
      <c r="A380" s="1" t="s">
        <v>17</v>
      </c>
      <c r="B380" s="1" t="n">
        <v>116</v>
      </c>
      <c r="D380" s="1" t="n">
        <v>157082</v>
      </c>
      <c r="E380" s="1" t="n">
        <v>0.05016</v>
      </c>
      <c r="G380" s="1" t="n">
        <v>0.010612965</v>
      </c>
      <c r="H380" s="1" t="n">
        <v>0.013511896</v>
      </c>
      <c r="I380" s="1" t="n">
        <v>0.009562969</v>
      </c>
      <c r="J380" s="1" t="n">
        <v>0.004430532</v>
      </c>
      <c r="K380" s="1" t="n">
        <v>0.003996849</v>
      </c>
      <c r="L380" s="1" t="n">
        <v>0.003991842</v>
      </c>
      <c r="M380" s="1" t="n">
        <v>0.003924847</v>
      </c>
      <c r="N380" s="1" t="n">
        <v>0.003986835</v>
      </c>
      <c r="O380" s="1" t="n">
        <v>0.004202843</v>
      </c>
      <c r="P380" s="1" t="n">
        <v>0.004410505</v>
      </c>
      <c r="R380" s="1" t="n">
        <f aca="false">PERCENTILE(G380:P380,0.9)</f>
        <v>0.0109028581</v>
      </c>
      <c r="S380" s="5" t="n">
        <f aca="false">spmv_1!R$10/R380</f>
        <v>3.21307715634674</v>
      </c>
      <c r="T380" s="6" t="n">
        <f aca="false">S380/128</f>
        <v>0.0251021652839589</v>
      </c>
    </row>
    <row r="381" customFormat="false" ht="15" hidden="false" customHeight="false" outlineLevel="0" collapsed="false">
      <c r="A381" s="1" t="s">
        <v>17</v>
      </c>
      <c r="B381" s="1" t="n">
        <v>117</v>
      </c>
      <c r="D381" s="1" t="n">
        <v>157451</v>
      </c>
      <c r="E381" s="1" t="n">
        <v>0.050607</v>
      </c>
      <c r="G381" s="1" t="n">
        <v>0.010574341</v>
      </c>
      <c r="H381" s="1" t="n">
        <v>0.013369799</v>
      </c>
      <c r="I381" s="1" t="n">
        <v>0.009550095</v>
      </c>
      <c r="J381" s="1" t="n">
        <v>0.004420519</v>
      </c>
      <c r="K381" s="1" t="n">
        <v>0.003970623</v>
      </c>
      <c r="L381" s="1" t="n">
        <v>0.003937483</v>
      </c>
      <c r="M381" s="1" t="n">
        <v>0.003906965</v>
      </c>
      <c r="N381" s="1" t="n">
        <v>0.003978014</v>
      </c>
      <c r="O381" s="1" t="n">
        <v>0.004107952</v>
      </c>
      <c r="P381" s="1" t="n">
        <v>0.004409075</v>
      </c>
      <c r="R381" s="1" t="n">
        <f aca="false">PERCENTILE(G381:P381,0.9)</f>
        <v>0.0108538868</v>
      </c>
      <c r="S381" s="5" t="n">
        <f aca="false">spmv_1!R$10/R381</f>
        <v>3.22757413500941</v>
      </c>
      <c r="T381" s="6" t="n">
        <f aca="false">S381/128</f>
        <v>0.025215422929761</v>
      </c>
    </row>
    <row r="382" customFormat="false" ht="15" hidden="false" customHeight="false" outlineLevel="0" collapsed="false">
      <c r="A382" s="1" t="s">
        <v>17</v>
      </c>
      <c r="B382" s="1" t="n">
        <v>118</v>
      </c>
      <c r="D382" s="1" t="n">
        <v>157751</v>
      </c>
      <c r="E382" s="1" t="n">
        <v>0.051475</v>
      </c>
      <c r="G382" s="1" t="n">
        <v>0.010430813</v>
      </c>
      <c r="H382" s="1" t="n">
        <v>0.013318062</v>
      </c>
      <c r="I382" s="1" t="n">
        <v>0.00944519</v>
      </c>
      <c r="J382" s="1" t="n">
        <v>0.004399061</v>
      </c>
      <c r="K382" s="1" t="n">
        <v>0.003887892</v>
      </c>
      <c r="L382" s="1" t="n">
        <v>0.003818512</v>
      </c>
      <c r="M382" s="1" t="n">
        <v>0.003846407</v>
      </c>
      <c r="N382" s="1" t="n">
        <v>0.003823042</v>
      </c>
      <c r="O382" s="1" t="n">
        <v>0.003928423</v>
      </c>
      <c r="P382" s="1" t="n">
        <v>0.004394293</v>
      </c>
      <c r="R382" s="1" t="n">
        <f aca="false">PERCENTILE(G382:P382,0.9)</f>
        <v>0.0107195379</v>
      </c>
      <c r="S382" s="5" t="n">
        <f aca="false">spmv_1!R$10/R382</f>
        <v>3.26802560211108</v>
      </c>
      <c r="T382" s="6" t="n">
        <f aca="false">S382/128</f>
        <v>0.0255314500164928</v>
      </c>
    </row>
    <row r="383" customFormat="false" ht="15" hidden="false" customHeight="false" outlineLevel="0" collapsed="false">
      <c r="A383" s="1" t="s">
        <v>17</v>
      </c>
      <c r="B383" s="1" t="n">
        <v>119</v>
      </c>
      <c r="D383" s="1" t="n">
        <v>158456</v>
      </c>
      <c r="E383" s="1" t="n">
        <v>0.053243</v>
      </c>
      <c r="G383" s="1" t="n">
        <v>0.010198116</v>
      </c>
      <c r="H383" s="1" t="n">
        <v>0.013088465</v>
      </c>
      <c r="I383" s="1" t="n">
        <v>0.009305954</v>
      </c>
      <c r="J383" s="1" t="n">
        <v>0.004238844</v>
      </c>
      <c r="K383" s="1" t="n">
        <v>0.003715992</v>
      </c>
      <c r="L383" s="1" t="n">
        <v>0.003654957</v>
      </c>
      <c r="M383" s="1" t="n">
        <v>0.003658772</v>
      </c>
      <c r="N383" s="1" t="n">
        <v>0.003655672</v>
      </c>
      <c r="O383" s="1" t="n">
        <v>0.003802776</v>
      </c>
      <c r="P383" s="1" t="n">
        <v>0.004202604</v>
      </c>
      <c r="R383" s="1" t="n">
        <f aca="false">PERCENTILE(G383:P383,0.9)</f>
        <v>0.0104871509</v>
      </c>
      <c r="S383" s="5" t="n">
        <f aca="false">spmv_1!R$10/R383</f>
        <v>3.34044247422815</v>
      </c>
      <c r="T383" s="6" t="n">
        <f aca="false">S383/128</f>
        <v>0.0260972068299075</v>
      </c>
    </row>
    <row r="384" customFormat="false" ht="15" hidden="false" customHeight="false" outlineLevel="0" collapsed="false">
      <c r="A384" s="1" t="s">
        <v>17</v>
      </c>
      <c r="B384" s="1" t="n">
        <v>120</v>
      </c>
      <c r="D384" s="1" t="n">
        <v>159026</v>
      </c>
      <c r="E384" s="1" t="n">
        <v>0.05194</v>
      </c>
      <c r="G384" s="1" t="n">
        <v>0.010478497</v>
      </c>
      <c r="H384" s="1" t="n">
        <v>0.013136864</v>
      </c>
      <c r="I384" s="1" t="n">
        <v>0.009448528</v>
      </c>
      <c r="J384" s="1" t="n">
        <v>0.004433393</v>
      </c>
      <c r="K384" s="1" t="n">
        <v>0.003901958</v>
      </c>
      <c r="L384" s="1" t="n">
        <v>0.003810644</v>
      </c>
      <c r="M384" s="1" t="n">
        <v>0.003853321</v>
      </c>
      <c r="N384" s="1" t="n">
        <v>0.003866673</v>
      </c>
      <c r="O384" s="1" t="n">
        <v>0.003927708</v>
      </c>
      <c r="P384" s="1" t="n">
        <v>0.004376888</v>
      </c>
      <c r="R384" s="1" t="n">
        <f aca="false">PERCENTILE(G384:P384,0.9)</f>
        <v>0.0107443337</v>
      </c>
      <c r="S384" s="5" t="n">
        <f aca="false">spmv_1!R$10/R384</f>
        <v>3.26048364450929</v>
      </c>
      <c r="T384" s="6" t="n">
        <f aca="false">S384/128</f>
        <v>0.0254725284727288</v>
      </c>
    </row>
    <row r="385" customFormat="false" ht="15" hidden="false" customHeight="false" outlineLevel="0" collapsed="false">
      <c r="A385" s="1" t="s">
        <v>17</v>
      </c>
      <c r="B385" s="1" t="n">
        <v>121</v>
      </c>
      <c r="D385" s="1" t="n">
        <v>159503</v>
      </c>
      <c r="E385" s="1" t="n">
        <v>0.053794</v>
      </c>
      <c r="G385" s="1" t="n">
        <v>0.010170937</v>
      </c>
      <c r="H385" s="1" t="n">
        <v>0.013037443</v>
      </c>
      <c r="I385" s="1" t="n">
        <v>0.009205341</v>
      </c>
      <c r="J385" s="1" t="n">
        <v>0.004208803</v>
      </c>
      <c r="K385" s="1" t="n">
        <v>0.003722668</v>
      </c>
      <c r="L385" s="1" t="n">
        <v>0.003684044</v>
      </c>
      <c r="M385" s="1" t="n">
        <v>0.003640175</v>
      </c>
      <c r="N385" s="1" t="n">
        <v>0.003665209</v>
      </c>
      <c r="O385" s="1" t="n">
        <v>0.003797531</v>
      </c>
      <c r="P385" s="1" t="n">
        <v>0.004169226</v>
      </c>
      <c r="R385" s="1" t="n">
        <f aca="false">PERCENTILE(G385:P385,0.9)</f>
        <v>0.0104575876</v>
      </c>
      <c r="S385" s="5" t="n">
        <f aca="false">spmv_1!R$10/R385</f>
        <v>3.34988580922813</v>
      </c>
      <c r="T385" s="6" t="n">
        <f aca="false">S385/128</f>
        <v>0.0261709828845947</v>
      </c>
    </row>
    <row r="386" customFormat="false" ht="15" hidden="false" customHeight="false" outlineLevel="0" collapsed="false">
      <c r="A386" s="1" t="s">
        <v>17</v>
      </c>
      <c r="B386" s="1" t="n">
        <v>122</v>
      </c>
      <c r="D386" s="1" t="n">
        <v>159417</v>
      </c>
      <c r="E386" s="1" t="n">
        <v>0.054221</v>
      </c>
      <c r="G386" s="1" t="n">
        <v>0.010098934</v>
      </c>
      <c r="H386" s="1" t="n">
        <v>0.012966156</v>
      </c>
      <c r="I386" s="1" t="n">
        <v>0.009165764</v>
      </c>
      <c r="J386" s="1" t="n">
        <v>0.004157782</v>
      </c>
      <c r="K386" s="1" t="n">
        <v>0.0036726</v>
      </c>
      <c r="L386" s="1" t="n">
        <v>0.003596544</v>
      </c>
      <c r="M386" s="1" t="n">
        <v>0.003620386</v>
      </c>
      <c r="N386" s="1" t="n">
        <v>0.003648043</v>
      </c>
      <c r="O386" s="1" t="n">
        <v>0.003767967</v>
      </c>
      <c r="P386" s="1" t="n">
        <v>0.004108906</v>
      </c>
      <c r="R386" s="1" t="n">
        <f aca="false">PERCENTILE(G386:P386,0.9)</f>
        <v>0.0103856562</v>
      </c>
      <c r="S386" s="5" t="n">
        <f aca="false">spmv_1!R$10/R386</f>
        <v>3.37308722967356</v>
      </c>
      <c r="T386" s="6" t="n">
        <f aca="false">S386/128</f>
        <v>0.0263522439818247</v>
      </c>
    </row>
    <row r="387" customFormat="false" ht="15" hidden="false" customHeight="false" outlineLevel="0" collapsed="false">
      <c r="A387" s="1" t="s">
        <v>17</v>
      </c>
      <c r="B387" s="1" t="n">
        <v>123</v>
      </c>
      <c r="D387" s="1" t="n">
        <v>159512</v>
      </c>
      <c r="E387" s="1" t="n">
        <v>0.054492</v>
      </c>
      <c r="G387" s="1" t="n">
        <v>0.010056257</v>
      </c>
      <c r="H387" s="1" t="n">
        <v>0.012857676</v>
      </c>
      <c r="I387" s="1" t="n">
        <v>0.009138107</v>
      </c>
      <c r="J387" s="1" t="n">
        <v>0.004168272</v>
      </c>
      <c r="K387" s="1" t="n">
        <v>0.003668547</v>
      </c>
      <c r="L387" s="1" t="n">
        <v>0.003578186</v>
      </c>
      <c r="M387" s="1" t="n">
        <v>0.003599405</v>
      </c>
      <c r="N387" s="1" t="n">
        <v>0.003651142</v>
      </c>
      <c r="O387" s="1" t="n">
        <v>0.003748894</v>
      </c>
      <c r="P387" s="1" t="n">
        <v>0.004078388</v>
      </c>
      <c r="R387" s="1" t="n">
        <f aca="false">PERCENTILE(G387:P387,0.9)</f>
        <v>0.0103363989</v>
      </c>
      <c r="S387" s="5" t="n">
        <f aca="false">spmv_1!R$10/R387</f>
        <v>3.38916141287852</v>
      </c>
      <c r="T387" s="6" t="n">
        <f aca="false">S387/128</f>
        <v>0.0264778235381135</v>
      </c>
    </row>
    <row r="388" customFormat="false" ht="15" hidden="false" customHeight="false" outlineLevel="0" collapsed="false">
      <c r="A388" s="1" t="s">
        <v>17</v>
      </c>
      <c r="B388" s="1" t="n">
        <v>124</v>
      </c>
      <c r="D388" s="1" t="n">
        <v>158269</v>
      </c>
      <c r="E388" s="1" t="n">
        <v>0.054396</v>
      </c>
      <c r="G388" s="1" t="n">
        <v>0.010031939</v>
      </c>
      <c r="H388" s="1" t="n">
        <v>0.012786627</v>
      </c>
      <c r="I388" s="1" t="n">
        <v>0.009064674</v>
      </c>
      <c r="J388" s="1" t="n">
        <v>0.004123926</v>
      </c>
      <c r="K388" s="1" t="n">
        <v>0.003649712</v>
      </c>
      <c r="L388" s="1" t="n">
        <v>0.00357008</v>
      </c>
      <c r="M388" s="1" t="n">
        <v>0.00358963</v>
      </c>
      <c r="N388" s="1" t="n">
        <v>0.003577471</v>
      </c>
      <c r="O388" s="1" t="n">
        <v>0.003737926</v>
      </c>
      <c r="P388" s="1" t="n">
        <v>0.004059076</v>
      </c>
      <c r="R388" s="1" t="n">
        <f aca="false">PERCENTILE(G388:P388,0.9)</f>
        <v>0.0103074078</v>
      </c>
      <c r="S388" s="5" t="n">
        <f aca="false">spmv_1!R$10/R388</f>
        <v>3.3986939276818</v>
      </c>
      <c r="T388" s="6" t="n">
        <f aca="false">S388/128</f>
        <v>0.0265522963100141</v>
      </c>
    </row>
    <row r="389" customFormat="false" ht="15" hidden="false" customHeight="false" outlineLevel="0" collapsed="false">
      <c r="A389" s="1" t="s">
        <v>17</v>
      </c>
      <c r="B389" s="1" t="n">
        <v>125</v>
      </c>
      <c r="D389" s="1" t="n">
        <v>158457</v>
      </c>
      <c r="E389" s="1" t="n">
        <v>0.054639</v>
      </c>
      <c r="G389" s="1" t="n">
        <v>0.009952068</v>
      </c>
      <c r="H389" s="1" t="n">
        <v>0.01265645</v>
      </c>
      <c r="I389" s="1" t="n">
        <v>0.009091854</v>
      </c>
      <c r="J389" s="1" t="n">
        <v>0.004195929</v>
      </c>
      <c r="K389" s="1" t="n">
        <v>0.003626108</v>
      </c>
      <c r="L389" s="1" t="n">
        <v>0.003554821</v>
      </c>
      <c r="M389" s="1" t="n">
        <v>0.003598928</v>
      </c>
      <c r="N389" s="1" t="n">
        <v>0.003537655</v>
      </c>
      <c r="O389" s="1" t="n">
        <v>0.003716946</v>
      </c>
      <c r="P389" s="1" t="n">
        <v>0.004070759</v>
      </c>
      <c r="R389" s="1" t="n">
        <f aca="false">PERCENTILE(G389:P389,0.9)</f>
        <v>0.0102225062</v>
      </c>
      <c r="S389" s="5" t="n">
        <f aca="false">spmv_1!R$10/R389</f>
        <v>3.42692130624484</v>
      </c>
      <c r="T389" s="6" t="n">
        <f aca="false">S389/128</f>
        <v>0.0267728227050378</v>
      </c>
    </row>
    <row r="390" customFormat="false" ht="15" hidden="false" customHeight="false" outlineLevel="0" collapsed="false">
      <c r="A390" s="1" t="s">
        <v>17</v>
      </c>
      <c r="B390" s="1" t="n">
        <v>126</v>
      </c>
      <c r="D390" s="1" t="n">
        <v>157825</v>
      </c>
      <c r="E390" s="1" t="n">
        <v>0.054574</v>
      </c>
      <c r="G390" s="1" t="n">
        <v>0.009909153</v>
      </c>
      <c r="H390" s="1" t="n">
        <v>0.012488365</v>
      </c>
      <c r="I390" s="1" t="n">
        <v>0.009216547</v>
      </c>
      <c r="J390" s="1" t="n">
        <v>0.004115105</v>
      </c>
      <c r="K390" s="1" t="n">
        <v>0.003635406</v>
      </c>
      <c r="L390" s="1" t="n">
        <v>0.00356555</v>
      </c>
      <c r="M390" s="1" t="n">
        <v>0.003595352</v>
      </c>
      <c r="N390" s="1" t="n">
        <v>0.003574133</v>
      </c>
      <c r="O390" s="1" t="n">
        <v>0.00371623</v>
      </c>
      <c r="P390" s="1" t="n">
        <v>0.004023552</v>
      </c>
      <c r="R390" s="1" t="n">
        <f aca="false">PERCENTILE(G390:P390,0.9)</f>
        <v>0.0101670742</v>
      </c>
      <c r="S390" s="5" t="n">
        <f aca="false">spmv_1!R$10/R390</f>
        <v>3.44560525583653</v>
      </c>
      <c r="T390" s="6" t="n">
        <f aca="false">S390/128</f>
        <v>0.0269187910612229</v>
      </c>
    </row>
    <row r="391" customFormat="false" ht="15" hidden="false" customHeight="false" outlineLevel="0" collapsed="false">
      <c r="A391" s="1" t="s">
        <v>17</v>
      </c>
      <c r="B391" s="1" t="n">
        <v>127</v>
      </c>
      <c r="D391" s="1" t="n">
        <v>157698</v>
      </c>
      <c r="E391" s="1" t="n">
        <v>0.054557</v>
      </c>
      <c r="G391" s="1" t="n">
        <v>0.009889364</v>
      </c>
      <c r="H391" s="1" t="n">
        <v>0.012474298</v>
      </c>
      <c r="I391" s="1" t="n">
        <v>0.009225368</v>
      </c>
      <c r="J391" s="1" t="n">
        <v>0.004109859</v>
      </c>
      <c r="K391" s="1" t="n">
        <v>0.003643751</v>
      </c>
      <c r="L391" s="1" t="n">
        <v>0.003564596</v>
      </c>
      <c r="M391" s="1" t="n">
        <v>0.003600597</v>
      </c>
      <c r="N391" s="1" t="n">
        <v>0.003572941</v>
      </c>
      <c r="O391" s="1" t="n">
        <v>0.003710985</v>
      </c>
      <c r="P391" s="1" t="n">
        <v>0.004018545</v>
      </c>
      <c r="R391" s="1" t="n">
        <f aca="false">PERCENTILE(G391:P391,0.9)</f>
        <v>0.0101478574</v>
      </c>
      <c r="S391" s="5" t="n">
        <f aca="false">spmv_1!R$10/R391</f>
        <v>3.4521301314305</v>
      </c>
      <c r="T391" s="6" t="n">
        <f aca="false">S391/128</f>
        <v>0.0269697666518008</v>
      </c>
    </row>
    <row r="394" customFormat="false" ht="15" hidden="false" customHeight="false" outlineLevel="0" collapsed="false">
      <c r="A394" s="2" t="s">
        <v>0</v>
      </c>
      <c r="B394" s="2" t="s">
        <v>1</v>
      </c>
      <c r="C394" s="3"/>
      <c r="D394" s="2" t="s">
        <v>2</v>
      </c>
      <c r="E394" s="2" t="s">
        <v>3</v>
      </c>
      <c r="F394" s="3"/>
      <c r="G394" s="2" t="s">
        <v>4</v>
      </c>
      <c r="H394" s="2" t="s">
        <v>5</v>
      </c>
      <c r="I394" s="2" t="s">
        <v>6</v>
      </c>
      <c r="J394" s="2" t="s">
        <v>7</v>
      </c>
      <c r="K394" s="2" t="s">
        <v>8</v>
      </c>
      <c r="L394" s="2" t="s">
        <v>9</v>
      </c>
      <c r="M394" s="2" t="s">
        <v>10</v>
      </c>
      <c r="N394" s="2" t="s">
        <v>11</v>
      </c>
      <c r="O394" s="2" t="s">
        <v>12</v>
      </c>
      <c r="P394" s="2" t="s">
        <v>13</v>
      </c>
      <c r="R394" s="4" t="s">
        <v>14</v>
      </c>
      <c r="S394" s="7" t="s">
        <v>20</v>
      </c>
      <c r="T394" s="8" t="s">
        <v>21</v>
      </c>
    </row>
    <row r="395" customFormat="false" ht="15" hidden="false" customHeight="false" outlineLevel="0" collapsed="false">
      <c r="A395" s="1" t="s">
        <v>18</v>
      </c>
      <c r="B395" s="1" t="n">
        <v>0</v>
      </c>
      <c r="D395" s="1" t="n">
        <v>6049231</v>
      </c>
      <c r="E395" s="1" t="n">
        <v>0.032709</v>
      </c>
      <c r="G395" s="1" t="n">
        <v>0.374348879</v>
      </c>
      <c r="H395" s="1" t="n">
        <v>0.362025976</v>
      </c>
      <c r="I395" s="1" t="n">
        <v>0.374059677</v>
      </c>
      <c r="J395" s="1" t="n">
        <v>0.375644684</v>
      </c>
      <c r="K395" s="1" t="n">
        <v>0.372102499</v>
      </c>
      <c r="L395" s="1" t="n">
        <v>0.363206148</v>
      </c>
      <c r="M395" s="1" t="n">
        <v>0.362360001</v>
      </c>
      <c r="N395" s="1" t="n">
        <v>0.370057583</v>
      </c>
      <c r="O395" s="1" t="n">
        <v>0.372297049</v>
      </c>
      <c r="P395" s="1" t="n">
        <v>0.372676134</v>
      </c>
      <c r="R395" s="1" t="n">
        <f aca="false">PERCENTILE(G395:P395,0.9)</f>
        <v>0.3744784595</v>
      </c>
      <c r="S395" s="5" t="n">
        <f aca="false">spmv_1!R$14/R395</f>
        <v>2.94955326449157</v>
      </c>
      <c r="T395" s="6" t="n">
        <f aca="false">S395/128</f>
        <v>0.0230433848788404</v>
      </c>
    </row>
    <row r="396" customFormat="false" ht="15" hidden="false" customHeight="false" outlineLevel="0" collapsed="false">
      <c r="A396" s="1" t="s">
        <v>18</v>
      </c>
      <c r="B396" s="1" t="n">
        <v>1</v>
      </c>
      <c r="D396" s="1" t="n">
        <v>6051741</v>
      </c>
      <c r="E396" s="1" t="n">
        <v>0.032811</v>
      </c>
      <c r="G396" s="1" t="n">
        <v>0.37359333</v>
      </c>
      <c r="H396" s="1" t="n">
        <v>0.360866547</v>
      </c>
      <c r="I396" s="1" t="n">
        <v>0.373112917</v>
      </c>
      <c r="J396" s="1" t="n">
        <v>0.375006914</v>
      </c>
      <c r="K396" s="1" t="n">
        <v>0.371346474</v>
      </c>
      <c r="L396" s="1" t="n">
        <v>0.362130404</v>
      </c>
      <c r="M396" s="1" t="n">
        <v>0.360806942</v>
      </c>
      <c r="N396" s="1" t="n">
        <v>0.369127035</v>
      </c>
      <c r="O396" s="1" t="n">
        <v>0.371237278</v>
      </c>
      <c r="P396" s="1" t="n">
        <v>0.371580124</v>
      </c>
      <c r="R396" s="1" t="n">
        <f aca="false">PERCENTILE(G396:P396,0.9)</f>
        <v>0.3737346884</v>
      </c>
      <c r="S396" s="5" t="n">
        <f aca="false">spmv_1!R$14/R396</f>
        <v>2.9554231838331</v>
      </c>
      <c r="T396" s="6" t="n">
        <f aca="false">S396/128</f>
        <v>0.0230892436236961</v>
      </c>
    </row>
    <row r="397" customFormat="false" ht="15" hidden="false" customHeight="false" outlineLevel="0" collapsed="false">
      <c r="A397" s="1" t="s">
        <v>18</v>
      </c>
      <c r="B397" s="1" t="n">
        <v>2</v>
      </c>
      <c r="D397" s="1" t="n">
        <v>6052818</v>
      </c>
      <c r="E397" s="1" t="n">
        <v>0.032919</v>
      </c>
      <c r="G397" s="1" t="n">
        <v>0.372642517</v>
      </c>
      <c r="H397" s="1" t="n">
        <v>0.359560251</v>
      </c>
      <c r="I397" s="1" t="n">
        <v>0.37187767</v>
      </c>
      <c r="J397" s="1" t="n">
        <v>0.3737607</v>
      </c>
      <c r="K397" s="1" t="n">
        <v>0.37005496</v>
      </c>
      <c r="L397" s="1" t="n">
        <v>0.361076355</v>
      </c>
      <c r="M397" s="1" t="n">
        <v>0.359376907</v>
      </c>
      <c r="N397" s="1" t="n">
        <v>0.368422031</v>
      </c>
      <c r="O397" s="1" t="n">
        <v>0.370183229</v>
      </c>
      <c r="P397" s="1" t="n">
        <v>0.370450735</v>
      </c>
      <c r="R397" s="1" t="n">
        <f aca="false">PERCENTILE(G397:P397,0.9)</f>
        <v>0.3727543353</v>
      </c>
      <c r="S397" s="5" t="n">
        <f aca="false">spmv_1!R$14/R397</f>
        <v>2.9631960197352</v>
      </c>
      <c r="T397" s="6" t="n">
        <f aca="false">S397/128</f>
        <v>0.0231499689041812</v>
      </c>
    </row>
    <row r="398" customFormat="false" ht="15" hidden="false" customHeight="false" outlineLevel="0" collapsed="false">
      <c r="A398" s="1" t="s">
        <v>18</v>
      </c>
      <c r="B398" s="1" t="n">
        <v>3</v>
      </c>
      <c r="D398" s="1" t="n">
        <v>6052818</v>
      </c>
      <c r="E398" s="1" t="n">
        <v>0.034664</v>
      </c>
      <c r="G398" s="1" t="n">
        <v>0.352024794</v>
      </c>
      <c r="H398" s="1" t="n">
        <v>0.341798782</v>
      </c>
      <c r="I398" s="1" t="n">
        <v>0.354187012</v>
      </c>
      <c r="J398" s="1" t="n">
        <v>0.355346918</v>
      </c>
      <c r="K398" s="1" t="n">
        <v>0.351827145</v>
      </c>
      <c r="L398" s="1" t="n">
        <v>0.342198133</v>
      </c>
      <c r="M398" s="1" t="n">
        <v>0.340746641</v>
      </c>
      <c r="N398" s="1" t="n">
        <v>0.348549128</v>
      </c>
      <c r="O398" s="1" t="n">
        <v>0.352995157</v>
      </c>
      <c r="P398" s="1" t="n">
        <v>0.352589846</v>
      </c>
      <c r="R398" s="1" t="n">
        <f aca="false">PERCENTILE(G398:P398,0.9)</f>
        <v>0.3543030026</v>
      </c>
      <c r="S398" s="5" t="n">
        <f aca="false">spmv_1!R$14/R398</f>
        <v>3.11751284802688</v>
      </c>
      <c r="T398" s="6" t="n">
        <f aca="false">S398/128</f>
        <v>0.02435556912521</v>
      </c>
    </row>
    <row r="399" customFormat="false" ht="15" hidden="false" customHeight="false" outlineLevel="0" collapsed="false">
      <c r="A399" s="1" t="s">
        <v>18</v>
      </c>
      <c r="B399" s="1" t="n">
        <v>4</v>
      </c>
      <c r="D399" s="1" t="n">
        <v>6051741</v>
      </c>
      <c r="E399" s="1" t="n">
        <v>0.034837</v>
      </c>
      <c r="G399" s="1" t="n">
        <v>0.350387573</v>
      </c>
      <c r="H399" s="1" t="n">
        <v>0.340014696</v>
      </c>
      <c r="I399" s="1" t="n">
        <v>0.3525455</v>
      </c>
      <c r="J399" s="1" t="n">
        <v>0.353475571</v>
      </c>
      <c r="K399" s="1" t="n">
        <v>0.35012722</v>
      </c>
      <c r="L399" s="1" t="n">
        <v>0.340570927</v>
      </c>
      <c r="M399" s="1" t="n">
        <v>0.33859992</v>
      </c>
      <c r="N399" s="1" t="n">
        <v>0.346759796</v>
      </c>
      <c r="O399" s="1" t="n">
        <v>0.351169348</v>
      </c>
      <c r="P399" s="1" t="n">
        <v>0.350637913</v>
      </c>
      <c r="R399" s="1" t="n">
        <f aca="false">PERCENTILE(G399:P399,0.9)</f>
        <v>0.3526385071</v>
      </c>
      <c r="S399" s="5" t="n">
        <f aca="false">spmv_1!R$14/R399</f>
        <v>3.13222787773083</v>
      </c>
      <c r="T399" s="6" t="n">
        <f aca="false">S399/128</f>
        <v>0.0244705302947721</v>
      </c>
    </row>
    <row r="400" customFormat="false" ht="15" hidden="false" customHeight="false" outlineLevel="0" collapsed="false">
      <c r="A400" s="1" t="s">
        <v>18</v>
      </c>
      <c r="B400" s="1" t="n">
        <v>5</v>
      </c>
      <c r="D400" s="1" t="n">
        <v>6050664</v>
      </c>
      <c r="E400" s="1" t="n">
        <v>0.034497</v>
      </c>
      <c r="G400" s="1" t="n">
        <v>0.354580164</v>
      </c>
      <c r="H400" s="1" t="n">
        <v>0.343088388</v>
      </c>
      <c r="I400" s="1" t="n">
        <v>0.354907036</v>
      </c>
      <c r="J400" s="1" t="n">
        <v>0.356744766</v>
      </c>
      <c r="K400" s="1" t="n">
        <v>0.352966547</v>
      </c>
      <c r="L400" s="1" t="n">
        <v>0.343973875</v>
      </c>
      <c r="M400" s="1" t="n">
        <v>0.343034744</v>
      </c>
      <c r="N400" s="1" t="n">
        <v>0.350573778</v>
      </c>
      <c r="O400" s="1" t="n">
        <v>0.354007006</v>
      </c>
      <c r="P400" s="1" t="n">
        <v>0.35402894</v>
      </c>
      <c r="R400" s="1" t="n">
        <f aca="false">PERCENTILE(G400:P400,0.9)</f>
        <v>0.355090809</v>
      </c>
      <c r="S400" s="5" t="n">
        <f aca="false">spmv_1!R$14/R400</f>
        <v>3.11059631706773</v>
      </c>
      <c r="T400" s="6" t="n">
        <f aca="false">S400/128</f>
        <v>0.0243015337270916</v>
      </c>
    </row>
    <row r="401" customFormat="false" ht="15" hidden="false" customHeight="false" outlineLevel="0" collapsed="false">
      <c r="A401" s="1" t="s">
        <v>18</v>
      </c>
      <c r="B401" s="1" t="n">
        <v>6</v>
      </c>
      <c r="D401" s="1" t="n">
        <v>6049587</v>
      </c>
      <c r="E401" s="1" t="n">
        <v>0.035236</v>
      </c>
      <c r="G401" s="1" t="n">
        <v>0.347368479</v>
      </c>
      <c r="H401" s="1" t="n">
        <v>0.335263729</v>
      </c>
      <c r="I401" s="1" t="n">
        <v>0.348676205</v>
      </c>
      <c r="J401" s="1" t="n">
        <v>0.349328756</v>
      </c>
      <c r="K401" s="1" t="n">
        <v>0.345994711</v>
      </c>
      <c r="L401" s="1" t="n">
        <v>0.336805582</v>
      </c>
      <c r="M401" s="1" t="n">
        <v>0.334123135</v>
      </c>
      <c r="N401" s="1" t="n">
        <v>0.342569351</v>
      </c>
      <c r="O401" s="1" t="n">
        <v>0.346991301</v>
      </c>
      <c r="P401" s="1" t="n">
        <v>0.346640348</v>
      </c>
      <c r="R401" s="1" t="n">
        <f aca="false">PERCENTILE(G401:P401,0.9)</f>
        <v>0.3487414601</v>
      </c>
      <c r="S401" s="5" t="n">
        <f aca="false">spmv_1!R$14/R401</f>
        <v>3.16722927748045</v>
      </c>
      <c r="T401" s="6" t="n">
        <f aca="false">S401/128</f>
        <v>0.024743978730316</v>
      </c>
    </row>
    <row r="402" customFormat="false" ht="15" hidden="false" customHeight="false" outlineLevel="0" collapsed="false">
      <c r="A402" s="1" t="s">
        <v>18</v>
      </c>
      <c r="B402" s="1" t="n">
        <v>7</v>
      </c>
      <c r="D402" s="1" t="n">
        <v>6049587</v>
      </c>
      <c r="E402" s="1" t="n">
        <v>0.035274</v>
      </c>
      <c r="G402" s="1" t="n">
        <v>0.347231388</v>
      </c>
      <c r="H402" s="1" t="n">
        <v>0.335766792</v>
      </c>
      <c r="I402" s="1" t="n">
        <v>0.348365545</v>
      </c>
      <c r="J402" s="1" t="n">
        <v>0.349133015</v>
      </c>
      <c r="K402" s="1" t="n">
        <v>0.344575405</v>
      </c>
      <c r="L402" s="1" t="n">
        <v>0.335693836</v>
      </c>
      <c r="M402" s="1" t="n">
        <v>0.334323645</v>
      </c>
      <c r="N402" s="1" t="n">
        <v>0.342558384</v>
      </c>
      <c r="O402" s="1" t="n">
        <v>0.345904112</v>
      </c>
      <c r="P402" s="1" t="n">
        <v>0.34647131</v>
      </c>
      <c r="R402" s="1" t="n">
        <f aca="false">PERCENTILE(G402:P402,0.9)</f>
        <v>0.348442292</v>
      </c>
      <c r="S402" s="5" t="n">
        <f aca="false">spmv_1!R$14/R402</f>
        <v>3.16994862007164</v>
      </c>
      <c r="T402" s="6" t="n">
        <f aca="false">S402/128</f>
        <v>0.0247652235943097</v>
      </c>
    </row>
    <row r="403" customFormat="false" ht="15" hidden="false" customHeight="false" outlineLevel="0" collapsed="false">
      <c r="A403" s="1" t="s">
        <v>18</v>
      </c>
      <c r="B403" s="1" t="n">
        <v>8</v>
      </c>
      <c r="D403" s="1" t="n">
        <v>6050664</v>
      </c>
      <c r="E403" s="1" t="n">
        <v>0.033644</v>
      </c>
      <c r="G403" s="1" t="n">
        <v>0.366084099</v>
      </c>
      <c r="H403" s="1" t="n">
        <v>0.349690199</v>
      </c>
      <c r="I403" s="1" t="n">
        <v>0.36409831</v>
      </c>
      <c r="J403" s="1" t="n">
        <v>0.366722584</v>
      </c>
      <c r="K403" s="1" t="n">
        <v>0.361343622</v>
      </c>
      <c r="L403" s="1" t="n">
        <v>0.35163784</v>
      </c>
      <c r="M403" s="1" t="n">
        <v>0.349798441</v>
      </c>
      <c r="N403" s="1" t="n">
        <v>0.360503197</v>
      </c>
      <c r="O403" s="1" t="n">
        <v>0.36333847</v>
      </c>
      <c r="P403" s="1" t="n">
        <v>0.363613605</v>
      </c>
      <c r="R403" s="1" t="n">
        <f aca="false">PERCENTILE(G403:P403,0.9)</f>
        <v>0.3661479475</v>
      </c>
      <c r="S403" s="5" t="n">
        <f aca="false">spmv_1!R$14/R403</f>
        <v>3.01666080676309</v>
      </c>
      <c r="T403" s="6" t="n">
        <f aca="false">S403/128</f>
        <v>0.0235676625528367</v>
      </c>
    </row>
    <row r="404" customFormat="false" ht="15" hidden="false" customHeight="false" outlineLevel="0" collapsed="false">
      <c r="A404" s="1" t="s">
        <v>18</v>
      </c>
      <c r="B404" s="1" t="n">
        <v>9</v>
      </c>
      <c r="D404" s="1" t="n">
        <v>6051741</v>
      </c>
      <c r="E404" s="1" t="n">
        <v>0.03506</v>
      </c>
      <c r="G404" s="1" t="n">
        <v>0.350215673</v>
      </c>
      <c r="H404" s="1" t="n">
        <v>0.33642149</v>
      </c>
      <c r="I404" s="1" t="n">
        <v>0.349359274</v>
      </c>
      <c r="J404" s="1" t="n">
        <v>0.351941586</v>
      </c>
      <c r="K404" s="1" t="n">
        <v>0.346802473</v>
      </c>
      <c r="L404" s="1" t="n">
        <v>0.338047504</v>
      </c>
      <c r="M404" s="1" t="n">
        <v>0.336620808</v>
      </c>
      <c r="N404" s="1" t="n">
        <v>0.344853163</v>
      </c>
      <c r="O404" s="1" t="n">
        <v>0.349108934</v>
      </c>
      <c r="P404" s="1" t="n">
        <v>0.348829508</v>
      </c>
      <c r="R404" s="1" t="n">
        <f aca="false">PERCENTILE(G404:P404,0.9)</f>
        <v>0.3503882643</v>
      </c>
      <c r="S404" s="5" t="n">
        <f aca="false">spmv_1!R$14/R404</f>
        <v>3.15234348646534</v>
      </c>
      <c r="T404" s="6" t="n">
        <f aca="false">S404/128</f>
        <v>0.0246276834880105</v>
      </c>
    </row>
    <row r="405" customFormat="false" ht="15" hidden="false" customHeight="false" outlineLevel="0" collapsed="false">
      <c r="A405" s="1" t="s">
        <v>18</v>
      </c>
      <c r="B405" s="1" t="n">
        <v>10</v>
      </c>
      <c r="D405" s="1" t="n">
        <v>6052818</v>
      </c>
      <c r="E405" s="1" t="n">
        <v>0.033997</v>
      </c>
      <c r="G405" s="1" t="n">
        <v>0.363715649</v>
      </c>
      <c r="H405" s="1" t="n">
        <v>0.344968319</v>
      </c>
      <c r="I405" s="1" t="n">
        <v>0.360550404</v>
      </c>
      <c r="J405" s="1" t="n">
        <v>0.363638163</v>
      </c>
      <c r="K405" s="1" t="n">
        <v>0.35722518</v>
      </c>
      <c r="L405" s="1" t="n">
        <v>0.3471241</v>
      </c>
      <c r="M405" s="1" t="n">
        <v>0.346491337</v>
      </c>
      <c r="N405" s="1" t="n">
        <v>0.357199669</v>
      </c>
      <c r="O405" s="1" t="n">
        <v>0.35969615</v>
      </c>
      <c r="P405" s="1" t="n">
        <v>0.360145092</v>
      </c>
      <c r="R405" s="1" t="n">
        <f aca="false">PERCENTILE(G405:P405,0.9)</f>
        <v>0.3636459116</v>
      </c>
      <c r="S405" s="5" t="n">
        <f aca="false">spmv_1!R$14/R405</f>
        <v>3.0374166942786</v>
      </c>
      <c r="T405" s="6" t="n">
        <f aca="false">S405/128</f>
        <v>0.0237298179240516</v>
      </c>
    </row>
    <row r="406" customFormat="false" ht="15" hidden="false" customHeight="false" outlineLevel="0" collapsed="false">
      <c r="A406" s="1" t="s">
        <v>18</v>
      </c>
      <c r="B406" s="1" t="n">
        <v>11</v>
      </c>
      <c r="D406" s="1" t="n">
        <v>6052818</v>
      </c>
      <c r="E406" s="1" t="n">
        <v>0.035471</v>
      </c>
      <c r="G406" s="1" t="n">
        <v>0.347126245</v>
      </c>
      <c r="H406" s="1" t="n">
        <v>0.331353188</v>
      </c>
      <c r="I406" s="1" t="n">
        <v>0.345391035</v>
      </c>
      <c r="J406" s="1" t="n">
        <v>0.347945929</v>
      </c>
      <c r="K406" s="1" t="n">
        <v>0.342603207</v>
      </c>
      <c r="L406" s="1" t="n">
        <v>0.33292222</v>
      </c>
      <c r="M406" s="1" t="n">
        <v>0.333429337</v>
      </c>
      <c r="N406" s="1" t="n">
        <v>0.341683149</v>
      </c>
      <c r="O406" s="1" t="n">
        <v>0.345508814</v>
      </c>
      <c r="P406" s="1" t="n">
        <v>0.344907284</v>
      </c>
      <c r="R406" s="1" t="n">
        <f aca="false">PERCENTILE(G406:P406,0.9)</f>
        <v>0.3472082134</v>
      </c>
      <c r="S406" s="5" t="n">
        <f aca="false">spmv_1!R$14/R406</f>
        <v>3.18121553601474</v>
      </c>
      <c r="T406" s="6" t="n">
        <f aca="false">S406/128</f>
        <v>0.0248532463751151</v>
      </c>
    </row>
    <row r="407" customFormat="false" ht="15" hidden="false" customHeight="false" outlineLevel="0" collapsed="false">
      <c r="A407" s="1" t="s">
        <v>18</v>
      </c>
      <c r="B407" s="1" t="n">
        <v>12</v>
      </c>
      <c r="D407" s="1" t="n">
        <v>6051741</v>
      </c>
      <c r="E407" s="1" t="n">
        <v>0.034459</v>
      </c>
      <c r="G407" s="1" t="n">
        <v>0.360019207</v>
      </c>
      <c r="H407" s="1" t="n">
        <v>0.340726376</v>
      </c>
      <c r="I407" s="1" t="n">
        <v>0.354522705</v>
      </c>
      <c r="J407" s="1" t="n">
        <v>0.358391523</v>
      </c>
      <c r="K407" s="1" t="n">
        <v>0.351197481</v>
      </c>
      <c r="L407" s="1" t="n">
        <v>0.341192961</v>
      </c>
      <c r="M407" s="1" t="n">
        <v>0.342615366</v>
      </c>
      <c r="N407" s="1" t="n">
        <v>0.352900505</v>
      </c>
      <c r="O407" s="1" t="n">
        <v>0.355621576</v>
      </c>
      <c r="P407" s="1" t="n">
        <v>0.355210304</v>
      </c>
      <c r="R407" s="1" t="n">
        <f aca="false">PERCENTILE(G407:P407,0.9)</f>
        <v>0.3585542914</v>
      </c>
      <c r="S407" s="5" t="n">
        <f aca="false">spmv_1!R$14/R407</f>
        <v>3.08054927577977</v>
      </c>
      <c r="T407" s="6" t="n">
        <f aca="false">S407/128</f>
        <v>0.0240667912170295</v>
      </c>
    </row>
    <row r="408" customFormat="false" ht="15" hidden="false" customHeight="false" outlineLevel="0" collapsed="false">
      <c r="A408" s="1" t="s">
        <v>18</v>
      </c>
      <c r="B408" s="1" t="n">
        <v>13</v>
      </c>
      <c r="D408" s="1" t="n">
        <v>6050664</v>
      </c>
      <c r="E408" s="1" t="n">
        <v>0.034263</v>
      </c>
      <c r="G408" s="1" t="n">
        <v>0.362666368</v>
      </c>
      <c r="H408" s="1" t="n">
        <v>0.347321033</v>
      </c>
      <c r="I408" s="1" t="n">
        <v>0.355527639</v>
      </c>
      <c r="J408" s="1" t="n">
        <v>0.358010292</v>
      </c>
      <c r="K408" s="1" t="n">
        <v>0.35274148</v>
      </c>
      <c r="L408" s="1" t="n">
        <v>0.34766674</v>
      </c>
      <c r="M408" s="1" t="n">
        <v>0.344161272</v>
      </c>
      <c r="N408" s="1" t="n">
        <v>0.353770494</v>
      </c>
      <c r="O408" s="1" t="n">
        <v>0.355515957</v>
      </c>
      <c r="P408" s="1" t="n">
        <v>0.354561567</v>
      </c>
      <c r="R408" s="1" t="n">
        <f aca="false">PERCENTILE(G408:P408,0.9)</f>
        <v>0.3584758996</v>
      </c>
      <c r="S408" s="5" t="n">
        <f aca="false">spmv_1!R$14/R408</f>
        <v>3.08122293278987</v>
      </c>
      <c r="T408" s="6" t="n">
        <f aca="false">S408/128</f>
        <v>0.0240720541624209</v>
      </c>
    </row>
    <row r="409" customFormat="false" ht="15" hidden="false" customHeight="false" outlineLevel="0" collapsed="false">
      <c r="A409" s="1" t="s">
        <v>18</v>
      </c>
      <c r="B409" s="1" t="n">
        <v>14</v>
      </c>
      <c r="D409" s="1" t="n">
        <v>6049946</v>
      </c>
      <c r="E409" s="1" t="n">
        <v>0.03635</v>
      </c>
      <c r="G409" s="1" t="n">
        <v>0.339861393</v>
      </c>
      <c r="H409" s="1" t="n">
        <v>0.33010149</v>
      </c>
      <c r="I409" s="1" t="n">
        <v>0.335043669</v>
      </c>
      <c r="J409" s="1" t="n">
        <v>0.336870909</v>
      </c>
      <c r="K409" s="1" t="n">
        <v>0.333624601</v>
      </c>
      <c r="L409" s="1" t="n">
        <v>0.329647541</v>
      </c>
      <c r="M409" s="1" t="n">
        <v>0.325613737</v>
      </c>
      <c r="N409" s="1" t="n">
        <v>0.331710339</v>
      </c>
      <c r="O409" s="1" t="n">
        <v>0.333194494</v>
      </c>
      <c r="P409" s="1" t="n">
        <v>0.333032608</v>
      </c>
      <c r="R409" s="1" t="n">
        <f aca="false">PERCENTILE(G409:P409,0.9)</f>
        <v>0.3371699574</v>
      </c>
      <c r="S409" s="5" t="n">
        <f aca="false">spmv_1!R$14/R409</f>
        <v>3.27592698714147</v>
      </c>
      <c r="T409" s="6" t="n">
        <f aca="false">S409/128</f>
        <v>0.0255931795870427</v>
      </c>
    </row>
    <row r="410" customFormat="false" ht="15" hidden="false" customHeight="false" outlineLevel="0" collapsed="false">
      <c r="A410" s="1" t="s">
        <v>18</v>
      </c>
      <c r="B410" s="1" t="n">
        <v>15</v>
      </c>
      <c r="D410" s="1" t="n">
        <v>6049945</v>
      </c>
      <c r="E410" s="1" t="n">
        <v>0.035734</v>
      </c>
      <c r="G410" s="1" t="n">
        <v>0.348760605</v>
      </c>
      <c r="H410" s="1" t="n">
        <v>0.337132931</v>
      </c>
      <c r="I410" s="1" t="n">
        <v>0.335479021</v>
      </c>
      <c r="J410" s="1" t="n">
        <v>0.338775158</v>
      </c>
      <c r="K410" s="1" t="n">
        <v>0.343432188</v>
      </c>
      <c r="L410" s="1" t="n">
        <v>0.337651253</v>
      </c>
      <c r="M410" s="1" t="n">
        <v>0.335388899</v>
      </c>
      <c r="N410" s="1" t="n">
        <v>0.336487532</v>
      </c>
      <c r="O410" s="1" t="n">
        <v>0.336905241</v>
      </c>
      <c r="P410" s="1" t="n">
        <v>0.336103201</v>
      </c>
      <c r="R410" s="1" t="n">
        <f aca="false">PERCENTILE(G410:P410,0.9)</f>
        <v>0.3439650297</v>
      </c>
      <c r="S410" s="5" t="n">
        <f aca="false">spmv_1!R$14/R410</f>
        <v>3.21121063866104</v>
      </c>
      <c r="T410" s="6" t="n">
        <f aca="false">S410/128</f>
        <v>0.0250875831145394</v>
      </c>
    </row>
    <row r="411" customFormat="false" ht="15" hidden="false" customHeight="false" outlineLevel="0" collapsed="false">
      <c r="A411" s="1" t="s">
        <v>18</v>
      </c>
      <c r="B411" s="1" t="n">
        <v>16</v>
      </c>
      <c r="D411" s="1" t="n">
        <v>6050296</v>
      </c>
      <c r="E411" s="1" t="n">
        <v>0.036176</v>
      </c>
      <c r="G411" s="1" t="n">
        <v>0.345094204</v>
      </c>
      <c r="H411" s="1" t="n">
        <v>0.333919287</v>
      </c>
      <c r="I411" s="1" t="n">
        <v>0.333235502</v>
      </c>
      <c r="J411" s="1" t="n">
        <v>0.333766699</v>
      </c>
      <c r="K411" s="1" t="n">
        <v>0.340383768</v>
      </c>
      <c r="L411" s="1" t="n">
        <v>0.334751606</v>
      </c>
      <c r="M411" s="1" t="n">
        <v>0.331394434</v>
      </c>
      <c r="N411" s="1" t="n">
        <v>0.333949327</v>
      </c>
      <c r="O411" s="1" t="n">
        <v>0.328995943</v>
      </c>
      <c r="P411" s="1" t="n">
        <v>0.329409361</v>
      </c>
      <c r="R411" s="1" t="n">
        <f aca="false">PERCENTILE(G411:P411,0.9)</f>
        <v>0.3408548116</v>
      </c>
      <c r="S411" s="5" t="n">
        <f aca="false">spmv_1!R$14/R411</f>
        <v>3.24051216268646</v>
      </c>
      <c r="T411" s="6" t="n">
        <f aca="false">S411/128</f>
        <v>0.0253165012709879</v>
      </c>
    </row>
    <row r="412" customFormat="false" ht="15" hidden="false" customHeight="false" outlineLevel="0" collapsed="false">
      <c r="A412" s="1" t="s">
        <v>18</v>
      </c>
      <c r="B412" s="1" t="n">
        <v>17</v>
      </c>
      <c r="D412" s="1" t="n">
        <v>6051729</v>
      </c>
      <c r="E412" s="1" t="n">
        <v>0.035952</v>
      </c>
      <c r="G412" s="1" t="n">
        <v>0.346719265</v>
      </c>
      <c r="H412" s="1" t="n">
        <v>0.335644722</v>
      </c>
      <c r="I412" s="1" t="n">
        <v>0.33540988</v>
      </c>
      <c r="J412" s="1" t="n">
        <v>0.336784124</v>
      </c>
      <c r="K412" s="1" t="n">
        <v>0.342808485</v>
      </c>
      <c r="L412" s="1" t="n">
        <v>0.336857557</v>
      </c>
      <c r="M412" s="1" t="n">
        <v>0.333498478</v>
      </c>
      <c r="N412" s="1" t="n">
        <v>0.335863352</v>
      </c>
      <c r="O412" s="1" t="n">
        <v>0.330980062</v>
      </c>
      <c r="P412" s="1" t="n">
        <v>0.332006693</v>
      </c>
      <c r="R412" s="1" t="n">
        <f aca="false">PERCENTILE(G412:P412,0.9)</f>
        <v>0.343199563</v>
      </c>
      <c r="S412" s="5" t="n">
        <f aca="false">spmv_1!R$14/R412</f>
        <v>3.21837287042233</v>
      </c>
      <c r="T412" s="6" t="n">
        <f aca="false">S412/128</f>
        <v>0.0251435380501745</v>
      </c>
    </row>
    <row r="413" customFormat="false" ht="15" hidden="false" customHeight="false" outlineLevel="0" collapsed="false">
      <c r="A413" s="1" t="s">
        <v>18</v>
      </c>
      <c r="B413" s="1" t="n">
        <v>18</v>
      </c>
      <c r="D413" s="1" t="n">
        <v>6050652</v>
      </c>
      <c r="E413" s="1" t="n">
        <v>0.036121</v>
      </c>
      <c r="G413" s="1" t="n">
        <v>0.346103191</v>
      </c>
      <c r="H413" s="1" t="n">
        <v>0.333791256</v>
      </c>
      <c r="I413" s="1" t="n">
        <v>0.332592964</v>
      </c>
      <c r="J413" s="1" t="n">
        <v>0.333672285</v>
      </c>
      <c r="K413" s="1" t="n">
        <v>0.343455315</v>
      </c>
      <c r="L413" s="1" t="n">
        <v>0.337444544</v>
      </c>
      <c r="M413" s="1" t="n">
        <v>0.33259201</v>
      </c>
      <c r="N413" s="1" t="n">
        <v>0.333168983</v>
      </c>
      <c r="O413" s="1" t="n">
        <v>0.328461647</v>
      </c>
      <c r="P413" s="1" t="n">
        <v>0.328968525</v>
      </c>
      <c r="R413" s="1" t="n">
        <f aca="false">PERCENTILE(G413:P413,0.9)</f>
        <v>0.3437201026</v>
      </c>
      <c r="S413" s="5" t="n">
        <f aca="false">spmv_1!R$14/R413</f>
        <v>3.21349887406906</v>
      </c>
      <c r="T413" s="6" t="n">
        <f aca="false">S413/128</f>
        <v>0.0251054599536645</v>
      </c>
    </row>
    <row r="414" customFormat="false" ht="15" hidden="false" customHeight="false" outlineLevel="0" collapsed="false">
      <c r="A414" s="1" t="s">
        <v>18</v>
      </c>
      <c r="B414" s="1" t="n">
        <v>19</v>
      </c>
      <c r="D414" s="1" t="n">
        <v>6049575</v>
      </c>
      <c r="E414" s="1" t="n">
        <v>0.030235</v>
      </c>
      <c r="G414" s="1" t="n">
        <v>0.409157991</v>
      </c>
      <c r="H414" s="1" t="n">
        <v>0.395893097</v>
      </c>
      <c r="I414" s="1" t="n">
        <v>0.399254799</v>
      </c>
      <c r="J414" s="1" t="n">
        <v>0.401395082</v>
      </c>
      <c r="K414" s="1" t="n">
        <v>0.406080246</v>
      </c>
      <c r="L414" s="1" t="n">
        <v>0.398334026</v>
      </c>
      <c r="M414" s="1" t="n">
        <v>0.396202326</v>
      </c>
      <c r="N414" s="1" t="n">
        <v>0.399977922</v>
      </c>
      <c r="O414" s="1" t="n">
        <v>0.397223949</v>
      </c>
      <c r="P414" s="1" t="n">
        <v>0.398195267</v>
      </c>
      <c r="R414" s="1" t="n">
        <f aca="false">PERCENTILE(G414:P414,0.9)</f>
        <v>0.4063880205</v>
      </c>
      <c r="S414" s="5" t="n">
        <f aca="false">spmv_1!R$14/R414</f>
        <v>2.71795453355397</v>
      </c>
      <c r="T414" s="6" t="n">
        <f aca="false">S414/128</f>
        <v>0.0212340197933904</v>
      </c>
    </row>
    <row r="415" customFormat="false" ht="15" hidden="false" customHeight="false" outlineLevel="0" collapsed="false">
      <c r="A415" s="1" t="s">
        <v>18</v>
      </c>
      <c r="B415" s="1" t="n">
        <v>20</v>
      </c>
      <c r="D415" s="1" t="n">
        <v>6048498</v>
      </c>
      <c r="E415" s="1" t="n">
        <v>0.033419</v>
      </c>
      <c r="G415" s="1" t="n">
        <v>0.372036695</v>
      </c>
      <c r="H415" s="1" t="n">
        <v>0.357522726</v>
      </c>
      <c r="I415" s="1" t="n">
        <v>0.361680984</v>
      </c>
      <c r="J415" s="1" t="n">
        <v>0.363804102</v>
      </c>
      <c r="K415" s="1" t="n">
        <v>0.367331028</v>
      </c>
      <c r="L415" s="1" t="n">
        <v>0.359417915</v>
      </c>
      <c r="M415" s="1" t="n">
        <v>0.357481241</v>
      </c>
      <c r="N415" s="1" t="n">
        <v>0.362164736</v>
      </c>
      <c r="O415" s="1" t="n">
        <v>0.358413458</v>
      </c>
      <c r="P415" s="1" t="n">
        <v>0.359961748</v>
      </c>
      <c r="R415" s="1" t="n">
        <f aca="false">PERCENTILE(G415:P415,0.9)</f>
        <v>0.3678015947</v>
      </c>
      <c r="S415" s="5" t="n">
        <f aca="false">spmv_1!R$14/R415</f>
        <v>3.00309780766701</v>
      </c>
      <c r="T415" s="6" t="n">
        <f aca="false">S415/128</f>
        <v>0.0234617016223985</v>
      </c>
    </row>
    <row r="416" customFormat="false" ht="15" hidden="false" customHeight="false" outlineLevel="0" collapsed="false">
      <c r="A416" s="1" t="s">
        <v>18</v>
      </c>
      <c r="B416" s="1" t="n">
        <v>21</v>
      </c>
      <c r="D416" s="1" t="n">
        <v>6048498</v>
      </c>
      <c r="E416" s="1" t="n">
        <v>0.034612</v>
      </c>
      <c r="G416" s="1" t="n">
        <v>0.357513428</v>
      </c>
      <c r="H416" s="1" t="n">
        <v>0.345676661</v>
      </c>
      <c r="I416" s="1" t="n">
        <v>0.349542856</v>
      </c>
      <c r="J416" s="1" t="n">
        <v>0.351310015</v>
      </c>
      <c r="K416" s="1" t="n">
        <v>0.355403185</v>
      </c>
      <c r="L416" s="1" t="n">
        <v>0.347213745</v>
      </c>
      <c r="M416" s="1" t="n">
        <v>0.345901489</v>
      </c>
      <c r="N416" s="1" t="n">
        <v>0.348423958</v>
      </c>
      <c r="O416" s="1" t="n">
        <v>0.346492529</v>
      </c>
      <c r="P416" s="1" t="n">
        <v>0.347580433</v>
      </c>
      <c r="R416" s="1" t="n">
        <f aca="false">PERCENTILE(G416:P416,0.9)</f>
        <v>0.3556142093</v>
      </c>
      <c r="S416" s="5" t="n">
        <f aca="false">spmv_1!R$14/R416</f>
        <v>3.10601807749531</v>
      </c>
      <c r="T416" s="6" t="n">
        <f aca="false">S416/128</f>
        <v>0.0242657662304321</v>
      </c>
    </row>
    <row r="417" customFormat="false" ht="15" hidden="false" customHeight="false" outlineLevel="0" collapsed="false">
      <c r="A417" s="1" t="s">
        <v>18</v>
      </c>
      <c r="B417" s="1" t="n">
        <v>22</v>
      </c>
      <c r="D417" s="1" t="n">
        <v>6049575</v>
      </c>
      <c r="E417" s="1" t="n">
        <v>0.033217</v>
      </c>
      <c r="G417" s="1" t="n">
        <v>0.373767853</v>
      </c>
      <c r="H417" s="1" t="n">
        <v>0.358972788</v>
      </c>
      <c r="I417" s="1" t="n">
        <v>0.363722801</v>
      </c>
      <c r="J417" s="1" t="n">
        <v>0.36698246</v>
      </c>
      <c r="K417" s="1" t="n">
        <v>0.369612455</v>
      </c>
      <c r="L417" s="1" t="n">
        <v>0.36124754</v>
      </c>
      <c r="M417" s="1" t="n">
        <v>0.359504938</v>
      </c>
      <c r="N417" s="1" t="n">
        <v>0.364217997</v>
      </c>
      <c r="O417" s="1" t="n">
        <v>0.361404896</v>
      </c>
      <c r="P417" s="1" t="n">
        <v>0.363036394</v>
      </c>
      <c r="R417" s="1" t="n">
        <f aca="false">PERCENTILE(G417:P417,0.9)</f>
        <v>0.3700279948</v>
      </c>
      <c r="S417" s="5" t="n">
        <f aca="false">spmv_1!R$14/R417</f>
        <v>2.98502864167617</v>
      </c>
      <c r="T417" s="6" t="n">
        <f aca="false">S417/128</f>
        <v>0.0233205362630951</v>
      </c>
    </row>
    <row r="418" customFormat="false" ht="15" hidden="false" customHeight="false" outlineLevel="0" collapsed="false">
      <c r="A418" s="1" t="s">
        <v>18</v>
      </c>
      <c r="B418" s="1" t="n">
        <v>23</v>
      </c>
      <c r="D418" s="1" t="n">
        <v>6050652</v>
      </c>
      <c r="E418" s="1" t="n">
        <v>0.034319</v>
      </c>
      <c r="G418" s="1" t="n">
        <v>0.360304117</v>
      </c>
      <c r="H418" s="1" t="n">
        <v>0.348283291</v>
      </c>
      <c r="I418" s="1" t="n">
        <v>0.352486134</v>
      </c>
      <c r="J418" s="1" t="n">
        <v>0.354674578</v>
      </c>
      <c r="K418" s="1" t="n">
        <v>0.358000278</v>
      </c>
      <c r="L418" s="1" t="n">
        <v>0.350698948</v>
      </c>
      <c r="M418" s="1" t="n">
        <v>0.348476648</v>
      </c>
      <c r="N418" s="1" t="n">
        <v>0.351775646</v>
      </c>
      <c r="O418" s="1" t="n">
        <v>0.349938869</v>
      </c>
      <c r="P418" s="1" t="n">
        <v>0.351448059</v>
      </c>
      <c r="R418" s="1" t="n">
        <f aca="false">PERCENTILE(G418:P418,0.9)</f>
        <v>0.3582306619</v>
      </c>
      <c r="S418" s="5" t="n">
        <f aca="false">spmv_1!R$14/R418</f>
        <v>3.08333227770529</v>
      </c>
      <c r="T418" s="6" t="n">
        <f aca="false">S418/128</f>
        <v>0.0240885334195726</v>
      </c>
    </row>
    <row r="419" customFormat="false" ht="15" hidden="false" customHeight="false" outlineLevel="0" collapsed="false">
      <c r="A419" s="1" t="s">
        <v>18</v>
      </c>
      <c r="B419" s="1" t="n">
        <v>24</v>
      </c>
      <c r="D419" s="1" t="n">
        <v>6051729</v>
      </c>
      <c r="E419" s="1" t="n">
        <v>0.03455</v>
      </c>
      <c r="G419" s="1" t="n">
        <v>0.3590734</v>
      </c>
      <c r="H419" s="1" t="n">
        <v>0.347910404</v>
      </c>
      <c r="I419" s="1" t="n">
        <v>0.34955287</v>
      </c>
      <c r="J419" s="1" t="n">
        <v>0.351264238</v>
      </c>
      <c r="K419" s="1" t="n">
        <v>0.356092215</v>
      </c>
      <c r="L419" s="1" t="n">
        <v>0.349429846</v>
      </c>
      <c r="M419" s="1" t="n">
        <v>0.346017122</v>
      </c>
      <c r="N419" s="1" t="n">
        <v>0.349364519</v>
      </c>
      <c r="O419" s="1" t="n">
        <v>0.345900536</v>
      </c>
      <c r="P419" s="1" t="n">
        <v>0.348533392</v>
      </c>
      <c r="R419" s="1" t="n">
        <f aca="false">PERCENTILE(G419:P419,0.9)</f>
        <v>0.3563903335</v>
      </c>
      <c r="S419" s="5" t="n">
        <f aca="false">spmv_1!R$14/R419</f>
        <v>3.0992539888852</v>
      </c>
      <c r="T419" s="6" t="n">
        <f aca="false">S419/128</f>
        <v>0.0242129217881656</v>
      </c>
    </row>
    <row r="420" customFormat="false" ht="15" hidden="false" customHeight="false" outlineLevel="0" collapsed="false">
      <c r="A420" s="1" t="s">
        <v>18</v>
      </c>
      <c r="B420" s="1" t="n">
        <v>25</v>
      </c>
      <c r="D420" s="1" t="n">
        <v>6051729</v>
      </c>
      <c r="E420" s="1" t="n">
        <v>0.032865</v>
      </c>
      <c r="G420" s="1" t="n">
        <v>0.376690626</v>
      </c>
      <c r="H420" s="1" t="n">
        <v>0.362585545</v>
      </c>
      <c r="I420" s="1" t="n">
        <v>0.368508816</v>
      </c>
      <c r="J420" s="1" t="n">
        <v>0.370980978</v>
      </c>
      <c r="K420" s="1" t="n">
        <v>0.373729944</v>
      </c>
      <c r="L420" s="1" t="n">
        <v>0.364532232</v>
      </c>
      <c r="M420" s="1" t="n">
        <v>0.363187551</v>
      </c>
      <c r="N420" s="1" t="n">
        <v>0.368765593</v>
      </c>
      <c r="O420" s="1" t="n">
        <v>0.365816593</v>
      </c>
      <c r="P420" s="1" t="n">
        <v>0.368018866</v>
      </c>
      <c r="R420" s="1" t="n">
        <f aca="false">PERCENTILE(G420:P420,0.9)</f>
        <v>0.3740260122</v>
      </c>
      <c r="S420" s="5" t="n">
        <f aca="false">spmv_1!R$14/R420</f>
        <v>2.9531212447047</v>
      </c>
      <c r="T420" s="6" t="n">
        <f aca="false">S420/128</f>
        <v>0.0230712597242555</v>
      </c>
    </row>
    <row r="421" customFormat="false" ht="15" hidden="false" customHeight="false" outlineLevel="0" collapsed="false">
      <c r="A421" s="1" t="s">
        <v>18</v>
      </c>
      <c r="B421" s="1" t="n">
        <v>26</v>
      </c>
      <c r="D421" s="1" t="n">
        <v>6050652</v>
      </c>
      <c r="E421" s="1" t="n">
        <v>0.03434</v>
      </c>
      <c r="G421" s="1" t="n">
        <v>0.361134052</v>
      </c>
      <c r="H421" s="1" t="n">
        <v>0.348445177</v>
      </c>
      <c r="I421" s="1" t="n">
        <v>0.350963116</v>
      </c>
      <c r="J421" s="1" t="n">
        <v>0.353541613</v>
      </c>
      <c r="K421" s="1" t="n">
        <v>0.359120607</v>
      </c>
      <c r="L421" s="1" t="n">
        <v>0.349836349</v>
      </c>
      <c r="M421" s="1" t="n">
        <v>0.347658157</v>
      </c>
      <c r="N421" s="1" t="n">
        <v>0.351436138</v>
      </c>
      <c r="O421" s="1" t="n">
        <v>0.349740505</v>
      </c>
      <c r="P421" s="1" t="n">
        <v>0.352057457</v>
      </c>
      <c r="R421" s="1" t="n">
        <f aca="false">PERCENTILE(G421:P421,0.9)</f>
        <v>0.3593219515</v>
      </c>
      <c r="S421" s="5" t="n">
        <f aca="false">spmv_1!R$14/R421</f>
        <v>3.07396795016015</v>
      </c>
      <c r="T421" s="6" t="n">
        <f aca="false">S421/128</f>
        <v>0.0240153746106262</v>
      </c>
    </row>
    <row r="422" customFormat="false" ht="15" hidden="false" customHeight="false" outlineLevel="0" collapsed="false">
      <c r="A422" s="1" t="s">
        <v>18</v>
      </c>
      <c r="B422" s="1" t="n">
        <v>27</v>
      </c>
      <c r="D422" s="1" t="n">
        <v>6049575</v>
      </c>
      <c r="E422" s="1" t="n">
        <v>0.033966</v>
      </c>
      <c r="G422" s="1" t="n">
        <v>0.365486383</v>
      </c>
      <c r="H422" s="1" t="n">
        <v>0.353406668</v>
      </c>
      <c r="I422" s="1" t="n">
        <v>0.354921818</v>
      </c>
      <c r="J422" s="1" t="n">
        <v>0.357420444</v>
      </c>
      <c r="K422" s="1" t="n">
        <v>0.362528086</v>
      </c>
      <c r="L422" s="1" t="n">
        <v>0.353850365</v>
      </c>
      <c r="M422" s="1" t="n">
        <v>0.35153389</v>
      </c>
      <c r="N422" s="1" t="n">
        <v>0.35589385</v>
      </c>
      <c r="O422" s="1" t="n">
        <v>0.351960421</v>
      </c>
      <c r="P422" s="1" t="n">
        <v>0.355086327</v>
      </c>
      <c r="R422" s="1" t="n">
        <f aca="false">PERCENTILE(G422:P422,0.9)</f>
        <v>0.3628239157</v>
      </c>
      <c r="S422" s="5" t="n">
        <f aca="false">spmv_1!R$14/R422</f>
        <v>3.04429811515868</v>
      </c>
      <c r="T422" s="6" t="n">
        <f aca="false">S422/128</f>
        <v>0.0237835790246772</v>
      </c>
    </row>
    <row r="423" customFormat="false" ht="15" hidden="false" customHeight="false" outlineLevel="0" collapsed="false">
      <c r="A423" s="1" t="s">
        <v>18</v>
      </c>
      <c r="B423" s="1" t="n">
        <v>28</v>
      </c>
      <c r="D423" s="1" t="n">
        <v>6048498</v>
      </c>
      <c r="E423" s="1" t="n">
        <v>0.033571</v>
      </c>
      <c r="G423" s="1" t="n">
        <v>0.369151592</v>
      </c>
      <c r="H423" s="1" t="n">
        <v>0.3563869</v>
      </c>
      <c r="I423" s="1" t="n">
        <v>0.35912919</v>
      </c>
      <c r="J423" s="1" t="n">
        <v>0.362218857</v>
      </c>
      <c r="K423" s="1" t="n">
        <v>0.365916491</v>
      </c>
      <c r="L423" s="1" t="n">
        <v>0.356402397</v>
      </c>
      <c r="M423" s="1" t="n">
        <v>0.356592655</v>
      </c>
      <c r="N423" s="1" t="n">
        <v>0.359711885</v>
      </c>
      <c r="O423" s="1" t="n">
        <v>0.35748601</v>
      </c>
      <c r="P423" s="1" t="n">
        <v>0.36039114</v>
      </c>
      <c r="R423" s="1" t="n">
        <f aca="false">PERCENTILE(G423:P423,0.9)</f>
        <v>0.3662400011</v>
      </c>
      <c r="S423" s="5" t="n">
        <f aca="false">spmv_1!R$14/R423</f>
        <v>3.01590257585875</v>
      </c>
      <c r="T423" s="6" t="n">
        <f aca="false">S423/128</f>
        <v>0.0235617388738965</v>
      </c>
    </row>
    <row r="424" customFormat="false" ht="15" hidden="false" customHeight="false" outlineLevel="0" collapsed="false">
      <c r="A424" s="1" t="s">
        <v>18</v>
      </c>
      <c r="B424" s="1" t="n">
        <v>29</v>
      </c>
      <c r="D424" s="1" t="n">
        <v>6048498</v>
      </c>
      <c r="E424" s="1" t="n">
        <v>0.033638</v>
      </c>
      <c r="G424" s="1" t="n">
        <v>0.368632078</v>
      </c>
      <c r="H424" s="1" t="n">
        <v>0.356920719</v>
      </c>
      <c r="I424" s="1" t="n">
        <v>0.358315706</v>
      </c>
      <c r="J424" s="1" t="n">
        <v>0.360861778</v>
      </c>
      <c r="K424" s="1" t="n">
        <v>0.365748167</v>
      </c>
      <c r="L424" s="1" t="n">
        <v>0.356853008</v>
      </c>
      <c r="M424" s="1" t="n">
        <v>0.356310844</v>
      </c>
      <c r="N424" s="1" t="n">
        <v>0.359166145</v>
      </c>
      <c r="O424" s="1" t="n">
        <v>0.355016708</v>
      </c>
      <c r="P424" s="1" t="n">
        <v>0.358361244</v>
      </c>
      <c r="R424" s="1" t="n">
        <f aca="false">PERCENTILE(G424:P424,0.9)</f>
        <v>0.3660365581</v>
      </c>
      <c r="S424" s="5" t="n">
        <f aca="false">spmv_1!R$14/R424</f>
        <v>3.01757881352999</v>
      </c>
      <c r="T424" s="6" t="n">
        <f aca="false">S424/128</f>
        <v>0.0235748344807031</v>
      </c>
    </row>
    <row r="425" customFormat="false" ht="15" hidden="false" customHeight="false" outlineLevel="0" collapsed="false">
      <c r="A425" s="1" t="s">
        <v>18</v>
      </c>
      <c r="B425" s="1" t="n">
        <v>30</v>
      </c>
      <c r="D425" s="1" t="n">
        <v>6049216</v>
      </c>
      <c r="E425" s="1" t="n">
        <v>0.033519</v>
      </c>
      <c r="G425" s="1" t="n">
        <v>0.370356321</v>
      </c>
      <c r="H425" s="1" t="n">
        <v>0.358125925</v>
      </c>
      <c r="I425" s="1" t="n">
        <v>0.359793663</v>
      </c>
      <c r="J425" s="1" t="n">
        <v>0.362184286</v>
      </c>
      <c r="K425" s="1" t="n">
        <v>0.367105722</v>
      </c>
      <c r="L425" s="1" t="n">
        <v>0.358261108</v>
      </c>
      <c r="M425" s="1" t="n">
        <v>0.357166052</v>
      </c>
      <c r="N425" s="1" t="n">
        <v>0.360358715</v>
      </c>
      <c r="O425" s="1" t="n">
        <v>0.35628581</v>
      </c>
      <c r="P425" s="1" t="n">
        <v>0.359826088</v>
      </c>
      <c r="R425" s="1" t="n">
        <f aca="false">PERCENTILE(G425:P425,0.9)</f>
        <v>0.3674307819</v>
      </c>
      <c r="S425" s="5" t="n">
        <f aca="false">spmv_1!R$14/R425</f>
        <v>3.00612854750045</v>
      </c>
      <c r="T425" s="6" t="n">
        <f aca="false">S425/128</f>
        <v>0.0234853792773472</v>
      </c>
    </row>
    <row r="426" customFormat="false" ht="15" hidden="false" customHeight="false" outlineLevel="0" collapsed="false">
      <c r="A426" s="1" t="s">
        <v>18</v>
      </c>
      <c r="B426" s="1" t="n">
        <v>31</v>
      </c>
      <c r="D426" s="1" t="n">
        <v>6049574</v>
      </c>
      <c r="E426" s="1" t="n">
        <v>0.033473</v>
      </c>
      <c r="G426" s="1" t="n">
        <v>0.370778084</v>
      </c>
      <c r="H426" s="1" t="n">
        <v>0.357560873</v>
      </c>
      <c r="I426" s="1" t="n">
        <v>0.36057663</v>
      </c>
      <c r="J426" s="1" t="n">
        <v>0.362894297</v>
      </c>
      <c r="K426" s="1" t="n">
        <v>0.368218899</v>
      </c>
      <c r="L426" s="1" t="n">
        <v>0.358300686</v>
      </c>
      <c r="M426" s="1" t="n">
        <v>0.35714674</v>
      </c>
      <c r="N426" s="1" t="n">
        <v>0.361055374</v>
      </c>
      <c r="O426" s="1" t="n">
        <v>0.357808828</v>
      </c>
      <c r="P426" s="1" t="n">
        <v>0.360226154</v>
      </c>
      <c r="R426" s="1" t="n">
        <f aca="false">PERCENTILE(G426:P426,0.9)</f>
        <v>0.3684748175</v>
      </c>
      <c r="S426" s="5" t="n">
        <f aca="false">spmv_1!R$14/R426</f>
        <v>2.99761099060725</v>
      </c>
      <c r="T426" s="6" t="n">
        <f aca="false">S426/128</f>
        <v>0.0234188358641191</v>
      </c>
    </row>
    <row r="427" customFormat="false" ht="15" hidden="false" customHeight="false" outlineLevel="0" collapsed="false">
      <c r="A427" s="1" t="s">
        <v>18</v>
      </c>
      <c r="B427" s="1" t="n">
        <v>32</v>
      </c>
      <c r="D427" s="1" t="n">
        <v>6049574</v>
      </c>
      <c r="E427" s="1" t="n">
        <v>0.031409</v>
      </c>
      <c r="G427" s="1" t="n">
        <v>0.394763231</v>
      </c>
      <c r="H427" s="1" t="n">
        <v>0.382172585</v>
      </c>
      <c r="I427" s="1" t="n">
        <v>0.383901596</v>
      </c>
      <c r="J427" s="1" t="n">
        <v>0.386374474</v>
      </c>
      <c r="K427" s="1" t="n">
        <v>0.389666796</v>
      </c>
      <c r="L427" s="1" t="n">
        <v>0.383103132</v>
      </c>
      <c r="M427" s="1" t="n">
        <v>0.382066965</v>
      </c>
      <c r="N427" s="1" t="n">
        <v>0.38516593</v>
      </c>
      <c r="O427" s="1" t="n">
        <v>0.3809793</v>
      </c>
      <c r="P427" s="1" t="n">
        <v>0.383910418</v>
      </c>
      <c r="R427" s="1" t="n">
        <f aca="false">PERCENTILE(G427:P427,0.9)</f>
        <v>0.3901764395</v>
      </c>
      <c r="S427" s="5" t="n">
        <f aca="false">spmv_1!R$14/R427</f>
        <v>2.83088380250597</v>
      </c>
      <c r="T427" s="6" t="n">
        <f aca="false">S427/128</f>
        <v>0.0221162797070779</v>
      </c>
    </row>
    <row r="428" customFormat="false" ht="15" hidden="false" customHeight="false" outlineLevel="0" collapsed="false">
      <c r="A428" s="1" t="s">
        <v>18</v>
      </c>
      <c r="B428" s="1" t="n">
        <v>33</v>
      </c>
      <c r="D428" s="1" t="n">
        <v>6049216</v>
      </c>
      <c r="E428" s="1" t="n">
        <v>0.031461</v>
      </c>
      <c r="G428" s="1" t="n">
        <v>0.391348839</v>
      </c>
      <c r="H428" s="1" t="n">
        <v>0.380211115</v>
      </c>
      <c r="I428" s="1" t="n">
        <v>0.383883953</v>
      </c>
      <c r="J428" s="1" t="n">
        <v>0.385385513</v>
      </c>
      <c r="K428" s="1" t="n">
        <v>0.390976906</v>
      </c>
      <c r="L428" s="1" t="n">
        <v>0.380918026</v>
      </c>
      <c r="M428" s="1" t="n">
        <v>0.382477283</v>
      </c>
      <c r="N428" s="1" t="n">
        <v>0.385341644</v>
      </c>
      <c r="O428" s="1" t="n">
        <v>0.381341696</v>
      </c>
      <c r="P428" s="1" t="n">
        <v>0.383653402</v>
      </c>
      <c r="R428" s="1" t="n">
        <f aca="false">PERCENTILE(G428:P428,0.9)</f>
        <v>0.3910140993</v>
      </c>
      <c r="S428" s="5" t="n">
        <f aca="false">spmv_1!R$14/R428</f>
        <v>2.82481927039811</v>
      </c>
      <c r="T428" s="6" t="n">
        <f aca="false">S428/128</f>
        <v>0.0220689005499852</v>
      </c>
    </row>
    <row r="429" customFormat="false" ht="15" hidden="false" customHeight="false" outlineLevel="0" collapsed="false">
      <c r="A429" s="1" t="s">
        <v>18</v>
      </c>
      <c r="B429" s="1" t="n">
        <v>34</v>
      </c>
      <c r="D429" s="1" t="n">
        <v>6048498</v>
      </c>
      <c r="E429" s="1" t="n">
        <v>0.030792</v>
      </c>
      <c r="G429" s="1" t="n">
        <v>0.39970541</v>
      </c>
      <c r="H429" s="1" t="n">
        <v>0.388427258</v>
      </c>
      <c r="I429" s="1" t="n">
        <v>0.390587807</v>
      </c>
      <c r="J429" s="1" t="n">
        <v>0.394095182</v>
      </c>
      <c r="K429" s="1" t="n">
        <v>0.400082588</v>
      </c>
      <c r="L429" s="1" t="n">
        <v>0.389167547</v>
      </c>
      <c r="M429" s="1" t="n">
        <v>0.390761375</v>
      </c>
      <c r="N429" s="1" t="n">
        <v>0.394316196</v>
      </c>
      <c r="O429" s="1" t="n">
        <v>0.389051914</v>
      </c>
      <c r="P429" s="1" t="n">
        <v>0.392372847</v>
      </c>
      <c r="R429" s="1" t="n">
        <f aca="false">PERCENTILE(G429:P429,0.9)</f>
        <v>0.3997431278</v>
      </c>
      <c r="S429" s="5" t="n">
        <f aca="false">spmv_1!R$14/R429</f>
        <v>2.76313483806187</v>
      </c>
      <c r="T429" s="6" t="n">
        <f aca="false">S429/128</f>
        <v>0.0215869909223584</v>
      </c>
    </row>
    <row r="430" customFormat="false" ht="15" hidden="false" customHeight="false" outlineLevel="0" collapsed="false">
      <c r="A430" s="1" t="s">
        <v>18</v>
      </c>
      <c r="B430" s="1" t="n">
        <v>35</v>
      </c>
      <c r="D430" s="1" t="n">
        <v>6048498</v>
      </c>
      <c r="E430" s="1" t="n">
        <v>0.030829</v>
      </c>
      <c r="G430" s="1" t="n">
        <v>0.399435997</v>
      </c>
      <c r="H430" s="1" t="n">
        <v>0.389091969</v>
      </c>
      <c r="I430" s="1" t="n">
        <v>0.391145468</v>
      </c>
      <c r="J430" s="1" t="n">
        <v>0.393814087</v>
      </c>
      <c r="K430" s="1" t="n">
        <v>0.399115562</v>
      </c>
      <c r="L430" s="1" t="n">
        <v>0.389764547</v>
      </c>
      <c r="M430" s="1" t="n">
        <v>0.389507294</v>
      </c>
      <c r="N430" s="1" t="n">
        <v>0.39361763</v>
      </c>
      <c r="O430" s="1" t="n">
        <v>0.38833499</v>
      </c>
      <c r="P430" s="1" t="n">
        <v>0.390035152</v>
      </c>
      <c r="R430" s="1" t="n">
        <f aca="false">PERCENTILE(G430:P430,0.9)</f>
        <v>0.3991476055</v>
      </c>
      <c r="S430" s="5" t="n">
        <f aca="false">spmv_1!R$14/R430</f>
        <v>2.76725739420727</v>
      </c>
      <c r="T430" s="6" t="n">
        <f aca="false">S430/128</f>
        <v>0.0216191983922443</v>
      </c>
    </row>
    <row r="431" customFormat="false" ht="15" hidden="false" customHeight="false" outlineLevel="0" collapsed="false">
      <c r="A431" s="1" t="s">
        <v>18</v>
      </c>
      <c r="B431" s="1" t="n">
        <v>36</v>
      </c>
      <c r="D431" s="1" t="n">
        <v>6049575</v>
      </c>
      <c r="E431" s="1" t="n">
        <v>0.030645</v>
      </c>
      <c r="G431" s="1" t="n">
        <v>0.403565168</v>
      </c>
      <c r="H431" s="1" t="n">
        <v>0.392191172</v>
      </c>
      <c r="I431" s="1" t="n">
        <v>0.392653942</v>
      </c>
      <c r="J431" s="1" t="n">
        <v>0.394592762</v>
      </c>
      <c r="K431" s="1" t="n">
        <v>0.399106026</v>
      </c>
      <c r="L431" s="1" t="n">
        <v>0.391051054</v>
      </c>
      <c r="M431" s="1" t="n">
        <v>0.393653154</v>
      </c>
      <c r="N431" s="1" t="n">
        <v>0.3972435</v>
      </c>
      <c r="O431" s="1" t="n">
        <v>0.391160488</v>
      </c>
      <c r="P431" s="1" t="n">
        <v>0.392974615</v>
      </c>
      <c r="R431" s="1" t="n">
        <f aca="false">PERCENTILE(G431:P431,0.9)</f>
        <v>0.3995519402</v>
      </c>
      <c r="S431" s="5" t="n">
        <f aca="false">spmv_1!R$14/R431</f>
        <v>2.76445701188964</v>
      </c>
      <c r="T431" s="6" t="n">
        <f aca="false">S431/128</f>
        <v>0.0215973204053878</v>
      </c>
    </row>
    <row r="432" customFormat="false" ht="15" hidden="false" customHeight="false" outlineLevel="0" collapsed="false">
      <c r="A432" s="1" t="s">
        <v>18</v>
      </c>
      <c r="B432" s="1" t="n">
        <v>37</v>
      </c>
      <c r="D432" s="1" t="n">
        <v>6050652</v>
      </c>
      <c r="E432" s="1" t="n">
        <v>0.031243</v>
      </c>
      <c r="G432" s="1" t="n">
        <v>0.39151597</v>
      </c>
      <c r="H432" s="1" t="n">
        <v>0.38456893</v>
      </c>
      <c r="I432" s="1" t="n">
        <v>0.38639307</v>
      </c>
      <c r="J432" s="1" t="n">
        <v>0.387910128</v>
      </c>
      <c r="K432" s="1" t="n">
        <v>0.392665625</v>
      </c>
      <c r="L432" s="1" t="n">
        <v>0.385558844</v>
      </c>
      <c r="M432" s="1" t="n">
        <v>0.386256933</v>
      </c>
      <c r="N432" s="1" t="n">
        <v>0.388813972</v>
      </c>
      <c r="O432" s="1" t="n">
        <v>0.382463455</v>
      </c>
      <c r="P432" s="1" t="n">
        <v>0.387131929</v>
      </c>
      <c r="R432" s="1" t="n">
        <f aca="false">PERCENTILE(G432:P432,0.9)</f>
        <v>0.3916309355</v>
      </c>
      <c r="S432" s="5" t="n">
        <f aca="false">spmv_1!R$14/R432</f>
        <v>2.82037005398926</v>
      </c>
      <c r="T432" s="6" t="n">
        <f aca="false">S432/128</f>
        <v>0.0220341410467911</v>
      </c>
    </row>
    <row r="433" customFormat="false" ht="15" hidden="false" customHeight="false" outlineLevel="0" collapsed="false">
      <c r="A433" s="1" t="s">
        <v>18</v>
      </c>
      <c r="B433" s="1" t="n">
        <v>38</v>
      </c>
      <c r="D433" s="1" t="n">
        <v>6051729</v>
      </c>
      <c r="E433" s="1" t="n">
        <v>0.030753</v>
      </c>
      <c r="G433" s="1" t="n">
        <v>0.398743868</v>
      </c>
      <c r="H433" s="1" t="n">
        <v>0.390105009</v>
      </c>
      <c r="I433" s="1" t="n">
        <v>0.391587019</v>
      </c>
      <c r="J433" s="1" t="n">
        <v>0.393032074</v>
      </c>
      <c r="K433" s="1" t="n">
        <v>0.402499199</v>
      </c>
      <c r="L433" s="1" t="n">
        <v>0.391976595</v>
      </c>
      <c r="M433" s="1" t="n">
        <v>0.392843485</v>
      </c>
      <c r="N433" s="1" t="n">
        <v>0.394979</v>
      </c>
      <c r="O433" s="1" t="n">
        <v>0.388324022</v>
      </c>
      <c r="P433" s="1" t="n">
        <v>0.391659498</v>
      </c>
      <c r="R433" s="1" t="n">
        <f aca="false">PERCENTILE(G433:P433,0.9)</f>
        <v>0.3991194011</v>
      </c>
      <c r="S433" s="5" t="n">
        <f aca="false">spmv_1!R$14/R433</f>
        <v>2.76745294680189</v>
      </c>
      <c r="T433" s="6" t="n">
        <f aca="false">S433/128</f>
        <v>0.0216207261468898</v>
      </c>
    </row>
    <row r="434" customFormat="false" ht="15" hidden="false" customHeight="false" outlineLevel="0" collapsed="false">
      <c r="A434" s="1" t="s">
        <v>18</v>
      </c>
      <c r="B434" s="1" t="n">
        <v>39</v>
      </c>
      <c r="D434" s="1" t="n">
        <v>6051729</v>
      </c>
      <c r="E434" s="1" t="n">
        <v>0.030373</v>
      </c>
      <c r="G434" s="1" t="n">
        <v>0.403403044</v>
      </c>
      <c r="H434" s="1" t="n">
        <v>0.396064758</v>
      </c>
      <c r="I434" s="1" t="n">
        <v>0.395762205</v>
      </c>
      <c r="J434" s="1" t="n">
        <v>0.397364855</v>
      </c>
      <c r="K434" s="1" t="n">
        <v>0.406082153</v>
      </c>
      <c r="L434" s="1" t="n">
        <v>0.396943092</v>
      </c>
      <c r="M434" s="1" t="n">
        <v>0.397661924</v>
      </c>
      <c r="N434" s="1" t="n">
        <v>0.400939226</v>
      </c>
      <c r="O434" s="1" t="n">
        <v>0.394019604</v>
      </c>
      <c r="P434" s="1" t="n">
        <v>0.39669776</v>
      </c>
      <c r="R434" s="1" t="n">
        <f aca="false">PERCENTILE(G434:P434,0.9)</f>
        <v>0.4036709549</v>
      </c>
      <c r="S434" s="5" t="n">
        <f aca="false">spmv_1!R$14/R434</f>
        <v>2.73624879197371</v>
      </c>
      <c r="T434" s="6" t="n">
        <f aca="false">S434/128</f>
        <v>0.0213769436872946</v>
      </c>
    </row>
    <row r="435" customFormat="false" ht="15" hidden="false" customHeight="false" outlineLevel="0" collapsed="false">
      <c r="A435" s="1" t="s">
        <v>18</v>
      </c>
      <c r="B435" s="1" t="n">
        <v>40</v>
      </c>
      <c r="D435" s="1" t="n">
        <v>6050652</v>
      </c>
      <c r="E435" s="1" t="n">
        <v>0.030201</v>
      </c>
      <c r="G435" s="1" t="n">
        <v>0.404661894</v>
      </c>
      <c r="H435" s="1" t="n">
        <v>0.398416996</v>
      </c>
      <c r="I435" s="1" t="n">
        <v>0.398189306</v>
      </c>
      <c r="J435" s="1" t="n">
        <v>0.399112701</v>
      </c>
      <c r="K435" s="1" t="n">
        <v>0.40961504</v>
      </c>
      <c r="L435" s="1" t="n">
        <v>0.399219751</v>
      </c>
      <c r="M435" s="1" t="n">
        <v>0.400003195</v>
      </c>
      <c r="N435" s="1" t="n">
        <v>0.402654886</v>
      </c>
      <c r="O435" s="1" t="n">
        <v>0.396150827</v>
      </c>
      <c r="P435" s="1" t="n">
        <v>0.398881197</v>
      </c>
      <c r="R435" s="1" t="n">
        <f aca="false">PERCENTILE(G435:P435,0.9)</f>
        <v>0.4051572086</v>
      </c>
      <c r="S435" s="5" t="n">
        <f aca="false">spmv_1!R$14/R435</f>
        <v>2.72621130577115</v>
      </c>
      <c r="T435" s="6" t="n">
        <f aca="false">S435/128</f>
        <v>0.0212985258263371</v>
      </c>
    </row>
    <row r="436" customFormat="false" ht="15" hidden="false" customHeight="false" outlineLevel="0" collapsed="false">
      <c r="A436" s="1" t="s">
        <v>18</v>
      </c>
      <c r="B436" s="1" t="n">
        <v>41</v>
      </c>
      <c r="D436" s="1" t="n">
        <v>6049575</v>
      </c>
      <c r="E436" s="1" t="n">
        <v>0.030468</v>
      </c>
      <c r="G436" s="1" t="n">
        <v>0.401476145</v>
      </c>
      <c r="H436" s="1" t="n">
        <v>0.395036697</v>
      </c>
      <c r="I436" s="1" t="n">
        <v>0.3952775</v>
      </c>
      <c r="J436" s="1" t="n">
        <v>0.39635396</v>
      </c>
      <c r="K436" s="1" t="n">
        <v>0.404302597</v>
      </c>
      <c r="L436" s="1" t="n">
        <v>0.394596815</v>
      </c>
      <c r="M436" s="1" t="n">
        <v>0.396446943</v>
      </c>
      <c r="N436" s="1" t="n">
        <v>0.399834394</v>
      </c>
      <c r="O436" s="1" t="n">
        <v>0.393604279</v>
      </c>
      <c r="P436" s="1" t="n">
        <v>0.394233227</v>
      </c>
      <c r="R436" s="1" t="n">
        <f aca="false">PERCENTILE(G436:P436,0.9)</f>
        <v>0.4017587902</v>
      </c>
      <c r="S436" s="5" t="n">
        <f aca="false">spmv_1!R$14/R436</f>
        <v>2.74927192545096</v>
      </c>
      <c r="T436" s="6" t="n">
        <f aca="false">S436/128</f>
        <v>0.0214786869175856</v>
      </c>
    </row>
    <row r="437" customFormat="false" ht="15" hidden="false" customHeight="false" outlineLevel="0" collapsed="false">
      <c r="A437" s="1" t="s">
        <v>18</v>
      </c>
      <c r="B437" s="1" t="n">
        <v>42</v>
      </c>
      <c r="D437" s="1" t="n">
        <v>6048498</v>
      </c>
      <c r="E437" s="1" t="n">
        <v>0.030306</v>
      </c>
      <c r="G437" s="1" t="n">
        <v>0.404420376</v>
      </c>
      <c r="H437" s="1" t="n">
        <v>0.397494316</v>
      </c>
      <c r="I437" s="1" t="n">
        <v>0.396741867</v>
      </c>
      <c r="J437" s="1" t="n">
        <v>0.397170782</v>
      </c>
      <c r="K437" s="1" t="n">
        <v>0.405786991</v>
      </c>
      <c r="L437" s="1" t="n">
        <v>0.396573544</v>
      </c>
      <c r="M437" s="1" t="n">
        <v>0.398467779</v>
      </c>
      <c r="N437" s="1" t="n">
        <v>0.401723146</v>
      </c>
      <c r="O437" s="1" t="n">
        <v>0.395563602</v>
      </c>
      <c r="P437" s="1" t="n">
        <v>0.39767766</v>
      </c>
      <c r="R437" s="1" t="n">
        <f aca="false">PERCENTILE(G437:P437,0.9)</f>
        <v>0.4045570375</v>
      </c>
      <c r="S437" s="5" t="n">
        <f aca="false">spmv_1!R$14/R437</f>
        <v>2.73025571258293</v>
      </c>
      <c r="T437" s="6" t="n">
        <f aca="false">S437/128</f>
        <v>0.0213301227545541</v>
      </c>
    </row>
    <row r="438" customFormat="false" ht="15" hidden="false" customHeight="false" outlineLevel="0" collapsed="false">
      <c r="A438" s="1" t="s">
        <v>18</v>
      </c>
      <c r="B438" s="1" t="n">
        <v>43</v>
      </c>
      <c r="D438" s="1" t="n">
        <v>6048498</v>
      </c>
      <c r="E438" s="1" t="n">
        <v>0.030344</v>
      </c>
      <c r="G438" s="1" t="n">
        <v>0.403016329</v>
      </c>
      <c r="H438" s="1" t="n">
        <v>0.396747112</v>
      </c>
      <c r="I438" s="1" t="n">
        <v>0.396199465</v>
      </c>
      <c r="J438" s="1" t="n">
        <v>0.396813393</v>
      </c>
      <c r="K438" s="1" t="n">
        <v>0.406622887</v>
      </c>
      <c r="L438" s="1" t="n">
        <v>0.395736456</v>
      </c>
      <c r="M438" s="1" t="n">
        <v>0.397989273</v>
      </c>
      <c r="N438" s="1" t="n">
        <v>0.401130676</v>
      </c>
      <c r="O438" s="1" t="n">
        <v>0.395502329</v>
      </c>
      <c r="P438" s="1" t="n">
        <v>0.396921635</v>
      </c>
      <c r="R438" s="1" t="n">
        <f aca="false">PERCENTILE(G438:P438,0.9)</f>
        <v>0.4033769848</v>
      </c>
      <c r="S438" s="5" t="n">
        <f aca="false">spmv_1!R$14/R438</f>
        <v>2.73824289516084</v>
      </c>
      <c r="T438" s="6" t="n">
        <f aca="false">S438/128</f>
        <v>0.021392522618444</v>
      </c>
    </row>
    <row r="439" customFormat="false" ht="15" hidden="false" customHeight="false" outlineLevel="0" collapsed="false">
      <c r="A439" s="1" t="s">
        <v>18</v>
      </c>
      <c r="B439" s="1" t="n">
        <v>44</v>
      </c>
      <c r="D439" s="1" t="n">
        <v>6049575</v>
      </c>
      <c r="E439" s="1" t="n">
        <v>0.030263</v>
      </c>
      <c r="G439" s="1" t="n">
        <v>0.403704166</v>
      </c>
      <c r="H439" s="1" t="n">
        <v>0.396710396</v>
      </c>
      <c r="I439" s="1" t="n">
        <v>0.396736383</v>
      </c>
      <c r="J439" s="1" t="n">
        <v>0.395946026</v>
      </c>
      <c r="K439" s="1" t="n">
        <v>0.407150745</v>
      </c>
      <c r="L439" s="1" t="n">
        <v>0.396199465</v>
      </c>
      <c r="M439" s="1" t="n">
        <v>0.397146702</v>
      </c>
      <c r="N439" s="1" t="n">
        <v>0.400787592</v>
      </c>
      <c r="O439" s="1" t="n">
        <v>0.394995451</v>
      </c>
      <c r="P439" s="1" t="n">
        <v>0.408580542</v>
      </c>
      <c r="R439" s="1" t="n">
        <f aca="false">PERCENTILE(G439:P439,0.9)</f>
        <v>0.4072937247</v>
      </c>
      <c r="S439" s="5" t="n">
        <f aca="false">spmv_1!R$14/R439</f>
        <v>2.71191058372818</v>
      </c>
      <c r="T439" s="6" t="n">
        <f aca="false">S439/128</f>
        <v>0.0211868014353764</v>
      </c>
    </row>
    <row r="440" customFormat="false" ht="15" hidden="false" customHeight="false" outlineLevel="0" collapsed="false">
      <c r="A440" s="1" t="s">
        <v>18</v>
      </c>
      <c r="B440" s="1" t="n">
        <v>45</v>
      </c>
      <c r="D440" s="1" t="n">
        <v>6050652</v>
      </c>
      <c r="E440" s="1" t="n">
        <v>0.030924</v>
      </c>
      <c r="G440" s="1" t="n">
        <v>0.395040989</v>
      </c>
      <c r="H440" s="1" t="n">
        <v>0.389553785</v>
      </c>
      <c r="I440" s="1" t="n">
        <v>0.389367104</v>
      </c>
      <c r="J440" s="1" t="n">
        <v>0.388185263</v>
      </c>
      <c r="K440" s="1" t="n">
        <v>0.400717735</v>
      </c>
      <c r="L440" s="1" t="n">
        <v>0.389400244</v>
      </c>
      <c r="M440" s="1" t="n">
        <v>0.389818668</v>
      </c>
      <c r="N440" s="1" t="n">
        <v>0.395351887</v>
      </c>
      <c r="O440" s="1" t="n">
        <v>0.387215137</v>
      </c>
      <c r="P440" s="1" t="n">
        <v>0.388579369</v>
      </c>
      <c r="R440" s="1" t="n">
        <f aca="false">PERCENTILE(G440:P440,0.9)</f>
        <v>0.3958884718</v>
      </c>
      <c r="S440" s="5" t="n">
        <f aca="false">spmv_1!R$14/R440</f>
        <v>2.790038713878</v>
      </c>
      <c r="T440" s="6" t="n">
        <f aca="false">S440/128</f>
        <v>0.0217971774521719</v>
      </c>
    </row>
    <row r="441" customFormat="false" ht="15" hidden="false" customHeight="false" outlineLevel="0" collapsed="false">
      <c r="A441" s="1" t="s">
        <v>18</v>
      </c>
      <c r="B441" s="1" t="n">
        <v>46</v>
      </c>
      <c r="D441" s="1" t="n">
        <v>6051729</v>
      </c>
      <c r="E441" s="1" t="n">
        <v>0.030421</v>
      </c>
      <c r="G441" s="1" t="n">
        <v>0.403288126</v>
      </c>
      <c r="H441" s="1" t="n">
        <v>0.396288157</v>
      </c>
      <c r="I441" s="1" t="n">
        <v>0.395188808</v>
      </c>
      <c r="J441" s="1" t="n">
        <v>0.394947529</v>
      </c>
      <c r="K441" s="1" t="n">
        <v>0.404548407</v>
      </c>
      <c r="L441" s="1" t="n">
        <v>0.395505667</v>
      </c>
      <c r="M441" s="1" t="n">
        <v>0.397137403</v>
      </c>
      <c r="N441" s="1" t="n">
        <v>0.401215792</v>
      </c>
      <c r="O441" s="1" t="n">
        <v>0.393813372</v>
      </c>
      <c r="P441" s="1" t="n">
        <v>0.396769285</v>
      </c>
      <c r="R441" s="1" t="n">
        <f aca="false">PERCENTILE(G441:P441,0.9)</f>
        <v>0.4034141541</v>
      </c>
      <c r="S441" s="5" t="n">
        <f aca="false">spmv_1!R$14/R441</f>
        <v>2.73799060214977</v>
      </c>
      <c r="T441" s="6" t="n">
        <f aca="false">S441/128</f>
        <v>0.0213905515792951</v>
      </c>
    </row>
    <row r="442" customFormat="false" ht="15" hidden="false" customHeight="false" outlineLevel="0" collapsed="false">
      <c r="A442" s="1" t="s">
        <v>18</v>
      </c>
      <c r="B442" s="1" t="n">
        <v>47</v>
      </c>
      <c r="D442" s="1" t="n">
        <v>6051010</v>
      </c>
      <c r="E442" s="1" t="n">
        <v>0.030422</v>
      </c>
      <c r="G442" s="1" t="n">
        <v>0.402676344</v>
      </c>
      <c r="H442" s="1" t="n">
        <v>0.395489454</v>
      </c>
      <c r="I442" s="1" t="n">
        <v>0.395149469</v>
      </c>
      <c r="J442" s="1" t="n">
        <v>0.394186497</v>
      </c>
      <c r="K442" s="1" t="n">
        <v>0.40664196</v>
      </c>
      <c r="L442" s="1" t="n">
        <v>0.396850109</v>
      </c>
      <c r="M442" s="1" t="n">
        <v>0.39748311</v>
      </c>
      <c r="N442" s="1" t="n">
        <v>0.400373936</v>
      </c>
      <c r="O442" s="1" t="n">
        <v>0.392431021</v>
      </c>
      <c r="P442" s="1" t="n">
        <v>0.396780014</v>
      </c>
      <c r="R442" s="1" t="n">
        <f aca="false">PERCENTILE(G442:P442,0.9)</f>
        <v>0.4030729056</v>
      </c>
      <c r="S442" s="5" t="n">
        <f aca="false">spmv_1!R$14/R442</f>
        <v>2.74030863239447</v>
      </c>
      <c r="T442" s="6" t="n">
        <f aca="false">S442/128</f>
        <v>0.0214086611905818</v>
      </c>
    </row>
    <row r="443" customFormat="false" ht="15" hidden="false" customHeight="false" outlineLevel="0" collapsed="false">
      <c r="A443" s="1" t="s">
        <v>18</v>
      </c>
      <c r="B443" s="1" t="n">
        <v>48</v>
      </c>
      <c r="D443" s="1" t="n">
        <v>6049933</v>
      </c>
      <c r="E443" s="1" t="n">
        <v>0.031068</v>
      </c>
      <c r="G443" s="1" t="n">
        <v>0.394532442</v>
      </c>
      <c r="H443" s="1" t="n">
        <v>0.386948109</v>
      </c>
      <c r="I443" s="1" t="n">
        <v>0.388956785</v>
      </c>
      <c r="J443" s="1" t="n">
        <v>0.386417627</v>
      </c>
      <c r="K443" s="1" t="n">
        <v>0.394884109</v>
      </c>
      <c r="L443" s="1" t="n">
        <v>0.38890624</v>
      </c>
      <c r="M443" s="1" t="n">
        <v>0.38842535</v>
      </c>
      <c r="N443" s="1" t="n">
        <v>0.390733957</v>
      </c>
      <c r="O443" s="1" t="n">
        <v>0.385578156</v>
      </c>
      <c r="P443" s="1" t="n">
        <v>0.38926506</v>
      </c>
      <c r="R443" s="1" t="n">
        <f aca="false">PERCENTILE(G443:P443,0.9)</f>
        <v>0.3945676087</v>
      </c>
      <c r="S443" s="5" t="n">
        <f aca="false">spmv_1!R$14/R443</f>
        <v>2.7993787080982</v>
      </c>
      <c r="T443" s="6" t="n">
        <f aca="false">S443/128</f>
        <v>0.0218701461570172</v>
      </c>
    </row>
    <row r="444" customFormat="false" ht="15" hidden="false" customHeight="false" outlineLevel="0" collapsed="false">
      <c r="A444" s="1" t="s">
        <v>18</v>
      </c>
      <c r="B444" s="1" t="n">
        <v>49</v>
      </c>
      <c r="D444" s="1" t="n">
        <v>6049934</v>
      </c>
      <c r="E444" s="1" t="n">
        <v>0.030975</v>
      </c>
      <c r="G444" s="1" t="n">
        <v>0.395555019</v>
      </c>
      <c r="H444" s="1" t="n">
        <v>0.387933969</v>
      </c>
      <c r="I444" s="1" t="n">
        <v>0.389196396</v>
      </c>
      <c r="J444" s="1" t="n">
        <v>0.387028694</v>
      </c>
      <c r="K444" s="1" t="n">
        <v>0.39983201</v>
      </c>
      <c r="L444" s="1" t="n">
        <v>0.389652729</v>
      </c>
      <c r="M444" s="1" t="n">
        <v>0.389232159</v>
      </c>
      <c r="N444" s="1" t="n">
        <v>0.393169641</v>
      </c>
      <c r="O444" s="1" t="n">
        <v>0.386457205</v>
      </c>
      <c r="P444" s="1" t="n">
        <v>0.388301373</v>
      </c>
      <c r="R444" s="1" t="n">
        <f aca="false">PERCENTILE(G444:P444,0.9)</f>
        <v>0.3959827181</v>
      </c>
      <c r="S444" s="5" t="n">
        <f aca="false">spmv_1!R$14/R444</f>
        <v>2.78937466766179</v>
      </c>
      <c r="T444" s="6" t="n">
        <f aca="false">S444/128</f>
        <v>0.0217919895911077</v>
      </c>
    </row>
    <row r="445" customFormat="false" ht="15" hidden="false" customHeight="false" outlineLevel="0" collapsed="false">
      <c r="A445" s="1" t="s">
        <v>18</v>
      </c>
      <c r="B445" s="1" t="n">
        <v>50</v>
      </c>
      <c r="D445" s="1" t="n">
        <v>6050652</v>
      </c>
      <c r="E445" s="1" t="n">
        <v>0.030946</v>
      </c>
      <c r="G445" s="1" t="n">
        <v>0.39735651</v>
      </c>
      <c r="H445" s="1" t="n">
        <v>0.38842392</v>
      </c>
      <c r="I445" s="1" t="n">
        <v>0.38961339</v>
      </c>
      <c r="J445" s="1" t="n">
        <v>0.387166739</v>
      </c>
      <c r="K445" s="1" t="n">
        <v>0.396736622</v>
      </c>
      <c r="L445" s="1" t="n">
        <v>0.390897751</v>
      </c>
      <c r="M445" s="1" t="n">
        <v>0.390154362</v>
      </c>
      <c r="N445" s="1" t="n">
        <v>0.393700361</v>
      </c>
      <c r="O445" s="1" t="n">
        <v>0.386071444</v>
      </c>
      <c r="P445" s="1" t="n">
        <v>0.390365124</v>
      </c>
      <c r="R445" s="1" t="n">
        <f aca="false">PERCENTILE(G445:P445,0.9)</f>
        <v>0.3967986108</v>
      </c>
      <c r="S445" s="5" t="n">
        <f aca="false">spmv_1!R$14/R445</f>
        <v>2.78363918783155</v>
      </c>
      <c r="T445" s="6" t="n">
        <f aca="false">S445/128</f>
        <v>0.021747181154934</v>
      </c>
    </row>
    <row r="446" customFormat="false" ht="15" hidden="false" customHeight="false" outlineLevel="0" collapsed="false">
      <c r="A446" s="1" t="s">
        <v>18</v>
      </c>
      <c r="B446" s="1" t="n">
        <v>51</v>
      </c>
      <c r="D446" s="1" t="n">
        <v>6051729</v>
      </c>
      <c r="E446" s="1" t="n">
        <v>0.030887</v>
      </c>
      <c r="G446" s="1" t="n">
        <v>0.399784327</v>
      </c>
      <c r="H446" s="1" t="n">
        <v>0.389424086</v>
      </c>
      <c r="I446" s="1" t="n">
        <v>0.388684988</v>
      </c>
      <c r="J446" s="1" t="n">
        <v>0.386698723</v>
      </c>
      <c r="K446" s="1" t="n">
        <v>0.400456667</v>
      </c>
      <c r="L446" s="1" t="n">
        <v>0.391106606</v>
      </c>
      <c r="M446" s="1" t="n">
        <v>0.390138865</v>
      </c>
      <c r="N446" s="1" t="n">
        <v>0.396354675</v>
      </c>
      <c r="O446" s="1" t="n">
        <v>0.385603905</v>
      </c>
      <c r="P446" s="1" t="n">
        <v>0.390314341</v>
      </c>
      <c r="R446" s="1" t="n">
        <f aca="false">PERCENTILE(G446:P446,0.9)</f>
        <v>0.399851561</v>
      </c>
      <c r="S446" s="5" t="n">
        <f aca="false">spmv_1!R$14/R446</f>
        <v>2.76238552111092</v>
      </c>
      <c r="T446" s="6" t="n">
        <f aca="false">S446/128</f>
        <v>0.0215811368836791</v>
      </c>
    </row>
    <row r="447" customFormat="false" ht="15" hidden="false" customHeight="false" outlineLevel="0" collapsed="false">
      <c r="A447" s="1" t="s">
        <v>18</v>
      </c>
      <c r="B447" s="1" t="n">
        <v>52</v>
      </c>
      <c r="D447" s="1" t="n">
        <v>6052806</v>
      </c>
      <c r="E447" s="1" t="n">
        <v>0.031411</v>
      </c>
      <c r="G447" s="1" t="n">
        <v>0.39018321</v>
      </c>
      <c r="H447" s="1" t="n">
        <v>0.382817984</v>
      </c>
      <c r="I447" s="1" t="n">
        <v>0.383039474</v>
      </c>
      <c r="J447" s="1" t="n">
        <v>0.381117821</v>
      </c>
      <c r="K447" s="1" t="n">
        <v>0.395360708</v>
      </c>
      <c r="L447" s="1" t="n">
        <v>0.383790255</v>
      </c>
      <c r="M447" s="1" t="n">
        <v>0.383481503</v>
      </c>
      <c r="N447" s="1" t="n">
        <v>0.392258883</v>
      </c>
      <c r="O447" s="1" t="n">
        <v>0.379769802</v>
      </c>
      <c r="P447" s="1" t="n">
        <v>0.382092953</v>
      </c>
      <c r="R447" s="1" t="n">
        <f aca="false">PERCENTILE(G447:P447,0.9)</f>
        <v>0.3925690655</v>
      </c>
      <c r="S447" s="5" t="n">
        <f aca="false">spmv_1!R$14/R447</f>
        <v>2.81363016032143</v>
      </c>
      <c r="T447" s="6" t="n">
        <f aca="false">S447/128</f>
        <v>0.0219814856275112</v>
      </c>
    </row>
    <row r="448" customFormat="false" ht="15" hidden="false" customHeight="false" outlineLevel="0" collapsed="false">
      <c r="A448" s="1" t="s">
        <v>18</v>
      </c>
      <c r="B448" s="1" t="n">
        <v>53</v>
      </c>
      <c r="D448" s="1" t="n">
        <v>6052806</v>
      </c>
      <c r="E448" s="1" t="n">
        <v>0.031019</v>
      </c>
      <c r="G448" s="1" t="n">
        <v>0.396000385</v>
      </c>
      <c r="H448" s="1" t="n">
        <v>0.389819384</v>
      </c>
      <c r="I448" s="1" t="n">
        <v>0.387633801</v>
      </c>
      <c r="J448" s="1" t="n">
        <v>0.387620449</v>
      </c>
      <c r="K448" s="1" t="n">
        <v>0.401367426</v>
      </c>
      <c r="L448" s="1" t="n">
        <v>0.390420437</v>
      </c>
      <c r="M448" s="1" t="n">
        <v>0.390666723</v>
      </c>
      <c r="N448" s="1" t="n">
        <v>0.401224852</v>
      </c>
      <c r="O448" s="1" t="n">
        <v>0.37669754</v>
      </c>
      <c r="P448" s="1" t="n">
        <v>0.381179571</v>
      </c>
      <c r="R448" s="1" t="n">
        <f aca="false">PERCENTILE(G448:P448,0.9)</f>
        <v>0.4012391094</v>
      </c>
      <c r="S448" s="5" t="n">
        <f aca="false">spmv_1!R$14/R448</f>
        <v>2.75283275439351</v>
      </c>
      <c r="T448" s="6" t="n">
        <f aca="false">S448/128</f>
        <v>0.0215065058936993</v>
      </c>
    </row>
    <row r="449" customFormat="false" ht="15" hidden="false" customHeight="false" outlineLevel="0" collapsed="false">
      <c r="A449" s="1" t="s">
        <v>18</v>
      </c>
      <c r="B449" s="1" t="n">
        <v>54</v>
      </c>
      <c r="D449" s="1" t="n">
        <v>6051729</v>
      </c>
      <c r="E449" s="1" t="n">
        <v>0.030927</v>
      </c>
      <c r="G449" s="1" t="n">
        <v>0.397236824</v>
      </c>
      <c r="H449" s="1" t="n">
        <v>0.389520168</v>
      </c>
      <c r="I449" s="1" t="n">
        <v>0.388604403</v>
      </c>
      <c r="J449" s="1" t="n">
        <v>0.387138844</v>
      </c>
      <c r="K449" s="1" t="n">
        <v>0.400592089</v>
      </c>
      <c r="L449" s="1" t="n">
        <v>0.390290737</v>
      </c>
      <c r="M449" s="1" t="n">
        <v>0.390333414</v>
      </c>
      <c r="N449" s="1" t="n">
        <v>0.397515297</v>
      </c>
      <c r="O449" s="1" t="n">
        <v>0.384744406</v>
      </c>
      <c r="P449" s="1" t="n">
        <v>0.387635708</v>
      </c>
      <c r="R449" s="1" t="n">
        <f aca="false">PERCENTILE(G449:P449,0.9)</f>
        <v>0.3978229762</v>
      </c>
      <c r="S449" s="5" t="n">
        <f aca="false">spmv_1!R$14/R449</f>
        <v>2.77647151818779</v>
      </c>
      <c r="T449" s="6" t="n">
        <f aca="false">S449/128</f>
        <v>0.0216911837358421</v>
      </c>
    </row>
    <row r="450" customFormat="false" ht="15" hidden="false" customHeight="false" outlineLevel="0" collapsed="false">
      <c r="A450" s="1" t="s">
        <v>18</v>
      </c>
      <c r="B450" s="1" t="n">
        <v>55</v>
      </c>
      <c r="D450" s="1" t="n">
        <v>6050652</v>
      </c>
      <c r="E450" s="1" t="n">
        <v>0.030824</v>
      </c>
      <c r="G450" s="1" t="n">
        <v>0.40051198</v>
      </c>
      <c r="H450" s="1" t="n">
        <v>0.391611814</v>
      </c>
      <c r="I450" s="1" t="n">
        <v>0.387026787</v>
      </c>
      <c r="J450" s="1" t="n">
        <v>0.388293982</v>
      </c>
      <c r="K450" s="1" t="n">
        <v>0.404343843</v>
      </c>
      <c r="L450" s="1" t="n">
        <v>0.391297102</v>
      </c>
      <c r="M450" s="1" t="n">
        <v>0.391639233</v>
      </c>
      <c r="N450" s="1" t="n">
        <v>0.398014069</v>
      </c>
      <c r="O450" s="1" t="n">
        <v>0.38497448</v>
      </c>
      <c r="P450" s="1" t="n">
        <v>0.388165951</v>
      </c>
      <c r="R450" s="1" t="n">
        <f aca="false">PERCENTILE(G450:P450,0.9)</f>
        <v>0.4008951663</v>
      </c>
      <c r="S450" s="5" t="n">
        <f aca="false">spmv_1!R$14/R450</f>
        <v>2.7551945135538</v>
      </c>
      <c r="T450" s="6" t="n">
        <f aca="false">S450/128</f>
        <v>0.0215249571371391</v>
      </c>
    </row>
    <row r="451" customFormat="false" ht="15" hidden="false" customHeight="false" outlineLevel="0" collapsed="false">
      <c r="A451" s="1" t="s">
        <v>18</v>
      </c>
      <c r="B451" s="1" t="n">
        <v>56</v>
      </c>
      <c r="D451" s="1" t="n">
        <v>6049575</v>
      </c>
      <c r="E451" s="1" t="n">
        <v>0.031156</v>
      </c>
      <c r="G451" s="1" t="n">
        <v>0.395088673</v>
      </c>
      <c r="H451" s="1" t="n">
        <v>0.385855675</v>
      </c>
      <c r="I451" s="1" t="n">
        <v>0.382215023</v>
      </c>
      <c r="J451" s="1" t="n">
        <v>0.386590242</v>
      </c>
      <c r="K451" s="1" t="n">
        <v>0.398261309</v>
      </c>
      <c r="L451" s="1" t="n">
        <v>0.388062477</v>
      </c>
      <c r="M451" s="1" t="n">
        <v>0.388645649</v>
      </c>
      <c r="N451" s="1" t="n">
        <v>0.39428854</v>
      </c>
      <c r="O451" s="1" t="n">
        <v>0.380089998</v>
      </c>
      <c r="P451" s="1" t="n">
        <v>0.384304285</v>
      </c>
      <c r="R451" s="1" t="n">
        <f aca="false">PERCENTILE(G451:P451,0.9)</f>
        <v>0.3954059366</v>
      </c>
      <c r="S451" s="5" t="n">
        <f aca="false">spmv_1!R$14/R451</f>
        <v>2.79344354866725</v>
      </c>
      <c r="T451" s="6" t="n">
        <f aca="false">S451/128</f>
        <v>0.0218237777239629</v>
      </c>
    </row>
    <row r="452" customFormat="false" ht="15" hidden="false" customHeight="false" outlineLevel="0" collapsed="false">
      <c r="A452" s="1" t="s">
        <v>18</v>
      </c>
      <c r="B452" s="1" t="n">
        <v>57</v>
      </c>
      <c r="D452" s="1" t="n">
        <v>6049575</v>
      </c>
      <c r="E452" s="1" t="n">
        <v>0.031217</v>
      </c>
      <c r="G452" s="1" t="n">
        <v>0.395953894</v>
      </c>
      <c r="H452" s="1" t="n">
        <v>0.386214018</v>
      </c>
      <c r="I452" s="1" t="n">
        <v>0.381914616</v>
      </c>
      <c r="J452" s="1" t="n">
        <v>0.383569479</v>
      </c>
      <c r="K452" s="1" t="n">
        <v>0.397390842</v>
      </c>
      <c r="L452" s="1" t="n">
        <v>0.385630369</v>
      </c>
      <c r="M452" s="1" t="n">
        <v>0.386663914</v>
      </c>
      <c r="N452" s="1" t="n">
        <v>0.394521952</v>
      </c>
      <c r="O452" s="1" t="n">
        <v>0.380458117</v>
      </c>
      <c r="P452" s="1" t="n">
        <v>0.383475065</v>
      </c>
      <c r="R452" s="1" t="n">
        <f aca="false">PERCENTILE(G452:P452,0.9)</f>
        <v>0.3960975888</v>
      </c>
      <c r="S452" s="5" t="n">
        <f aca="false">spmv_1!R$14/R452</f>
        <v>2.78856573211233</v>
      </c>
      <c r="T452" s="6" t="n">
        <f aca="false">S452/128</f>
        <v>0.0217856697821276</v>
      </c>
    </row>
    <row r="453" customFormat="false" ht="15" hidden="false" customHeight="false" outlineLevel="0" collapsed="false">
      <c r="A453" s="1" t="s">
        <v>18</v>
      </c>
      <c r="B453" s="1" t="n">
        <v>58</v>
      </c>
      <c r="D453" s="1" t="n">
        <v>6050652</v>
      </c>
      <c r="E453" s="1" t="n">
        <v>0.030993</v>
      </c>
      <c r="G453" s="1" t="n">
        <v>0.403404951</v>
      </c>
      <c r="H453" s="1" t="n">
        <v>0.390122175</v>
      </c>
      <c r="I453" s="1" t="n">
        <v>0.383911371</v>
      </c>
      <c r="J453" s="1" t="n">
        <v>0.385866165</v>
      </c>
      <c r="K453" s="1" t="n">
        <v>0.399356365</v>
      </c>
      <c r="L453" s="1" t="n">
        <v>0.387857676</v>
      </c>
      <c r="M453" s="1" t="n">
        <v>0.389531612</v>
      </c>
      <c r="N453" s="1" t="n">
        <v>0.3944695</v>
      </c>
      <c r="O453" s="1" t="n">
        <v>0.384254456</v>
      </c>
      <c r="P453" s="1" t="n">
        <v>0.385809422</v>
      </c>
      <c r="R453" s="1" t="n">
        <f aca="false">PERCENTILE(G453:P453,0.9)</f>
        <v>0.3997612236</v>
      </c>
      <c r="S453" s="5" t="n">
        <f aca="false">spmv_1!R$14/R453</f>
        <v>2.76300976055948</v>
      </c>
      <c r="T453" s="6" t="n">
        <f aca="false">S453/128</f>
        <v>0.0215860137543709</v>
      </c>
    </row>
    <row r="454" customFormat="false" ht="15" hidden="false" customHeight="false" outlineLevel="0" collapsed="false">
      <c r="A454" s="1" t="s">
        <v>18</v>
      </c>
      <c r="B454" s="1" t="n">
        <v>59</v>
      </c>
      <c r="D454" s="1" t="n">
        <v>6051729</v>
      </c>
      <c r="E454" s="1" t="n">
        <v>0.030995</v>
      </c>
      <c r="G454" s="1" t="n">
        <v>0.400152206</v>
      </c>
      <c r="H454" s="1" t="n">
        <v>0.388541937</v>
      </c>
      <c r="I454" s="1" t="n">
        <v>0.386358261</v>
      </c>
      <c r="J454" s="1" t="n">
        <v>0.387958288</v>
      </c>
      <c r="K454" s="1" t="n">
        <v>0.396036625</v>
      </c>
      <c r="L454" s="1" t="n">
        <v>0.387555361</v>
      </c>
      <c r="M454" s="1" t="n">
        <v>0.390254498</v>
      </c>
      <c r="N454" s="1" t="n">
        <v>0.394953728</v>
      </c>
      <c r="O454" s="1" t="n">
        <v>0.386514902</v>
      </c>
      <c r="P454" s="1" t="n">
        <v>0.386672735</v>
      </c>
      <c r="R454" s="1" t="n">
        <f aca="false">PERCENTILE(G454:P454,0.9)</f>
        <v>0.3964481831</v>
      </c>
      <c r="S454" s="5" t="n">
        <f aca="false">spmv_1!R$14/R454</f>
        <v>2.78609969671974</v>
      </c>
      <c r="T454" s="6" t="n">
        <f aca="false">S454/128</f>
        <v>0.0217664038806229</v>
      </c>
    </row>
    <row r="455" customFormat="false" ht="15" hidden="false" customHeight="false" outlineLevel="0" collapsed="false">
      <c r="A455" s="1" t="s">
        <v>18</v>
      </c>
      <c r="B455" s="1" t="n">
        <v>60</v>
      </c>
      <c r="D455" s="1" t="n">
        <v>6052806</v>
      </c>
      <c r="E455" s="1" t="n">
        <v>0.03108</v>
      </c>
      <c r="G455" s="1" t="n">
        <v>0.402010679</v>
      </c>
      <c r="H455" s="1" t="n">
        <v>0.38739562</v>
      </c>
      <c r="I455" s="1" t="n">
        <v>0.384471893</v>
      </c>
      <c r="J455" s="1" t="n">
        <v>0.387676954</v>
      </c>
      <c r="K455" s="1" t="n">
        <v>0.394912243</v>
      </c>
      <c r="L455" s="1" t="n">
        <v>0.387386084</v>
      </c>
      <c r="M455" s="1" t="n">
        <v>0.389197111</v>
      </c>
      <c r="N455" s="1" t="n">
        <v>0.39392519</v>
      </c>
      <c r="O455" s="1" t="n">
        <v>0.383331537</v>
      </c>
      <c r="P455" s="1" t="n">
        <v>0.38466382</v>
      </c>
      <c r="R455" s="1" t="n">
        <f aca="false">PERCENTILE(G455:P455,0.9)</f>
        <v>0.3956220866</v>
      </c>
      <c r="S455" s="5" t="n">
        <f aca="false">spmv_1!R$14/R455</f>
        <v>2.79191733755949</v>
      </c>
      <c r="T455" s="6" t="n">
        <f aca="false">S455/128</f>
        <v>0.0218118541996835</v>
      </c>
    </row>
    <row r="456" customFormat="false" ht="15" hidden="false" customHeight="false" outlineLevel="0" collapsed="false">
      <c r="A456" s="1" t="s">
        <v>18</v>
      </c>
      <c r="B456" s="1" t="n">
        <v>61</v>
      </c>
      <c r="D456" s="1" t="n">
        <v>6052806</v>
      </c>
      <c r="E456" s="1" t="n">
        <v>0.03138</v>
      </c>
      <c r="G456" s="1" t="n">
        <v>0.452672243</v>
      </c>
      <c r="H456" s="1" t="n">
        <v>0.376134396</v>
      </c>
      <c r="I456" s="1" t="n">
        <v>0.370239019</v>
      </c>
      <c r="J456" s="1" t="n">
        <v>0.374050617</v>
      </c>
      <c r="K456" s="1" t="n">
        <v>0.385576725</v>
      </c>
      <c r="L456" s="1" t="n">
        <v>0.37820816</v>
      </c>
      <c r="M456" s="1" t="n">
        <v>0.377207994</v>
      </c>
      <c r="N456" s="1" t="n">
        <v>0.400687456</v>
      </c>
      <c r="O456" s="1" t="n">
        <v>0.370909214</v>
      </c>
      <c r="P456" s="1" t="n">
        <v>0.372030973</v>
      </c>
      <c r="R456" s="1" t="n">
        <f aca="false">PERCENTILE(G456:P456,0.9)</f>
        <v>0.4058859347</v>
      </c>
      <c r="S456" s="5" t="n">
        <f aca="false">spmv_1!R$14/R456</f>
        <v>2.7213166761159</v>
      </c>
      <c r="T456" s="6" t="n">
        <f aca="false">S456/128</f>
        <v>0.0212602865321555</v>
      </c>
    </row>
    <row r="457" customFormat="false" ht="15" hidden="false" customHeight="false" outlineLevel="0" collapsed="false">
      <c r="A457" s="1" t="s">
        <v>18</v>
      </c>
      <c r="B457" s="1" t="n">
        <v>62</v>
      </c>
      <c r="D457" s="1" t="n">
        <v>6051729</v>
      </c>
      <c r="E457" s="1" t="n">
        <v>0.031375</v>
      </c>
      <c r="G457" s="1" t="n">
        <v>0.400814056</v>
      </c>
      <c r="H457" s="1" t="n">
        <v>0.383657455</v>
      </c>
      <c r="I457" s="1" t="n">
        <v>0.38258791</v>
      </c>
      <c r="J457" s="1" t="n">
        <v>0.384551287</v>
      </c>
      <c r="K457" s="1" t="n">
        <v>0.38599062</v>
      </c>
      <c r="L457" s="1" t="n">
        <v>0.384808064</v>
      </c>
      <c r="M457" s="1" t="n">
        <v>0.384788513</v>
      </c>
      <c r="N457" s="1" t="n">
        <v>0.389229774</v>
      </c>
      <c r="O457" s="1" t="n">
        <v>0.377957821</v>
      </c>
      <c r="P457" s="1" t="n">
        <v>0.38329792</v>
      </c>
      <c r="R457" s="1" t="n">
        <f aca="false">PERCENTILE(G457:P457,0.9)</f>
        <v>0.3903882022</v>
      </c>
      <c r="S457" s="5" t="n">
        <f aca="false">spmv_1!R$14/R457</f>
        <v>2.82934821409928</v>
      </c>
      <c r="T457" s="6" t="n">
        <f aca="false">S457/128</f>
        <v>0.0221042829226507</v>
      </c>
    </row>
    <row r="458" customFormat="false" ht="15" hidden="false" customHeight="false" outlineLevel="0" collapsed="false">
      <c r="A458" s="1" t="s">
        <v>18</v>
      </c>
      <c r="B458" s="1" t="n">
        <v>63</v>
      </c>
      <c r="D458" s="1" t="n">
        <v>6049933</v>
      </c>
      <c r="E458" s="1" t="n">
        <v>0.031693</v>
      </c>
      <c r="G458" s="1" t="n">
        <v>0.399229288</v>
      </c>
      <c r="H458" s="1" t="n">
        <v>0.379346609</v>
      </c>
      <c r="I458" s="1" t="n">
        <v>0.37713933</v>
      </c>
      <c r="J458" s="1" t="n">
        <v>0.37918067</v>
      </c>
      <c r="K458" s="1" t="n">
        <v>0.382149935</v>
      </c>
      <c r="L458" s="1" t="n">
        <v>0.379855394</v>
      </c>
      <c r="M458" s="1" t="n">
        <v>0.380936146</v>
      </c>
      <c r="N458" s="1" t="n">
        <v>0.38628459</v>
      </c>
      <c r="O458" s="1" t="n">
        <v>0.374239445</v>
      </c>
      <c r="P458" s="1" t="n">
        <v>0.379424334</v>
      </c>
      <c r="R458" s="1" t="n">
        <f aca="false">PERCENTILE(G458:P458,0.9)</f>
        <v>0.3875790598</v>
      </c>
      <c r="S458" s="5" t="n">
        <f aca="false">spmv_1!R$14/R458</f>
        <v>2.84985510638777</v>
      </c>
      <c r="T458" s="6" t="n">
        <f aca="false">S458/128</f>
        <v>0.0222644930186544</v>
      </c>
    </row>
    <row r="459" customFormat="false" ht="15" hidden="false" customHeight="false" outlineLevel="0" collapsed="false">
      <c r="A459" s="1" t="s">
        <v>18</v>
      </c>
      <c r="B459" s="1" t="n">
        <v>64</v>
      </c>
      <c r="D459" s="1" t="n">
        <v>6049933</v>
      </c>
      <c r="E459" s="1" t="n">
        <v>0.030976</v>
      </c>
      <c r="G459" s="1" t="n">
        <v>0.401671648</v>
      </c>
      <c r="H459" s="1" t="n">
        <v>0.386804819</v>
      </c>
      <c r="I459" s="1" t="n">
        <v>0.387997866</v>
      </c>
      <c r="J459" s="1" t="n">
        <v>0.389658213</v>
      </c>
      <c r="K459" s="1" t="n">
        <v>0.391471386</v>
      </c>
      <c r="L459" s="1" t="n">
        <v>0.387456656</v>
      </c>
      <c r="M459" s="1" t="n">
        <v>0.391563177</v>
      </c>
      <c r="N459" s="1" t="n">
        <v>0.396415234</v>
      </c>
      <c r="O459" s="1" t="n">
        <v>0.384330511</v>
      </c>
      <c r="P459" s="1" t="n">
        <v>0.388776302</v>
      </c>
      <c r="R459" s="1" t="n">
        <f aca="false">PERCENTILE(G459:P459,0.9)</f>
        <v>0.3969408754</v>
      </c>
      <c r="S459" s="5" t="n">
        <f aca="false">spmv_1!R$14/R459</f>
        <v>2.78264152460223</v>
      </c>
      <c r="T459" s="6" t="n">
        <f aca="false">S459/128</f>
        <v>0.0217393869109549</v>
      </c>
    </row>
    <row r="460" customFormat="false" ht="15" hidden="false" customHeight="false" outlineLevel="0" collapsed="false">
      <c r="A460" s="1" t="s">
        <v>18</v>
      </c>
      <c r="B460" s="1" t="n">
        <v>65</v>
      </c>
      <c r="D460" s="1" t="n">
        <v>6051729</v>
      </c>
      <c r="E460" s="1" t="n">
        <v>0.03202</v>
      </c>
      <c r="G460" s="1" t="n">
        <v>0.393367052</v>
      </c>
      <c r="H460" s="1" t="n">
        <v>0.370844841</v>
      </c>
      <c r="I460" s="1" t="n">
        <v>0.375984669</v>
      </c>
      <c r="J460" s="1" t="n">
        <v>0.378573895</v>
      </c>
      <c r="K460" s="1" t="n">
        <v>0.378092289</v>
      </c>
      <c r="L460" s="1" t="n">
        <v>0.374311686</v>
      </c>
      <c r="M460" s="1" t="n">
        <v>0.379333496</v>
      </c>
      <c r="N460" s="1" t="n">
        <v>0.383201122</v>
      </c>
      <c r="O460" s="1" t="n">
        <v>0.369086504</v>
      </c>
      <c r="P460" s="1" t="n">
        <v>0.377148151</v>
      </c>
      <c r="R460" s="1" t="n">
        <f aca="false">PERCENTILE(G460:P460,0.9)</f>
        <v>0.384217715</v>
      </c>
      <c r="S460" s="5" t="n">
        <f aca="false">spmv_1!R$14/R460</f>
        <v>2.87478718335515</v>
      </c>
      <c r="T460" s="6" t="n">
        <f aca="false">S460/128</f>
        <v>0.0224592748699621</v>
      </c>
    </row>
    <row r="461" customFormat="false" ht="15" hidden="false" customHeight="false" outlineLevel="0" collapsed="false">
      <c r="A461" s="1" t="s">
        <v>18</v>
      </c>
      <c r="B461" s="1" t="n">
        <v>66</v>
      </c>
      <c r="D461" s="1" t="n">
        <v>6052806</v>
      </c>
      <c r="E461" s="1" t="n">
        <v>0.031392</v>
      </c>
      <c r="G461" s="1" t="n">
        <v>0.397466898</v>
      </c>
      <c r="H461" s="1" t="n">
        <v>0.381543636</v>
      </c>
      <c r="I461" s="1" t="n">
        <v>0.384929657</v>
      </c>
      <c r="J461" s="1" t="n">
        <v>0.384650946</v>
      </c>
      <c r="K461" s="1" t="n">
        <v>0.386361837</v>
      </c>
      <c r="L461" s="1" t="n">
        <v>0.38181901</v>
      </c>
      <c r="M461" s="1" t="n">
        <v>0.387040138</v>
      </c>
      <c r="N461" s="1" t="n">
        <v>0.388491392</v>
      </c>
      <c r="O461" s="1" t="n">
        <v>0.380243301</v>
      </c>
      <c r="P461" s="1" t="n">
        <v>0.383666515</v>
      </c>
      <c r="R461" s="1" t="n">
        <f aca="false">PERCENTILE(G461:P461,0.9)</f>
        <v>0.3893889426</v>
      </c>
      <c r="S461" s="5" t="n">
        <f aca="false">spmv_1!R$14/R461</f>
        <v>2.83660895793501</v>
      </c>
      <c r="T461" s="6" t="n">
        <f aca="false">S461/128</f>
        <v>0.0221610074838672</v>
      </c>
    </row>
    <row r="462" customFormat="false" ht="15" hidden="false" customHeight="false" outlineLevel="0" collapsed="false">
      <c r="A462" s="1" t="s">
        <v>18</v>
      </c>
      <c r="B462" s="1" t="n">
        <v>67</v>
      </c>
      <c r="D462" s="1" t="n">
        <v>6052806</v>
      </c>
      <c r="E462" s="1" t="n">
        <v>0.032185</v>
      </c>
      <c r="G462" s="1" t="n">
        <v>0.389446974</v>
      </c>
      <c r="H462" s="1" t="n">
        <v>0.372362375</v>
      </c>
      <c r="I462" s="1" t="n">
        <v>0.373449087</v>
      </c>
      <c r="J462" s="1" t="n">
        <v>0.374615192</v>
      </c>
      <c r="K462" s="1" t="n">
        <v>0.376739025</v>
      </c>
      <c r="L462" s="1" t="n">
        <v>0.371343136</v>
      </c>
      <c r="M462" s="1" t="n">
        <v>0.379323483</v>
      </c>
      <c r="N462" s="1" t="n">
        <v>0.380651712</v>
      </c>
      <c r="O462" s="1" t="n">
        <v>0.370466232</v>
      </c>
      <c r="P462" s="1" t="n">
        <v>0.372840643</v>
      </c>
      <c r="R462" s="1" t="n">
        <f aca="false">PERCENTILE(G462:P462,0.9)</f>
        <v>0.3815312382</v>
      </c>
      <c r="S462" s="5" t="n">
        <f aca="false">spmv_1!R$14/R462</f>
        <v>2.89502942907389</v>
      </c>
      <c r="T462" s="6" t="n">
        <f aca="false">S462/128</f>
        <v>0.0226174174146398</v>
      </c>
    </row>
    <row r="463" customFormat="false" ht="15" hidden="false" customHeight="false" outlineLevel="0" collapsed="false">
      <c r="A463" s="1" t="s">
        <v>18</v>
      </c>
      <c r="B463" s="1" t="n">
        <v>68</v>
      </c>
      <c r="D463" s="1" t="n">
        <v>6051729</v>
      </c>
      <c r="E463" s="1" t="n">
        <v>0.031045</v>
      </c>
      <c r="G463" s="1" t="n">
        <v>0.399697542</v>
      </c>
      <c r="H463" s="1" t="n">
        <v>0.387620926</v>
      </c>
      <c r="I463" s="1" t="n">
        <v>0.387593985</v>
      </c>
      <c r="J463" s="1" t="n">
        <v>0.388360023</v>
      </c>
      <c r="K463" s="1" t="n">
        <v>0.389516115</v>
      </c>
      <c r="L463" s="1" t="n">
        <v>0.386437654</v>
      </c>
      <c r="M463" s="1" t="n">
        <v>0.391220093</v>
      </c>
      <c r="N463" s="1" t="n">
        <v>0.394025087</v>
      </c>
      <c r="O463" s="1" t="n">
        <v>0.387072802</v>
      </c>
      <c r="P463" s="1" t="n">
        <v>0.387099028</v>
      </c>
      <c r="R463" s="1" t="n">
        <f aca="false">PERCENTILE(G463:P463,0.9)</f>
        <v>0.3945923325</v>
      </c>
      <c r="S463" s="5" t="n">
        <f aca="false">spmv_1!R$14/R463</f>
        <v>2.79920330864513</v>
      </c>
      <c r="T463" s="6" t="n">
        <f aca="false">S463/128</f>
        <v>0.0218687758487901</v>
      </c>
    </row>
    <row r="464" customFormat="false" ht="15" hidden="false" customHeight="false" outlineLevel="0" collapsed="false">
      <c r="A464" s="1" t="s">
        <v>18</v>
      </c>
      <c r="B464" s="1" t="n">
        <v>69</v>
      </c>
      <c r="D464" s="1" t="n">
        <v>6050652</v>
      </c>
      <c r="E464" s="1" t="n">
        <v>0.031977</v>
      </c>
      <c r="G464" s="1" t="n">
        <v>0.384968996</v>
      </c>
      <c r="H464" s="1" t="n">
        <v>0.379504442</v>
      </c>
      <c r="I464" s="1" t="n">
        <v>0.376226902</v>
      </c>
      <c r="J464" s="1" t="n">
        <v>0.37582016</v>
      </c>
      <c r="K464" s="1" t="n">
        <v>0.375965118</v>
      </c>
      <c r="L464" s="1" t="n">
        <v>0.375883579</v>
      </c>
      <c r="M464" s="1" t="n">
        <v>0.378855228</v>
      </c>
      <c r="N464" s="1" t="n">
        <v>0.381177664</v>
      </c>
      <c r="O464" s="1" t="n">
        <v>0.378881216</v>
      </c>
      <c r="P464" s="1" t="n">
        <v>0.377145052</v>
      </c>
      <c r="R464" s="1" t="n">
        <f aca="false">PERCENTILE(G464:P464,0.9)</f>
        <v>0.3815567972</v>
      </c>
      <c r="S464" s="5" t="n">
        <f aca="false">spmv_1!R$14/R464</f>
        <v>2.8948355023565</v>
      </c>
      <c r="T464" s="6" t="n">
        <f aca="false">S464/128</f>
        <v>0.0226159023621602</v>
      </c>
    </row>
    <row r="465" customFormat="false" ht="15" hidden="false" customHeight="false" outlineLevel="0" collapsed="false">
      <c r="A465" s="1" t="s">
        <v>18</v>
      </c>
      <c r="B465" s="1" t="n">
        <v>70</v>
      </c>
      <c r="D465" s="1" t="n">
        <v>6049575</v>
      </c>
      <c r="E465" s="1" t="n">
        <v>0.031099</v>
      </c>
      <c r="G465" s="1" t="n">
        <v>0.396775723</v>
      </c>
      <c r="H465" s="1" t="n">
        <v>0.389116049</v>
      </c>
      <c r="I465" s="1" t="n">
        <v>0.387080431</v>
      </c>
      <c r="J465" s="1" t="n">
        <v>0.386028051</v>
      </c>
      <c r="K465" s="1" t="n">
        <v>0.389163971</v>
      </c>
      <c r="L465" s="1" t="n">
        <v>0.385257721</v>
      </c>
      <c r="M465" s="1" t="n">
        <v>0.38936305</v>
      </c>
      <c r="N465" s="1" t="n">
        <v>0.393925667</v>
      </c>
      <c r="O465" s="1" t="n">
        <v>0.388192415</v>
      </c>
      <c r="P465" s="1" t="n">
        <v>0.385630846</v>
      </c>
      <c r="R465" s="1" t="n">
        <f aca="false">PERCENTILE(G465:P465,0.9)</f>
        <v>0.3942106726</v>
      </c>
      <c r="S465" s="5" t="n">
        <f aca="false">spmv_1!R$14/R465</f>
        <v>2.80191339167716</v>
      </c>
      <c r="T465" s="6" t="n">
        <f aca="false">S465/128</f>
        <v>0.0218899483724778</v>
      </c>
    </row>
    <row r="466" customFormat="false" ht="15" hidden="false" customHeight="false" outlineLevel="0" collapsed="false">
      <c r="A466" s="1" t="s">
        <v>18</v>
      </c>
      <c r="B466" s="1" t="n">
        <v>71</v>
      </c>
      <c r="D466" s="1" t="n">
        <v>6049575</v>
      </c>
      <c r="E466" s="1" t="n">
        <v>0.031208</v>
      </c>
      <c r="G466" s="1" t="n">
        <v>0.392473698</v>
      </c>
      <c r="H466" s="1" t="n">
        <v>0.389809608</v>
      </c>
      <c r="I466" s="1" t="n">
        <v>0.385857582</v>
      </c>
      <c r="J466" s="1" t="n">
        <v>0.38471365</v>
      </c>
      <c r="K466" s="1" t="n">
        <v>0.386301994</v>
      </c>
      <c r="L466" s="1" t="n">
        <v>0.383757114</v>
      </c>
      <c r="M466" s="1" t="n">
        <v>0.386734009</v>
      </c>
      <c r="N466" s="1" t="n">
        <v>0.392775774</v>
      </c>
      <c r="O466" s="1" t="n">
        <v>0.389032602</v>
      </c>
      <c r="P466" s="1" t="n">
        <v>0.385485172</v>
      </c>
      <c r="R466" s="1" t="n">
        <f aca="false">PERCENTILE(G466:P466,0.9)</f>
        <v>0.3925039056</v>
      </c>
      <c r="S466" s="5" t="n">
        <f aca="false">spmv_1!R$14/R466</f>
        <v>2.81409725340578</v>
      </c>
      <c r="T466" s="6" t="n">
        <f aca="false">S466/128</f>
        <v>0.0219851347922326</v>
      </c>
    </row>
    <row r="467" customFormat="false" ht="15" hidden="false" customHeight="false" outlineLevel="0" collapsed="false">
      <c r="A467" s="1" t="s">
        <v>18</v>
      </c>
      <c r="B467" s="1" t="n">
        <v>72</v>
      </c>
      <c r="D467" s="1" t="n">
        <v>6050652</v>
      </c>
      <c r="E467" s="1" t="n">
        <v>0.031261</v>
      </c>
      <c r="G467" s="1" t="n">
        <v>0.392157793</v>
      </c>
      <c r="H467" s="1" t="n">
        <v>0.391499043</v>
      </c>
      <c r="I467" s="1" t="n">
        <v>0.383637667</v>
      </c>
      <c r="J467" s="1" t="n">
        <v>0.384644032</v>
      </c>
      <c r="K467" s="1" t="n">
        <v>0.382910728</v>
      </c>
      <c r="L467" s="1" t="n">
        <v>0.384047508</v>
      </c>
      <c r="M467" s="1" t="n">
        <v>0.385258675</v>
      </c>
      <c r="N467" s="1" t="n">
        <v>0.390819311</v>
      </c>
      <c r="O467" s="1" t="n">
        <v>0.389170408</v>
      </c>
      <c r="P467" s="1" t="n">
        <v>0.386873484</v>
      </c>
      <c r="R467" s="1" t="n">
        <f aca="false">PERCENTILE(G467:P467,0.9)</f>
        <v>0.391564918</v>
      </c>
      <c r="S467" s="5" t="n">
        <f aca="false">spmv_1!R$14/R467</f>
        <v>2.82084556589413</v>
      </c>
      <c r="T467" s="6" t="n">
        <f aca="false">S467/128</f>
        <v>0.0220378559835479</v>
      </c>
    </row>
    <row r="468" customFormat="false" ht="15" hidden="false" customHeight="false" outlineLevel="0" collapsed="false">
      <c r="A468" s="1" t="s">
        <v>18</v>
      </c>
      <c r="B468" s="1" t="n">
        <v>73</v>
      </c>
      <c r="D468" s="1" t="n">
        <v>6051729</v>
      </c>
      <c r="E468" s="1" t="n">
        <v>0.031621</v>
      </c>
      <c r="G468" s="1" t="n">
        <v>0.387247324</v>
      </c>
      <c r="H468" s="1" t="n">
        <v>0.387109518</v>
      </c>
      <c r="I468" s="1" t="n">
        <v>0.381304741</v>
      </c>
      <c r="J468" s="1" t="n">
        <v>0.380651712</v>
      </c>
      <c r="K468" s="1" t="n">
        <v>0.379304409</v>
      </c>
      <c r="L468" s="1" t="n">
        <v>0.379515886</v>
      </c>
      <c r="M468" s="1" t="n">
        <v>0.380424738</v>
      </c>
      <c r="N468" s="1" t="n">
        <v>0.384874821</v>
      </c>
      <c r="O468" s="1" t="n">
        <v>0.384423733</v>
      </c>
      <c r="P468" s="1" t="n">
        <v>0.382855892</v>
      </c>
      <c r="R468" s="1" t="n">
        <f aca="false">PERCENTILE(G468:P468,0.9)</f>
        <v>0.3871232986</v>
      </c>
      <c r="S468" s="5" t="n">
        <f aca="false">spmv_1!R$14/R468</f>
        <v>2.85321024772855</v>
      </c>
      <c r="T468" s="6" t="n">
        <f aca="false">S468/128</f>
        <v>0.0222907050603793</v>
      </c>
    </row>
    <row r="469" customFormat="false" ht="15" hidden="false" customHeight="false" outlineLevel="0" collapsed="false">
      <c r="A469" s="1" t="s">
        <v>18</v>
      </c>
      <c r="B469" s="1" t="n">
        <v>74</v>
      </c>
      <c r="D469" s="1" t="n">
        <v>6052806</v>
      </c>
      <c r="E469" s="1" t="n">
        <v>0.031774</v>
      </c>
      <c r="G469" s="1" t="n">
        <v>0.384126663</v>
      </c>
      <c r="H469" s="1" t="n">
        <v>0.38851738</v>
      </c>
      <c r="I469" s="1" t="n">
        <v>0.381102562</v>
      </c>
      <c r="J469" s="1" t="n">
        <v>0.380392313</v>
      </c>
      <c r="K469" s="1" t="n">
        <v>0.373812914</v>
      </c>
      <c r="L469" s="1" t="n">
        <v>0.379843473</v>
      </c>
      <c r="M469" s="1" t="n">
        <v>0.376344204</v>
      </c>
      <c r="N469" s="1" t="n">
        <v>0.379308224</v>
      </c>
      <c r="O469" s="1" t="n">
        <v>0.384032488</v>
      </c>
      <c r="P469" s="1" t="n">
        <v>0.382406235</v>
      </c>
      <c r="R469" s="1" t="n">
        <f aca="false">PERCENTILE(G469:P469,0.9)</f>
        <v>0.3845657347</v>
      </c>
      <c r="S469" s="5" t="n">
        <f aca="false">spmv_1!R$14/R469</f>
        <v>2.8721855928263</v>
      </c>
      <c r="T469" s="6" t="n">
        <f aca="false">S469/128</f>
        <v>0.0224389499439554</v>
      </c>
    </row>
    <row r="470" customFormat="false" ht="15" hidden="false" customHeight="false" outlineLevel="0" collapsed="false">
      <c r="A470" s="1" t="s">
        <v>18</v>
      </c>
      <c r="B470" s="1" t="n">
        <v>75</v>
      </c>
      <c r="D470" s="1" t="n">
        <v>6052806</v>
      </c>
      <c r="E470" s="1" t="n">
        <v>0.031547</v>
      </c>
      <c r="G470" s="1" t="n">
        <v>0.387322426</v>
      </c>
      <c r="H470" s="1" t="n">
        <v>0.390460968</v>
      </c>
      <c r="I470" s="1" t="n">
        <v>0.383008242</v>
      </c>
      <c r="J470" s="1" t="n">
        <v>0.383324623</v>
      </c>
      <c r="K470" s="1" t="n">
        <v>0.378168821</v>
      </c>
      <c r="L470" s="1" t="n">
        <v>0.382546425</v>
      </c>
      <c r="M470" s="1" t="n">
        <v>0.381201267</v>
      </c>
      <c r="N470" s="1" t="n">
        <v>0.381052017</v>
      </c>
      <c r="O470" s="1" t="n">
        <v>0.386398315</v>
      </c>
      <c r="P470" s="1" t="n">
        <v>0.383827925</v>
      </c>
      <c r="R470" s="1" t="n">
        <f aca="false">PERCENTILE(G470:P470,0.9)</f>
        <v>0.3876362802</v>
      </c>
      <c r="S470" s="5" t="n">
        <f aca="false">spmv_1!R$14/R470</f>
        <v>2.84943442891907</v>
      </c>
      <c r="T470" s="6" t="n">
        <f aca="false">S470/128</f>
        <v>0.0222612064759302</v>
      </c>
    </row>
    <row r="471" customFormat="false" ht="15" hidden="false" customHeight="false" outlineLevel="0" collapsed="false">
      <c r="A471" s="1" t="s">
        <v>18</v>
      </c>
      <c r="B471" s="1" t="n">
        <v>76</v>
      </c>
      <c r="D471" s="1" t="n">
        <v>6051729</v>
      </c>
      <c r="E471" s="1" t="n">
        <v>0.031624</v>
      </c>
      <c r="G471" s="1" t="n">
        <v>0.384956598</v>
      </c>
      <c r="H471" s="1" t="n">
        <v>0.392836809</v>
      </c>
      <c r="I471" s="1" t="n">
        <v>0.38139081</v>
      </c>
      <c r="J471" s="1" t="n">
        <v>0.380882502</v>
      </c>
      <c r="K471" s="1" t="n">
        <v>0.37686801</v>
      </c>
      <c r="L471" s="1" t="n">
        <v>0.381884336</v>
      </c>
      <c r="M471" s="1" t="n">
        <v>0.380160332</v>
      </c>
      <c r="N471" s="1" t="n">
        <v>0.379156351</v>
      </c>
      <c r="O471" s="1" t="n">
        <v>0.388014555</v>
      </c>
      <c r="P471" s="1" t="n">
        <v>0.381142139</v>
      </c>
      <c r="R471" s="1" t="n">
        <f aca="false">PERCENTILE(G471:P471,0.9)</f>
        <v>0.3884967804</v>
      </c>
      <c r="S471" s="5" t="n">
        <f aca="false">spmv_1!R$14/R471</f>
        <v>2.84312307958576</v>
      </c>
      <c r="T471" s="6" t="n">
        <f aca="false">S471/128</f>
        <v>0.0222118990592637</v>
      </c>
    </row>
    <row r="472" customFormat="false" ht="15" hidden="false" customHeight="false" outlineLevel="0" collapsed="false">
      <c r="A472" s="1" t="s">
        <v>18</v>
      </c>
      <c r="B472" s="1" t="n">
        <v>77</v>
      </c>
      <c r="D472" s="1" t="n">
        <v>6050652</v>
      </c>
      <c r="E472" s="1" t="n">
        <v>0.031546</v>
      </c>
      <c r="G472" s="1" t="n">
        <v>0.385735989</v>
      </c>
      <c r="H472" s="1" t="n">
        <v>0.393134117</v>
      </c>
      <c r="I472" s="1" t="n">
        <v>0.382596493</v>
      </c>
      <c r="J472" s="1" t="n">
        <v>0.382345438</v>
      </c>
      <c r="K472" s="1" t="n">
        <v>0.378153563</v>
      </c>
      <c r="L472" s="1" t="n">
        <v>0.382694006</v>
      </c>
      <c r="M472" s="1" t="n">
        <v>0.379772186</v>
      </c>
      <c r="N472" s="1" t="n">
        <v>0.379966021</v>
      </c>
      <c r="O472" s="1" t="n">
        <v>0.388748884</v>
      </c>
      <c r="P472" s="1" t="n">
        <v>0.382986784</v>
      </c>
      <c r="R472" s="1" t="n">
        <f aca="false">PERCENTILE(G472:P472,0.9)</f>
        <v>0.3891874073</v>
      </c>
      <c r="S472" s="5" t="n">
        <f aca="false">spmv_1!R$14/R472</f>
        <v>2.83807785653398</v>
      </c>
      <c r="T472" s="6" t="n">
        <f aca="false">S472/128</f>
        <v>0.0221724832541717</v>
      </c>
    </row>
    <row r="473" customFormat="false" ht="15" hidden="false" customHeight="false" outlineLevel="0" collapsed="false">
      <c r="A473" s="1" t="s">
        <v>18</v>
      </c>
      <c r="B473" s="1" t="n">
        <v>78</v>
      </c>
      <c r="D473" s="1" t="n">
        <v>6049934</v>
      </c>
      <c r="E473" s="1" t="n">
        <v>0.031347</v>
      </c>
      <c r="G473" s="1" t="n">
        <v>0.389224529</v>
      </c>
      <c r="H473" s="1" t="n">
        <v>0.393184423</v>
      </c>
      <c r="I473" s="1" t="n">
        <v>0.385175467</v>
      </c>
      <c r="J473" s="1" t="n">
        <v>0.384912729</v>
      </c>
      <c r="K473" s="1" t="n">
        <v>0.381114483</v>
      </c>
      <c r="L473" s="1" t="n">
        <v>0.384927988</v>
      </c>
      <c r="M473" s="1" t="n">
        <v>0.383073092</v>
      </c>
      <c r="N473" s="1" t="n">
        <v>0.383153677</v>
      </c>
      <c r="O473" s="1" t="n">
        <v>0.389806986</v>
      </c>
      <c r="P473" s="1" t="n">
        <v>0.385443687</v>
      </c>
      <c r="R473" s="1" t="n">
        <f aca="false">PERCENTILE(G473:P473,0.9)</f>
        <v>0.3901447297</v>
      </c>
      <c r="S473" s="5" t="n">
        <f aca="false">spmv_1!R$14/R473</f>
        <v>2.83111388829816</v>
      </c>
      <c r="T473" s="6" t="n">
        <f aca="false">S473/128</f>
        <v>0.0221180772523293</v>
      </c>
    </row>
    <row r="474" customFormat="false" ht="15" hidden="false" customHeight="false" outlineLevel="0" collapsed="false">
      <c r="A474" s="1" t="s">
        <v>18</v>
      </c>
      <c r="B474" s="1" t="n">
        <v>79</v>
      </c>
      <c r="D474" s="1" t="n">
        <v>6049933</v>
      </c>
      <c r="E474" s="1" t="n">
        <v>0.031413</v>
      </c>
      <c r="G474" s="1" t="n">
        <v>0.384903908</v>
      </c>
      <c r="H474" s="1" t="n">
        <v>0.391870975</v>
      </c>
      <c r="I474" s="1" t="n">
        <v>0.381984949</v>
      </c>
      <c r="J474" s="1" t="n">
        <v>0.380936623</v>
      </c>
      <c r="K474" s="1" t="n">
        <v>0.378332138</v>
      </c>
      <c r="L474" s="1" t="n">
        <v>0.383455515</v>
      </c>
      <c r="M474" s="1" t="n">
        <v>0.379842281</v>
      </c>
      <c r="N474" s="1" t="n">
        <v>0.378462553</v>
      </c>
      <c r="O474" s="1" t="n">
        <v>0.387691021</v>
      </c>
      <c r="P474" s="1" t="n">
        <v>0.404397011</v>
      </c>
      <c r="R474" s="1" t="n">
        <f aca="false">PERCENTILE(G474:P474,0.9)</f>
        <v>0.3931235786</v>
      </c>
      <c r="S474" s="5" t="n">
        <f aca="false">spmv_1!R$14/R474</f>
        <v>2.8096614470023</v>
      </c>
      <c r="T474" s="6" t="n">
        <f aca="false">S474/128</f>
        <v>0.0219504800547055</v>
      </c>
    </row>
    <row r="475" customFormat="false" ht="15" hidden="false" customHeight="false" outlineLevel="0" collapsed="false">
      <c r="A475" s="1" t="s">
        <v>18</v>
      </c>
      <c r="B475" s="1" t="n">
        <v>80</v>
      </c>
      <c r="D475" s="1" t="n">
        <v>6051010</v>
      </c>
      <c r="E475" s="1" t="n">
        <v>0.03067</v>
      </c>
      <c r="G475" s="1" t="n">
        <v>0.398660898</v>
      </c>
      <c r="H475" s="1" t="n">
        <v>0.399148464</v>
      </c>
      <c r="I475" s="1" t="n">
        <v>0.392949343</v>
      </c>
      <c r="J475" s="1" t="n">
        <v>0.392279863</v>
      </c>
      <c r="K475" s="1" t="n">
        <v>0.391592026</v>
      </c>
      <c r="L475" s="1" t="n">
        <v>0.393325806</v>
      </c>
      <c r="M475" s="1" t="n">
        <v>0.392424583</v>
      </c>
      <c r="N475" s="1" t="n">
        <v>0.39431119</v>
      </c>
      <c r="O475" s="1" t="n">
        <v>0.396700144</v>
      </c>
      <c r="P475" s="1" t="n">
        <v>0.394473314</v>
      </c>
      <c r="R475" s="1" t="n">
        <f aca="false">PERCENTILE(G475:P475,0.9)</f>
        <v>0.3987096546</v>
      </c>
      <c r="S475" s="5" t="n">
        <f aca="false">spmv_1!R$14/R475</f>
        <v>2.77029700674823</v>
      </c>
      <c r="T475" s="6" t="n">
        <f aca="false">S475/128</f>
        <v>0.0216429453652205</v>
      </c>
    </row>
    <row r="476" customFormat="false" ht="15" hidden="false" customHeight="false" outlineLevel="0" collapsed="false">
      <c r="A476" s="1" t="s">
        <v>18</v>
      </c>
      <c r="B476" s="1" t="n">
        <v>81</v>
      </c>
      <c r="D476" s="1" t="n">
        <v>6051729</v>
      </c>
      <c r="E476" s="1" t="n">
        <v>0.030627</v>
      </c>
      <c r="G476" s="1" t="n">
        <v>0.399320364</v>
      </c>
      <c r="H476" s="1" t="n">
        <v>0.402481079</v>
      </c>
      <c r="I476" s="1" t="n">
        <v>0.393019199</v>
      </c>
      <c r="J476" s="1" t="n">
        <v>0.392348766</v>
      </c>
      <c r="K476" s="1" t="n">
        <v>0.392472982</v>
      </c>
      <c r="L476" s="1" t="n">
        <v>0.393456697</v>
      </c>
      <c r="M476" s="1" t="n">
        <v>0.392487764</v>
      </c>
      <c r="N476" s="1" t="n">
        <v>0.394781351</v>
      </c>
      <c r="O476" s="1" t="n">
        <v>0.396609068</v>
      </c>
      <c r="P476" s="1" t="n">
        <v>0.394932985</v>
      </c>
      <c r="R476" s="1" t="n">
        <f aca="false">PERCENTILE(G476:P476,0.9)</f>
        <v>0.3996364355</v>
      </c>
      <c r="S476" s="5" t="n">
        <f aca="false">spmv_1!R$14/R476</f>
        <v>2.76387252157843</v>
      </c>
      <c r="T476" s="6" t="n">
        <f aca="false">S476/128</f>
        <v>0.0215927540748315</v>
      </c>
    </row>
    <row r="477" customFormat="false" ht="15" hidden="false" customHeight="false" outlineLevel="0" collapsed="false">
      <c r="A477" s="1" t="s">
        <v>18</v>
      </c>
      <c r="B477" s="1" t="n">
        <v>82</v>
      </c>
      <c r="D477" s="1" t="n">
        <v>6050652</v>
      </c>
      <c r="E477" s="1" t="n">
        <v>0.031278</v>
      </c>
      <c r="G477" s="1" t="n">
        <v>0.388367653</v>
      </c>
      <c r="H477" s="1" t="n">
        <v>0.393596649</v>
      </c>
      <c r="I477" s="1" t="n">
        <v>0.386694908</v>
      </c>
      <c r="J477" s="1" t="n">
        <v>0.385372162</v>
      </c>
      <c r="K477" s="1" t="n">
        <v>0.380565166</v>
      </c>
      <c r="L477" s="1" t="n">
        <v>0.388797283</v>
      </c>
      <c r="M477" s="1" t="n">
        <v>0.381992102</v>
      </c>
      <c r="N477" s="1" t="n">
        <v>0.382676363</v>
      </c>
      <c r="O477" s="1" t="n">
        <v>0.390793562</v>
      </c>
      <c r="P477" s="1" t="n">
        <v>0.390115738</v>
      </c>
      <c r="R477" s="1" t="n">
        <f aca="false">PERCENTILE(G477:P477,0.9)</f>
        <v>0.3910738707</v>
      </c>
      <c r="S477" s="5" t="n">
        <f aca="false">spmv_1!R$14/R477</f>
        <v>2.82438752740736</v>
      </c>
      <c r="T477" s="6" t="n">
        <f aca="false">S477/128</f>
        <v>0.02206552755787</v>
      </c>
    </row>
    <row r="478" customFormat="false" ht="15" hidden="false" customHeight="false" outlineLevel="0" collapsed="false">
      <c r="A478" s="1" t="s">
        <v>18</v>
      </c>
      <c r="B478" s="1" t="n">
        <v>83</v>
      </c>
      <c r="D478" s="1" t="n">
        <v>6049575</v>
      </c>
      <c r="E478" s="1" t="n">
        <v>0.031271</v>
      </c>
      <c r="G478" s="1" t="n">
        <v>0.388300657</v>
      </c>
      <c r="H478" s="1" t="n">
        <v>0.393805742</v>
      </c>
      <c r="I478" s="1" t="n">
        <v>0.386583805</v>
      </c>
      <c r="J478" s="1" t="n">
        <v>0.383227825</v>
      </c>
      <c r="K478" s="1" t="n">
        <v>0.382764101</v>
      </c>
      <c r="L478" s="1" t="n">
        <v>0.388082027</v>
      </c>
      <c r="M478" s="1" t="n">
        <v>0.382485628</v>
      </c>
      <c r="N478" s="1" t="n">
        <v>0.3831532</v>
      </c>
      <c r="O478" s="1" t="n">
        <v>0.392393589</v>
      </c>
      <c r="P478" s="1" t="n">
        <v>0.388291597</v>
      </c>
      <c r="R478" s="1" t="n">
        <f aca="false">PERCENTILE(G478:P478,0.9)</f>
        <v>0.3925348043</v>
      </c>
      <c r="S478" s="5" t="n">
        <f aca="false">spmv_1!R$14/R478</f>
        <v>2.81387573942574</v>
      </c>
      <c r="T478" s="6" t="n">
        <f aca="false">S478/128</f>
        <v>0.0219834042142636</v>
      </c>
    </row>
    <row r="479" customFormat="false" ht="15" hidden="false" customHeight="false" outlineLevel="0" collapsed="false">
      <c r="A479" s="1" t="s">
        <v>18</v>
      </c>
      <c r="B479" s="1" t="n">
        <v>84</v>
      </c>
      <c r="D479" s="1" t="n">
        <v>6048498</v>
      </c>
      <c r="E479" s="1" t="n">
        <v>0.030934</v>
      </c>
      <c r="G479" s="1" t="n">
        <v>0.392203569</v>
      </c>
      <c r="H479" s="1" t="n">
        <v>0.397522926</v>
      </c>
      <c r="I479" s="1" t="n">
        <v>0.391792297</v>
      </c>
      <c r="J479" s="1" t="n">
        <v>0.387243032</v>
      </c>
      <c r="K479" s="1" t="n">
        <v>0.386311293</v>
      </c>
      <c r="L479" s="1" t="n">
        <v>0.393019676</v>
      </c>
      <c r="M479" s="1" t="n">
        <v>0.38506937</v>
      </c>
      <c r="N479" s="1" t="n">
        <v>0.386405468</v>
      </c>
      <c r="O479" s="1" t="n">
        <v>0.395537138</v>
      </c>
      <c r="P479" s="1" t="n">
        <v>0.395534277</v>
      </c>
      <c r="R479" s="1" t="n">
        <f aca="false">PERCENTILE(G479:P479,0.9)</f>
        <v>0.3957357168</v>
      </c>
      <c r="S479" s="5" t="n">
        <f aca="false">spmv_1!R$14/R479</f>
        <v>2.79111567596569</v>
      </c>
      <c r="T479" s="6" t="n">
        <f aca="false">S479/128</f>
        <v>0.021805591218482</v>
      </c>
    </row>
    <row r="480" customFormat="false" ht="15" hidden="false" customHeight="false" outlineLevel="0" collapsed="false">
      <c r="A480" s="1" t="s">
        <v>18</v>
      </c>
      <c r="B480" s="1" t="n">
        <v>85</v>
      </c>
      <c r="D480" s="1" t="n">
        <v>6048498</v>
      </c>
      <c r="E480" s="1" t="n">
        <v>0.030086</v>
      </c>
      <c r="G480" s="1" t="n">
        <v>0.400665998</v>
      </c>
      <c r="H480" s="1" t="n">
        <v>0.402523994</v>
      </c>
      <c r="I480" s="1" t="n">
        <v>0.396585226</v>
      </c>
      <c r="J480" s="1" t="n">
        <v>0.393817902</v>
      </c>
      <c r="K480" s="1" t="n">
        <v>0.395270109</v>
      </c>
      <c r="L480" s="1" t="n">
        <v>0.398436785</v>
      </c>
      <c r="M480" s="1" t="n">
        <v>0.392976522</v>
      </c>
      <c r="N480" s="1" t="n">
        <v>0.396193504</v>
      </c>
      <c r="O480" s="1" t="n">
        <v>0.401377678</v>
      </c>
      <c r="P480" s="1" t="n">
        <v>0.442895412</v>
      </c>
      <c r="R480" s="1" t="n">
        <f aca="false">PERCENTILE(G480:P480,0.9)</f>
        <v>0.4065611358</v>
      </c>
      <c r="S480" s="5" t="n">
        <f aca="false">spmv_1!R$14/R480</f>
        <v>2.71679721802863</v>
      </c>
      <c r="T480" s="6" t="n">
        <f aca="false">S480/128</f>
        <v>0.0212249782658487</v>
      </c>
    </row>
    <row r="481" customFormat="false" ht="15" hidden="false" customHeight="false" outlineLevel="0" collapsed="false">
      <c r="A481" s="1" t="s">
        <v>18</v>
      </c>
      <c r="B481" s="1" t="n">
        <v>86</v>
      </c>
      <c r="D481" s="1" t="n">
        <v>6049575</v>
      </c>
      <c r="E481" s="1" t="n">
        <v>0.030462</v>
      </c>
      <c r="G481" s="1" t="n">
        <v>0.399846554</v>
      </c>
      <c r="H481" s="1" t="n">
        <v>0.402993917</v>
      </c>
      <c r="I481" s="1" t="n">
        <v>0.39606905</v>
      </c>
      <c r="J481" s="1" t="n">
        <v>0.393391371</v>
      </c>
      <c r="K481" s="1" t="n">
        <v>0.39478755</v>
      </c>
      <c r="L481" s="1" t="n">
        <v>0.39743495</v>
      </c>
      <c r="M481" s="1" t="n">
        <v>0.392741919</v>
      </c>
      <c r="N481" s="1" t="n">
        <v>0.395663977</v>
      </c>
      <c r="O481" s="1" t="n">
        <v>0.400477886</v>
      </c>
      <c r="P481" s="1" t="n">
        <v>0.398534775</v>
      </c>
      <c r="R481" s="1" t="n">
        <f aca="false">PERCENTILE(G481:P481,0.9)</f>
        <v>0.4007294891</v>
      </c>
      <c r="S481" s="5" t="n">
        <f aca="false">spmv_1!R$14/R481</f>
        <v>2.75633361842349</v>
      </c>
      <c r="T481" s="6" t="n">
        <f aca="false">S481/128</f>
        <v>0.0215338563939335</v>
      </c>
    </row>
    <row r="482" customFormat="false" ht="15" hidden="false" customHeight="false" outlineLevel="0" collapsed="false">
      <c r="A482" s="1" t="s">
        <v>18</v>
      </c>
      <c r="B482" s="1" t="n">
        <v>87</v>
      </c>
      <c r="D482" s="1" t="n">
        <v>6050652</v>
      </c>
      <c r="E482" s="1" t="n">
        <v>0.030363</v>
      </c>
      <c r="G482" s="1" t="n">
        <v>0.401012897</v>
      </c>
      <c r="H482" s="1" t="n">
        <v>0.404465914</v>
      </c>
      <c r="I482" s="1" t="n">
        <v>0.398226738</v>
      </c>
      <c r="J482" s="1" t="n">
        <v>0.395582676</v>
      </c>
      <c r="K482" s="1" t="n">
        <v>0.397110701</v>
      </c>
      <c r="L482" s="1" t="n">
        <v>0.399973154</v>
      </c>
      <c r="M482" s="1" t="n">
        <v>0.394214153</v>
      </c>
      <c r="N482" s="1" t="n">
        <v>0.39705801</v>
      </c>
      <c r="O482" s="1" t="n">
        <v>0.402515411</v>
      </c>
      <c r="P482" s="1" t="n">
        <v>0.395374298</v>
      </c>
      <c r="R482" s="1" t="n">
        <f aca="false">PERCENTILE(G482:P482,0.9)</f>
        <v>0.4027104613</v>
      </c>
      <c r="S482" s="5" t="n">
        <f aca="false">spmv_1!R$14/R482</f>
        <v>2.74277494340324</v>
      </c>
      <c r="T482" s="6" t="n">
        <f aca="false">S482/128</f>
        <v>0.0214279292453378</v>
      </c>
    </row>
    <row r="483" customFormat="false" ht="15" hidden="false" customHeight="false" outlineLevel="0" collapsed="false">
      <c r="A483" s="1" t="s">
        <v>18</v>
      </c>
      <c r="B483" s="1" t="n">
        <v>88</v>
      </c>
      <c r="D483" s="1" t="n">
        <v>6051729</v>
      </c>
      <c r="E483" s="1" t="n">
        <v>0.030268</v>
      </c>
      <c r="G483" s="1" t="n">
        <v>0.40406847</v>
      </c>
      <c r="H483" s="1" t="n">
        <v>0.403956175</v>
      </c>
      <c r="I483" s="1" t="n">
        <v>0.398324966</v>
      </c>
      <c r="J483" s="1" t="n">
        <v>0.396255016</v>
      </c>
      <c r="K483" s="1" t="n">
        <v>0.398901939</v>
      </c>
      <c r="L483" s="1" t="n">
        <v>0.400080442</v>
      </c>
      <c r="M483" s="1" t="n">
        <v>0.396981001</v>
      </c>
      <c r="N483" s="1" t="n">
        <v>0.399774075</v>
      </c>
      <c r="O483" s="1" t="n">
        <v>0.401714563</v>
      </c>
      <c r="P483" s="1" t="n">
        <v>0.398651838</v>
      </c>
      <c r="R483" s="1" t="n">
        <f aca="false">PERCENTILE(G483:P483,0.9)</f>
        <v>0.4039674045</v>
      </c>
      <c r="S483" s="5" t="n">
        <f aca="false">spmv_1!R$14/R483</f>
        <v>2.73424080853038</v>
      </c>
      <c r="T483" s="6" t="n">
        <f aca="false">S483/128</f>
        <v>0.0213612563166436</v>
      </c>
    </row>
    <row r="484" customFormat="false" ht="15" hidden="false" customHeight="false" outlineLevel="0" collapsed="false">
      <c r="A484" s="1" t="s">
        <v>18</v>
      </c>
      <c r="B484" s="1" t="n">
        <v>89</v>
      </c>
      <c r="D484" s="1" t="n">
        <v>6051729</v>
      </c>
      <c r="E484" s="1" t="n">
        <v>0.030591</v>
      </c>
      <c r="G484" s="1" t="n">
        <v>0.407778025</v>
      </c>
      <c r="H484" s="1" t="n">
        <v>0.406000853</v>
      </c>
      <c r="I484" s="1" t="n">
        <v>0.39205122</v>
      </c>
      <c r="J484" s="1" t="n">
        <v>0.389011383</v>
      </c>
      <c r="K484" s="1" t="n">
        <v>0.399930954</v>
      </c>
      <c r="L484" s="1" t="n">
        <v>0.394639015</v>
      </c>
      <c r="M484" s="1" t="n">
        <v>0.387791395</v>
      </c>
      <c r="N484" s="1" t="n">
        <v>0.389326811</v>
      </c>
      <c r="O484" s="1" t="n">
        <v>0.398942232</v>
      </c>
      <c r="P484" s="1" t="n">
        <v>0.391094446</v>
      </c>
      <c r="R484" s="1" t="n">
        <f aca="false">PERCENTILE(G484:P484,0.9)</f>
        <v>0.4061785702</v>
      </c>
      <c r="S484" s="5" t="n">
        <f aca="false">spmv_1!R$14/R484</f>
        <v>2.71935607571844</v>
      </c>
      <c r="T484" s="6" t="n">
        <f aca="false">S484/128</f>
        <v>0.0212449693415503</v>
      </c>
    </row>
    <row r="485" customFormat="false" ht="15" hidden="false" customHeight="false" outlineLevel="0" collapsed="false">
      <c r="A485" s="1" t="s">
        <v>18</v>
      </c>
      <c r="B485" s="1" t="n">
        <v>90</v>
      </c>
      <c r="D485" s="1" t="n">
        <v>6050652</v>
      </c>
      <c r="E485" s="1" t="n">
        <v>0.030847</v>
      </c>
      <c r="G485" s="1" t="n">
        <v>0.393095255</v>
      </c>
      <c r="H485" s="1" t="n">
        <v>0.397451162</v>
      </c>
      <c r="I485" s="1" t="n">
        <v>0.391270399</v>
      </c>
      <c r="J485" s="1" t="n">
        <v>0.386123896</v>
      </c>
      <c r="K485" s="1" t="n">
        <v>0.392648697</v>
      </c>
      <c r="L485" s="1" t="n">
        <v>0.395621777</v>
      </c>
      <c r="M485" s="1" t="n">
        <v>0.389814377</v>
      </c>
      <c r="N485" s="1" t="n">
        <v>0.390548944</v>
      </c>
      <c r="O485" s="1" t="n">
        <v>0.394544363</v>
      </c>
      <c r="P485" s="1" t="n">
        <v>0.391866207</v>
      </c>
      <c r="R485" s="1" t="n">
        <f aca="false">PERCENTILE(G485:P485,0.9)</f>
        <v>0.3958047155</v>
      </c>
      <c r="S485" s="5" t="n">
        <f aca="false">spmv_1!R$14/R485</f>
        <v>2.79062911442246</v>
      </c>
      <c r="T485" s="6" t="n">
        <f aca="false">S485/128</f>
        <v>0.0218017899564255</v>
      </c>
    </row>
    <row r="486" customFormat="false" ht="15" hidden="false" customHeight="false" outlineLevel="0" collapsed="false">
      <c r="A486" s="1" t="s">
        <v>18</v>
      </c>
      <c r="B486" s="1" t="n">
        <v>91</v>
      </c>
      <c r="D486" s="1" t="n">
        <v>6049575</v>
      </c>
      <c r="E486" s="1" t="n">
        <v>0.030281</v>
      </c>
      <c r="G486" s="1" t="n">
        <v>0.402482986</v>
      </c>
      <c r="H486" s="1" t="n">
        <v>0.402749062</v>
      </c>
      <c r="I486" s="1" t="n">
        <v>0.397535563</v>
      </c>
      <c r="J486" s="1" t="n">
        <v>0.395296335</v>
      </c>
      <c r="K486" s="1" t="n">
        <v>0.399980545</v>
      </c>
      <c r="L486" s="1" t="n">
        <v>0.400764942</v>
      </c>
      <c r="M486" s="1" t="n">
        <v>0.397926569</v>
      </c>
      <c r="N486" s="1" t="n">
        <v>0.399902582</v>
      </c>
      <c r="O486" s="1" t="n">
        <v>0.400752068</v>
      </c>
      <c r="P486" s="1" t="n">
        <v>0.398226261</v>
      </c>
      <c r="R486" s="1" t="n">
        <f aca="false">PERCENTILE(G486:P486,0.9)</f>
        <v>0.4025095936</v>
      </c>
      <c r="S486" s="5" t="n">
        <f aca="false">spmv_1!R$14/R486</f>
        <v>2.74414369312563</v>
      </c>
      <c r="T486" s="6" t="n">
        <f aca="false">S486/128</f>
        <v>0.021438622602544</v>
      </c>
    </row>
    <row r="487" customFormat="false" ht="15" hidden="false" customHeight="false" outlineLevel="0" collapsed="false">
      <c r="A487" s="1" t="s">
        <v>18</v>
      </c>
      <c r="B487" s="1" t="n">
        <v>92</v>
      </c>
      <c r="D487" s="1" t="n">
        <v>6048498</v>
      </c>
      <c r="E487" s="1" t="n">
        <v>0.030743</v>
      </c>
      <c r="G487" s="1" t="n">
        <v>0.393326044</v>
      </c>
      <c r="H487" s="1" t="n">
        <v>0.396914244</v>
      </c>
      <c r="I487" s="1" t="n">
        <v>0.393214703</v>
      </c>
      <c r="J487" s="1" t="n">
        <v>0.388684273</v>
      </c>
      <c r="K487" s="1" t="n">
        <v>0.392824888</v>
      </c>
      <c r="L487" s="1" t="n">
        <v>0.398056984</v>
      </c>
      <c r="M487" s="1" t="n">
        <v>0.391229868</v>
      </c>
      <c r="N487" s="1" t="n">
        <v>0.391732693</v>
      </c>
      <c r="O487" s="1" t="n">
        <v>0.394817829</v>
      </c>
      <c r="P487" s="1" t="n">
        <v>0.394036531</v>
      </c>
      <c r="R487" s="1" t="n">
        <f aca="false">PERCENTILE(G487:P487,0.9)</f>
        <v>0.397028518</v>
      </c>
      <c r="S487" s="5" t="n">
        <f aca="false">spmv_1!R$14/R487</f>
        <v>2.78202726661564</v>
      </c>
      <c r="T487" s="6" t="n">
        <f aca="false">S487/128</f>
        <v>0.0217345880204347</v>
      </c>
    </row>
    <row r="488" customFormat="false" ht="15" hidden="false" customHeight="false" outlineLevel="0" collapsed="false">
      <c r="A488" s="1" t="s">
        <v>18</v>
      </c>
      <c r="B488" s="1" t="n">
        <v>93</v>
      </c>
      <c r="D488" s="1" t="n">
        <v>6048498</v>
      </c>
      <c r="E488" s="1" t="n">
        <v>0.030355</v>
      </c>
      <c r="G488" s="1" t="n">
        <v>0.400353193</v>
      </c>
      <c r="H488" s="1" t="n">
        <v>0.397835732</v>
      </c>
      <c r="I488" s="1" t="n">
        <v>0.397187471</v>
      </c>
      <c r="J488" s="1" t="n">
        <v>0.3935256</v>
      </c>
      <c r="K488" s="1" t="n">
        <v>0.401973248</v>
      </c>
      <c r="L488" s="1" t="n">
        <v>0.403199196</v>
      </c>
      <c r="M488" s="1" t="n">
        <v>0.397073269</v>
      </c>
      <c r="N488" s="1" t="n">
        <v>0.398388863</v>
      </c>
      <c r="O488" s="1" t="n">
        <v>0.397450924</v>
      </c>
      <c r="P488" s="1" t="n">
        <v>0.398174047</v>
      </c>
      <c r="R488" s="1" t="n">
        <f aca="false">PERCENTILE(G488:P488,0.9)</f>
        <v>0.4020958428</v>
      </c>
      <c r="S488" s="5" t="n">
        <f aca="false">spmv_1!R$14/R488</f>
        <v>2.74696737725138</v>
      </c>
      <c r="T488" s="6" t="n">
        <f aca="false">S488/128</f>
        <v>0.0214606826347764</v>
      </c>
    </row>
    <row r="489" customFormat="false" ht="15" hidden="false" customHeight="false" outlineLevel="0" collapsed="false">
      <c r="A489" s="1" t="s">
        <v>18</v>
      </c>
      <c r="B489" s="1" t="n">
        <v>94</v>
      </c>
      <c r="D489" s="1" t="n">
        <v>6049216</v>
      </c>
      <c r="E489" s="1" t="n">
        <v>0.030394</v>
      </c>
      <c r="G489" s="1" t="n">
        <v>0.399020672</v>
      </c>
      <c r="H489" s="1" t="n">
        <v>0.397761583</v>
      </c>
      <c r="I489" s="1" t="n">
        <v>0.397450924</v>
      </c>
      <c r="J489" s="1" t="n">
        <v>0.392790079</v>
      </c>
      <c r="K489" s="1" t="n">
        <v>0.400000572</v>
      </c>
      <c r="L489" s="1" t="n">
        <v>0.403088331</v>
      </c>
      <c r="M489" s="1" t="n">
        <v>0.395967245</v>
      </c>
      <c r="N489" s="1" t="n">
        <v>0.397892714</v>
      </c>
      <c r="O489" s="1" t="n">
        <v>0.398786545</v>
      </c>
      <c r="P489" s="1" t="n">
        <v>0.39778018</v>
      </c>
      <c r="R489" s="1" t="n">
        <f aca="false">PERCENTILE(G489:P489,0.9)</f>
        <v>0.4003093479</v>
      </c>
      <c r="S489" s="5" t="n">
        <f aca="false">spmv_1!R$14/R489</f>
        <v>2.75922650443807</v>
      </c>
      <c r="T489" s="6" t="n">
        <f aca="false">S489/128</f>
        <v>0.0215564570659224</v>
      </c>
    </row>
    <row r="490" customFormat="false" ht="15" hidden="false" customHeight="false" outlineLevel="0" collapsed="false">
      <c r="A490" s="1" t="s">
        <v>18</v>
      </c>
      <c r="B490" s="1" t="n">
        <v>95</v>
      </c>
      <c r="D490" s="1" t="n">
        <v>6049574</v>
      </c>
      <c r="E490" s="1" t="n">
        <v>0.030189</v>
      </c>
      <c r="G490" s="1" t="n">
        <v>0.401220083</v>
      </c>
      <c r="H490" s="1" t="n">
        <v>0.399401188</v>
      </c>
      <c r="I490" s="1" t="n">
        <v>0.397559643</v>
      </c>
      <c r="J490" s="1" t="n">
        <v>0.394727707</v>
      </c>
      <c r="K490" s="1" t="n">
        <v>0.399939775</v>
      </c>
      <c r="L490" s="1" t="n">
        <v>0.422553062</v>
      </c>
      <c r="M490" s="1" t="n">
        <v>0.397074461</v>
      </c>
      <c r="N490" s="1" t="n">
        <v>0.398964643</v>
      </c>
      <c r="O490" s="1" t="n">
        <v>0.398441076</v>
      </c>
      <c r="P490" s="1" t="n">
        <v>0.39786005</v>
      </c>
      <c r="R490" s="1" t="n">
        <f aca="false">PERCENTILE(G490:P490,0.9)</f>
        <v>0.4033533809</v>
      </c>
      <c r="S490" s="5" t="n">
        <f aca="false">spmv_1!R$14/R490</f>
        <v>2.73840313482792</v>
      </c>
      <c r="T490" s="6" t="n">
        <f aca="false">S490/128</f>
        <v>0.0213937744908431</v>
      </c>
    </row>
    <row r="491" customFormat="false" ht="15" hidden="false" customHeight="false" outlineLevel="0" collapsed="false">
      <c r="A491" s="1" t="s">
        <v>18</v>
      </c>
      <c r="B491" s="1" t="n">
        <v>96</v>
      </c>
      <c r="D491" s="1" t="n">
        <v>6049574</v>
      </c>
      <c r="E491" s="1" t="n">
        <v>0.028857</v>
      </c>
      <c r="G491" s="1" t="n">
        <v>0.419236422</v>
      </c>
      <c r="H491" s="1" t="n">
        <v>0.419575453</v>
      </c>
      <c r="I491" s="1" t="n">
        <v>0.420015812</v>
      </c>
      <c r="J491" s="1" t="n">
        <v>0.416311264</v>
      </c>
      <c r="K491" s="1" t="n">
        <v>0.420324087</v>
      </c>
      <c r="L491" s="1" t="n">
        <v>0.420466185</v>
      </c>
      <c r="M491" s="1" t="n">
        <v>0.415088415</v>
      </c>
      <c r="N491" s="1" t="n">
        <v>0.420929193</v>
      </c>
      <c r="O491" s="1" t="n">
        <v>0.419643641</v>
      </c>
      <c r="P491" s="1" t="n">
        <v>0.421210289</v>
      </c>
      <c r="R491" s="1" t="n">
        <f aca="false">PERCENTILE(G491:P491,0.9)</f>
        <v>0.4209573026</v>
      </c>
      <c r="S491" s="5" t="n">
        <f aca="false">spmv_1!R$14/R491</f>
        <v>2.62388645090107</v>
      </c>
      <c r="T491" s="6" t="n">
        <f aca="false">S491/128</f>
        <v>0.0204991128976646</v>
      </c>
    </row>
    <row r="492" customFormat="false" ht="15" hidden="false" customHeight="false" outlineLevel="0" collapsed="false">
      <c r="A492" s="1" t="s">
        <v>18</v>
      </c>
      <c r="B492" s="1" t="n">
        <v>97</v>
      </c>
      <c r="D492" s="1" t="n">
        <v>6049216</v>
      </c>
      <c r="E492" s="1" t="n">
        <v>0.031596</v>
      </c>
      <c r="G492" s="1" t="n">
        <v>0.381661892</v>
      </c>
      <c r="H492" s="1" t="n">
        <v>0.382529974</v>
      </c>
      <c r="I492" s="1" t="n">
        <v>0.38472414</v>
      </c>
      <c r="J492" s="1" t="n">
        <v>0.379051208</v>
      </c>
      <c r="K492" s="1" t="n">
        <v>0.38399291</v>
      </c>
      <c r="L492" s="1" t="n">
        <v>0.385202646</v>
      </c>
      <c r="M492" s="1" t="n">
        <v>0.380943537</v>
      </c>
      <c r="N492" s="1" t="n">
        <v>0.383446932</v>
      </c>
      <c r="O492" s="1" t="n">
        <v>0.384883165</v>
      </c>
      <c r="P492" s="1" t="n">
        <v>0.38268733</v>
      </c>
      <c r="R492" s="1" t="n">
        <f aca="false">PERCENTILE(G492:P492,0.9)</f>
        <v>0.3849151131</v>
      </c>
      <c r="S492" s="5" t="n">
        <f aca="false">spmv_1!R$14/R492</f>
        <v>2.86957857747987</v>
      </c>
      <c r="T492" s="6" t="n">
        <f aca="false">S492/128</f>
        <v>0.0224185826365615</v>
      </c>
    </row>
    <row r="493" customFormat="false" ht="15" hidden="false" customHeight="false" outlineLevel="0" collapsed="false">
      <c r="A493" s="1" t="s">
        <v>18</v>
      </c>
      <c r="B493" s="1" t="n">
        <v>98</v>
      </c>
      <c r="D493" s="1" t="n">
        <v>6048498</v>
      </c>
      <c r="E493" s="1" t="n">
        <v>0.028883</v>
      </c>
      <c r="G493" s="1" t="n">
        <v>0.41768527</v>
      </c>
      <c r="H493" s="1" t="n">
        <v>0.421184063</v>
      </c>
      <c r="I493" s="1" t="n">
        <v>0.417409897</v>
      </c>
      <c r="J493" s="1" t="n">
        <v>0.416172981</v>
      </c>
      <c r="K493" s="1" t="n">
        <v>0.420743942</v>
      </c>
      <c r="L493" s="1" t="n">
        <v>0.419023037</v>
      </c>
      <c r="M493" s="1" t="n">
        <v>0.415371418</v>
      </c>
      <c r="N493" s="1" t="n">
        <v>0.421693087</v>
      </c>
      <c r="O493" s="1" t="n">
        <v>0.418076515</v>
      </c>
      <c r="P493" s="1" t="n">
        <v>0.420970678</v>
      </c>
      <c r="R493" s="1" t="n">
        <f aca="false">PERCENTILE(G493:P493,0.9)</f>
        <v>0.4212349654</v>
      </c>
      <c r="S493" s="5" t="n">
        <f aca="false">spmv_1!R$14/R493</f>
        <v>2.62215688018951</v>
      </c>
      <c r="T493" s="6" t="n">
        <f aca="false">S493/128</f>
        <v>0.0204856006264805</v>
      </c>
    </row>
    <row r="494" customFormat="false" ht="15" hidden="false" customHeight="false" outlineLevel="0" collapsed="false">
      <c r="A494" s="1" t="s">
        <v>18</v>
      </c>
      <c r="B494" s="1" t="n">
        <v>99</v>
      </c>
      <c r="D494" s="1" t="n">
        <v>6048498</v>
      </c>
      <c r="E494" s="1" t="n">
        <v>0.026204</v>
      </c>
      <c r="G494" s="1" t="n">
        <v>0.455971718</v>
      </c>
      <c r="H494" s="1" t="n">
        <v>0.4654181</v>
      </c>
      <c r="I494" s="1" t="n">
        <v>0.460404873</v>
      </c>
      <c r="J494" s="1" t="n">
        <v>0.456680059</v>
      </c>
      <c r="K494" s="1" t="n">
        <v>0.466676235</v>
      </c>
      <c r="L494" s="1" t="n">
        <v>0.459777594</v>
      </c>
      <c r="M494" s="1" t="n">
        <v>0.45971632</v>
      </c>
      <c r="N494" s="1" t="n">
        <v>0.465141535</v>
      </c>
      <c r="O494" s="1" t="n">
        <v>0.460541725</v>
      </c>
      <c r="P494" s="1" t="n">
        <v>0.466075659</v>
      </c>
      <c r="R494" s="1" t="n">
        <f aca="false">PERCENTILE(G494:P494,0.9)</f>
        <v>0.4661357166</v>
      </c>
      <c r="S494" s="5" t="n">
        <f aca="false">spmv_1!R$14/R494</f>
        <v>2.3695763344559</v>
      </c>
      <c r="T494" s="6" t="n">
        <f aca="false">S494/128</f>
        <v>0.0185123151129367</v>
      </c>
    </row>
    <row r="495" customFormat="false" ht="15" hidden="false" customHeight="false" outlineLevel="0" collapsed="false">
      <c r="A495" s="1" t="s">
        <v>18</v>
      </c>
      <c r="B495" s="1" t="n">
        <v>100</v>
      </c>
      <c r="D495" s="1" t="n">
        <v>6049575</v>
      </c>
      <c r="E495" s="1" t="n">
        <v>0.028909</v>
      </c>
      <c r="G495" s="1" t="n">
        <v>0.415680647</v>
      </c>
      <c r="H495" s="1" t="n">
        <v>0.423109531</v>
      </c>
      <c r="I495" s="1" t="n">
        <v>0.415605307</v>
      </c>
      <c r="J495" s="1" t="n">
        <v>0.415607214</v>
      </c>
      <c r="K495" s="1" t="n">
        <v>0.421317339</v>
      </c>
      <c r="L495" s="1" t="n">
        <v>0.417551517</v>
      </c>
      <c r="M495" s="1" t="n">
        <v>0.415897369</v>
      </c>
      <c r="N495" s="1" t="n">
        <v>0.422219992</v>
      </c>
      <c r="O495" s="1" t="n">
        <v>0.416730642</v>
      </c>
      <c r="P495" s="1" t="n">
        <v>0.421518564</v>
      </c>
      <c r="R495" s="1" t="n">
        <f aca="false">PERCENTILE(G495:P495,0.9)</f>
        <v>0.4223089459</v>
      </c>
      <c r="S495" s="5" t="n">
        <f aca="false">spmv_1!R$14/R495</f>
        <v>2.61548843192526</v>
      </c>
      <c r="T495" s="6" t="n">
        <f aca="false">S495/128</f>
        <v>0.0204335033744161</v>
      </c>
    </row>
    <row r="496" customFormat="false" ht="15" hidden="false" customHeight="false" outlineLevel="0" collapsed="false">
      <c r="A496" s="1" t="s">
        <v>18</v>
      </c>
      <c r="B496" s="1" t="n">
        <v>101</v>
      </c>
      <c r="D496" s="1" t="n">
        <v>6050652</v>
      </c>
      <c r="E496" s="1" t="n">
        <v>0.028946</v>
      </c>
      <c r="G496" s="1" t="n">
        <v>0.414228916</v>
      </c>
      <c r="H496" s="1" t="n">
        <v>0.423820019</v>
      </c>
      <c r="I496" s="1" t="n">
        <v>0.416175365</v>
      </c>
      <c r="J496" s="1" t="n">
        <v>0.415451288</v>
      </c>
      <c r="K496" s="1" t="n">
        <v>0.420793772</v>
      </c>
      <c r="L496" s="1" t="n">
        <v>0.416356087</v>
      </c>
      <c r="M496" s="1" t="n">
        <v>0.415396214</v>
      </c>
      <c r="N496" s="1" t="n">
        <v>0.421678543</v>
      </c>
      <c r="O496" s="1" t="n">
        <v>0.415697813</v>
      </c>
      <c r="P496" s="1" t="n">
        <v>0.421064615</v>
      </c>
      <c r="R496" s="1" t="n">
        <f aca="false">PERCENTILE(G496:P496,0.9)</f>
        <v>0.4218926906</v>
      </c>
      <c r="S496" s="5" t="n">
        <f aca="false">spmv_1!R$14/R496</f>
        <v>2.61806897182589</v>
      </c>
      <c r="T496" s="6" t="n">
        <f aca="false">S496/128</f>
        <v>0.0204536638423898</v>
      </c>
    </row>
    <row r="497" customFormat="false" ht="15" hidden="false" customHeight="false" outlineLevel="0" collapsed="false">
      <c r="A497" s="1" t="s">
        <v>18</v>
      </c>
      <c r="B497" s="1" t="n">
        <v>102</v>
      </c>
      <c r="D497" s="1" t="n">
        <v>6051729</v>
      </c>
      <c r="E497" s="1" t="n">
        <v>0.031672</v>
      </c>
      <c r="G497" s="1" t="n">
        <v>0.376303673</v>
      </c>
      <c r="H497" s="1" t="n">
        <v>0.388177395</v>
      </c>
      <c r="I497" s="1" t="n">
        <v>0.383562803</v>
      </c>
      <c r="J497" s="1" t="n">
        <v>0.379957676</v>
      </c>
      <c r="K497" s="1" t="n">
        <v>0.384517908</v>
      </c>
      <c r="L497" s="1" t="n">
        <v>0.378723621</v>
      </c>
      <c r="M497" s="1" t="n">
        <v>0.38143754</v>
      </c>
      <c r="N497" s="1" t="n">
        <v>0.383915424</v>
      </c>
      <c r="O497" s="1" t="n">
        <v>0.381595612</v>
      </c>
      <c r="P497" s="1" t="n">
        <v>0.383254766</v>
      </c>
      <c r="R497" s="1" t="n">
        <f aca="false">PERCENTILE(G497:P497,0.9)</f>
        <v>0.3848838567</v>
      </c>
      <c r="S497" s="5" t="n">
        <f aca="false">spmv_1!R$14/R497</f>
        <v>2.86981161582192</v>
      </c>
      <c r="T497" s="6" t="n">
        <f aca="false">S497/128</f>
        <v>0.0224204032486088</v>
      </c>
    </row>
    <row r="498" customFormat="false" ht="15" hidden="false" customHeight="false" outlineLevel="0" collapsed="false">
      <c r="A498" s="1" t="s">
        <v>18</v>
      </c>
      <c r="B498" s="1" t="n">
        <v>103</v>
      </c>
      <c r="D498" s="1" t="n">
        <v>6051729</v>
      </c>
      <c r="E498" s="1" t="n">
        <v>0.026101</v>
      </c>
      <c r="G498" s="1" t="n">
        <v>0.460047007</v>
      </c>
      <c r="H498" s="1" t="n">
        <v>0.484132767</v>
      </c>
      <c r="I498" s="1" t="n">
        <v>0.46487093</v>
      </c>
      <c r="J498" s="1" t="n">
        <v>0.46125412</v>
      </c>
      <c r="K498" s="1" t="n">
        <v>0.461150646</v>
      </c>
      <c r="L498" s="1" t="n">
        <v>0.456046104</v>
      </c>
      <c r="M498" s="1" t="n">
        <v>0.469547033</v>
      </c>
      <c r="N498" s="1" t="n">
        <v>0.462722301</v>
      </c>
      <c r="O498" s="1" t="n">
        <v>0.461338997</v>
      </c>
      <c r="P498" s="1" t="n">
        <v>0.456019163</v>
      </c>
      <c r="R498" s="1" t="n">
        <f aca="false">PERCENTILE(G498:P498,0.9)</f>
        <v>0.4710056064</v>
      </c>
      <c r="S498" s="5" t="n">
        <f aca="false">spmv_1!R$14/R498</f>
        <v>2.34507646552718</v>
      </c>
      <c r="T498" s="6" t="n">
        <f aca="false">S498/128</f>
        <v>0.0183209098869311</v>
      </c>
    </row>
    <row r="499" customFormat="false" ht="15" hidden="false" customHeight="false" outlineLevel="0" collapsed="false">
      <c r="A499" s="1" t="s">
        <v>18</v>
      </c>
      <c r="B499" s="1" t="n">
        <v>104</v>
      </c>
      <c r="D499" s="1" t="n">
        <v>6050652</v>
      </c>
      <c r="E499" s="1" t="n">
        <v>0.026317</v>
      </c>
      <c r="G499" s="1" t="n">
        <v>0.460562468</v>
      </c>
      <c r="H499" s="1" t="n">
        <v>0.464570761</v>
      </c>
      <c r="I499" s="1" t="n">
        <v>0.461147785</v>
      </c>
      <c r="J499" s="1" t="n">
        <v>0.459362745</v>
      </c>
      <c r="K499" s="1" t="n">
        <v>0.46091032</v>
      </c>
      <c r="L499" s="1" t="n">
        <v>0.454702854</v>
      </c>
      <c r="M499" s="1" t="n">
        <v>0.453949213</v>
      </c>
      <c r="N499" s="1" t="n">
        <v>0.462536335</v>
      </c>
      <c r="O499" s="1" t="n">
        <v>0.460098743</v>
      </c>
      <c r="P499" s="1" t="n">
        <v>0.46040535</v>
      </c>
      <c r="R499" s="1" t="n">
        <f aca="false">PERCENTILE(G499:P499,0.9)</f>
        <v>0.4627397776</v>
      </c>
      <c r="S499" s="5" t="n">
        <f aca="false">spmv_1!R$14/R499</f>
        <v>2.38696610096655</v>
      </c>
      <c r="T499" s="6" t="n">
        <f aca="false">S499/128</f>
        <v>0.0186481726638012</v>
      </c>
    </row>
    <row r="500" customFormat="false" ht="15" hidden="false" customHeight="false" outlineLevel="0" collapsed="false">
      <c r="A500" s="1" t="s">
        <v>18</v>
      </c>
      <c r="B500" s="1" t="n">
        <v>105</v>
      </c>
      <c r="D500" s="1" t="n">
        <v>6049575</v>
      </c>
      <c r="E500" s="1" t="n">
        <v>0.028931</v>
      </c>
      <c r="G500" s="1" t="n">
        <v>0.417940617</v>
      </c>
      <c r="H500" s="1" t="n">
        <v>0.424298048</v>
      </c>
      <c r="I500" s="1" t="n">
        <v>0.419779062</v>
      </c>
      <c r="J500" s="1" t="n">
        <v>0.417752743</v>
      </c>
      <c r="K500" s="1" t="n">
        <v>0.41954875</v>
      </c>
      <c r="L500" s="1" t="n">
        <v>0.41253829</v>
      </c>
      <c r="M500" s="1" t="n">
        <v>0.414523363</v>
      </c>
      <c r="N500" s="1" t="n">
        <v>0.419969082</v>
      </c>
      <c r="O500" s="1" t="n">
        <v>0.415844202</v>
      </c>
      <c r="P500" s="1" t="n">
        <v>0.419939756</v>
      </c>
      <c r="R500" s="1" t="n">
        <f aca="false">PERCENTILE(G500:P500,0.9)</f>
        <v>0.4204019786</v>
      </c>
      <c r="S500" s="5" t="n">
        <f aca="false">spmv_1!R$14/R500</f>
        <v>2.62735243629988</v>
      </c>
      <c r="T500" s="6" t="n">
        <f aca="false">S500/128</f>
        <v>0.0205261909085928</v>
      </c>
    </row>
    <row r="501" customFormat="false" ht="15" hidden="false" customHeight="false" outlineLevel="0" collapsed="false">
      <c r="A501" s="1" t="s">
        <v>18</v>
      </c>
      <c r="B501" s="1" t="n">
        <v>106</v>
      </c>
      <c r="D501" s="1" t="n">
        <v>6048498</v>
      </c>
      <c r="E501" s="1" t="n">
        <v>0.028948</v>
      </c>
      <c r="G501" s="1" t="n">
        <v>0.418947697</v>
      </c>
      <c r="H501" s="1" t="n">
        <v>0.423858166</v>
      </c>
      <c r="I501" s="1" t="n">
        <v>0.420842409</v>
      </c>
      <c r="J501" s="1" t="n">
        <v>0.418582439</v>
      </c>
      <c r="K501" s="1" t="n">
        <v>0.418737888</v>
      </c>
      <c r="L501" s="1" t="n">
        <v>0.411200047</v>
      </c>
      <c r="M501" s="1" t="n">
        <v>0.413655996</v>
      </c>
      <c r="N501" s="1" t="n">
        <v>0.418525457</v>
      </c>
      <c r="O501" s="1" t="n">
        <v>0.4152565</v>
      </c>
      <c r="P501" s="1" t="n">
        <v>0.419192553</v>
      </c>
      <c r="R501" s="1" t="n">
        <f aca="false">PERCENTILE(G501:P501,0.9)</f>
        <v>0.4211439847</v>
      </c>
      <c r="S501" s="5" t="n">
        <f aca="false">spmv_1!R$14/R501</f>
        <v>2.6227233507486</v>
      </c>
      <c r="T501" s="6" t="n">
        <f aca="false">S501/128</f>
        <v>0.0204900261777234</v>
      </c>
    </row>
    <row r="502" customFormat="false" ht="15" hidden="false" customHeight="false" outlineLevel="0" collapsed="false">
      <c r="A502" s="1" t="s">
        <v>18</v>
      </c>
      <c r="B502" s="1" t="n">
        <v>107</v>
      </c>
      <c r="D502" s="1" t="n">
        <v>6048498</v>
      </c>
      <c r="E502" s="1" t="n">
        <v>0.03178</v>
      </c>
      <c r="G502" s="1" t="n">
        <v>0.381689787</v>
      </c>
      <c r="H502" s="1" t="n">
        <v>0.384555578</v>
      </c>
      <c r="I502" s="1" t="n">
        <v>0.387141705</v>
      </c>
      <c r="J502" s="1" t="n">
        <v>0.383157969</v>
      </c>
      <c r="K502" s="1" t="n">
        <v>0.380423546</v>
      </c>
      <c r="L502" s="1" t="n">
        <v>0.371963978</v>
      </c>
      <c r="M502" s="1" t="n">
        <v>0.377864599</v>
      </c>
      <c r="N502" s="1" t="n">
        <v>0.380247593</v>
      </c>
      <c r="O502" s="1" t="n">
        <v>0.380179167</v>
      </c>
      <c r="P502" s="1" t="n">
        <v>0.37927866</v>
      </c>
      <c r="R502" s="1" t="n">
        <f aca="false">PERCENTILE(G502:P502,0.9)</f>
        <v>0.3848141907</v>
      </c>
      <c r="S502" s="5" t="n">
        <f aca="false">spmv_1!R$14/R502</f>
        <v>2.87033116084095</v>
      </c>
      <c r="T502" s="6" t="n">
        <f aca="false">S502/128</f>
        <v>0.0224244621940699</v>
      </c>
    </row>
    <row r="503" customFormat="false" ht="15" hidden="false" customHeight="false" outlineLevel="0" collapsed="false">
      <c r="A503" s="1" t="s">
        <v>18</v>
      </c>
      <c r="B503" s="1" t="n">
        <v>108</v>
      </c>
      <c r="D503" s="1" t="n">
        <v>6049575</v>
      </c>
      <c r="E503" s="1" t="n">
        <v>0.030923</v>
      </c>
      <c r="G503" s="1" t="n">
        <v>0.392968178</v>
      </c>
      <c r="H503" s="1" t="n">
        <v>0.391891003</v>
      </c>
      <c r="I503" s="1" t="n">
        <v>0.398465395</v>
      </c>
      <c r="J503" s="1" t="n">
        <v>0.395478249</v>
      </c>
      <c r="K503" s="1" t="n">
        <v>0.390852451</v>
      </c>
      <c r="L503" s="1" t="n">
        <v>0.38424921</v>
      </c>
      <c r="M503" s="1" t="n">
        <v>0.386208057</v>
      </c>
      <c r="N503" s="1" t="n">
        <v>0.390757561</v>
      </c>
      <c r="O503" s="1" t="n">
        <v>0.391749859</v>
      </c>
      <c r="P503" s="1" t="n">
        <v>0.39009428</v>
      </c>
      <c r="R503" s="1" t="n">
        <f aca="false">PERCENTILE(G503:P503,0.9)</f>
        <v>0.3957769636</v>
      </c>
      <c r="S503" s="5" t="n">
        <f aca="false">spmv_1!R$14/R503</f>
        <v>2.79082479347214</v>
      </c>
      <c r="T503" s="6" t="n">
        <f aca="false">S503/128</f>
        <v>0.0218033186990011</v>
      </c>
    </row>
    <row r="504" customFormat="false" ht="15" hidden="false" customHeight="false" outlineLevel="0" collapsed="false">
      <c r="A504" s="1" t="s">
        <v>18</v>
      </c>
      <c r="B504" s="1" t="n">
        <v>109</v>
      </c>
      <c r="D504" s="1" t="n">
        <v>6050652</v>
      </c>
      <c r="E504" s="1" t="n">
        <v>0.030871</v>
      </c>
      <c r="G504" s="1" t="n">
        <v>0.396272659</v>
      </c>
      <c r="H504" s="1" t="n">
        <v>0.390788078</v>
      </c>
      <c r="I504" s="1" t="n">
        <v>0.399542332</v>
      </c>
      <c r="J504" s="1" t="n">
        <v>0.396335125</v>
      </c>
      <c r="K504" s="1" t="n">
        <v>0.391622305</v>
      </c>
      <c r="L504" s="1" t="n">
        <v>0.384623528</v>
      </c>
      <c r="M504" s="1" t="n">
        <v>0.386135101</v>
      </c>
      <c r="N504" s="1" t="n">
        <v>0.391838551</v>
      </c>
      <c r="O504" s="1" t="n">
        <v>0.392778158</v>
      </c>
      <c r="P504" s="1" t="n">
        <v>0.389961481</v>
      </c>
      <c r="R504" s="1" t="n">
        <f aca="false">PERCENTILE(G504:P504,0.9)</f>
        <v>0.3966558457</v>
      </c>
      <c r="S504" s="5" t="n">
        <f aca="false">spmv_1!R$14/R504</f>
        <v>2.78464108035708</v>
      </c>
      <c r="T504" s="6" t="n">
        <f aca="false">S504/128</f>
        <v>0.0217550084402897</v>
      </c>
    </row>
    <row r="505" customFormat="false" ht="15" hidden="false" customHeight="false" outlineLevel="0" collapsed="false">
      <c r="A505" s="1" t="s">
        <v>18</v>
      </c>
      <c r="B505" s="1" t="n">
        <v>110</v>
      </c>
      <c r="D505" s="1" t="n">
        <v>6051729</v>
      </c>
      <c r="E505" s="1" t="n">
        <v>0.028767</v>
      </c>
      <c r="G505" s="1" t="n">
        <v>0.422577381</v>
      </c>
      <c r="H505" s="1" t="n">
        <v>0.422262669</v>
      </c>
      <c r="I505" s="1" t="n">
        <v>0.424850225</v>
      </c>
      <c r="J505" s="1" t="n">
        <v>0.422385216</v>
      </c>
      <c r="K505" s="1" t="n">
        <v>0.42138195</v>
      </c>
      <c r="L505" s="1" t="n">
        <v>0.412772894</v>
      </c>
      <c r="M505" s="1" t="n">
        <v>0.416260004</v>
      </c>
      <c r="N505" s="1" t="n">
        <v>0.423921824</v>
      </c>
      <c r="O505" s="1" t="n">
        <v>0.420348406</v>
      </c>
      <c r="P505" s="1" t="n">
        <v>0.420689344</v>
      </c>
      <c r="R505" s="1" t="n">
        <f aca="false">PERCENTILE(G505:P505,0.9)</f>
        <v>0.4240146641</v>
      </c>
      <c r="S505" s="5" t="n">
        <f aca="false">spmv_1!R$14/R505</f>
        <v>2.60496689435133</v>
      </c>
      <c r="T505" s="6" t="n">
        <f aca="false">S505/128</f>
        <v>0.0203513038621198</v>
      </c>
    </row>
    <row r="506" customFormat="false" ht="15" hidden="false" customHeight="false" outlineLevel="0" collapsed="false">
      <c r="A506" s="1" t="s">
        <v>18</v>
      </c>
      <c r="B506" s="1" t="n">
        <v>111</v>
      </c>
      <c r="D506" s="1" t="n">
        <v>6050296</v>
      </c>
      <c r="E506" s="1" t="n">
        <v>0.026216</v>
      </c>
      <c r="G506" s="1" t="n">
        <v>0.466409922</v>
      </c>
      <c r="H506" s="1" t="n">
        <v>0.461161375</v>
      </c>
      <c r="I506" s="1" t="n">
        <v>0.471259832</v>
      </c>
      <c r="J506" s="1" t="n">
        <v>0.462659359</v>
      </c>
      <c r="K506" s="1" t="n">
        <v>0.46032691</v>
      </c>
      <c r="L506" s="1" t="n">
        <v>0.45734334</v>
      </c>
      <c r="M506" s="1" t="n">
        <v>0.453567505</v>
      </c>
      <c r="N506" s="1" t="n">
        <v>0.462838888</v>
      </c>
      <c r="O506" s="1" t="n">
        <v>0.461284876</v>
      </c>
      <c r="P506" s="1" t="n">
        <v>0.458905458</v>
      </c>
      <c r="R506" s="1" t="n">
        <f aca="false">PERCENTILE(G506:P506,0.9)</f>
        <v>0.466894913</v>
      </c>
      <c r="S506" s="5" t="n">
        <f aca="false">spmv_1!R$14/R506</f>
        <v>2.36572327507882</v>
      </c>
      <c r="T506" s="6" t="n">
        <f aca="false">S506/128</f>
        <v>0.0184822130865533</v>
      </c>
    </row>
    <row r="507" customFormat="false" ht="15" hidden="false" customHeight="false" outlineLevel="0" collapsed="false">
      <c r="A507" s="1" t="s">
        <v>18</v>
      </c>
      <c r="B507" s="1" t="n">
        <v>112</v>
      </c>
      <c r="D507" s="1" t="n">
        <v>6049945</v>
      </c>
      <c r="E507" s="1" t="n">
        <v>0.028797</v>
      </c>
      <c r="G507" s="1" t="n">
        <v>0.422792435</v>
      </c>
      <c r="H507" s="1" t="n">
        <v>0.419581175</v>
      </c>
      <c r="I507" s="1" t="n">
        <v>0.425037622</v>
      </c>
      <c r="J507" s="1" t="n">
        <v>0.421914577</v>
      </c>
      <c r="K507" s="1" t="n">
        <v>0.420707464</v>
      </c>
      <c r="L507" s="1" t="n">
        <v>0.413219213</v>
      </c>
      <c r="M507" s="1" t="n">
        <v>0.415664434</v>
      </c>
      <c r="N507" s="1" t="n">
        <v>0.423333883</v>
      </c>
      <c r="O507" s="1" t="n">
        <v>0.41980195</v>
      </c>
      <c r="P507" s="1" t="n">
        <v>0.419771433</v>
      </c>
      <c r="R507" s="1" t="n">
        <f aca="false">PERCENTILE(G507:P507,0.9)</f>
        <v>0.4235042569</v>
      </c>
      <c r="S507" s="5" t="n">
        <f aca="false">spmv_1!R$14/R507</f>
        <v>2.60810639965022</v>
      </c>
      <c r="T507" s="6" t="n">
        <f aca="false">S507/128</f>
        <v>0.0203758312472673</v>
      </c>
    </row>
    <row r="508" customFormat="false" ht="15" hidden="false" customHeight="false" outlineLevel="0" collapsed="false">
      <c r="A508" s="1" t="s">
        <v>18</v>
      </c>
      <c r="B508" s="1" t="n">
        <v>113</v>
      </c>
      <c r="D508" s="1" t="n">
        <v>6049946</v>
      </c>
      <c r="E508" s="1" t="n">
        <v>0.030756</v>
      </c>
      <c r="G508" s="1" t="n">
        <v>0.396520615</v>
      </c>
      <c r="H508" s="1" t="n">
        <v>0.389312744</v>
      </c>
      <c r="I508" s="1" t="n">
        <v>0.402352333</v>
      </c>
      <c r="J508" s="1" t="n">
        <v>0.398101091</v>
      </c>
      <c r="K508" s="1" t="n">
        <v>0.393260002</v>
      </c>
      <c r="L508" s="1" t="n">
        <v>0.387424231</v>
      </c>
      <c r="M508" s="1" t="n">
        <v>0.38765502</v>
      </c>
      <c r="N508" s="1" t="n">
        <v>0.393564463</v>
      </c>
      <c r="O508" s="1" t="n">
        <v>0.394371271</v>
      </c>
      <c r="P508" s="1" t="n">
        <v>0.391586781</v>
      </c>
      <c r="R508" s="1" t="n">
        <f aca="false">PERCENTILE(G508:P508,0.9)</f>
        <v>0.3985262152</v>
      </c>
      <c r="S508" s="5" t="n">
        <f aca="false">spmv_1!R$14/R508</f>
        <v>2.77157215905028</v>
      </c>
      <c r="T508" s="6" t="n">
        <f aca="false">S508/128</f>
        <v>0.0216529074925803</v>
      </c>
    </row>
    <row r="509" customFormat="false" ht="15" hidden="false" customHeight="false" outlineLevel="0" collapsed="false">
      <c r="A509" s="1" t="s">
        <v>18</v>
      </c>
      <c r="B509" s="1" t="n">
        <v>114</v>
      </c>
      <c r="D509" s="1" t="n">
        <v>6050664</v>
      </c>
      <c r="E509" s="1" t="n">
        <v>0.03082</v>
      </c>
      <c r="G509" s="1" t="n">
        <v>0.395842552</v>
      </c>
      <c r="H509" s="1" t="n">
        <v>0.388124943</v>
      </c>
      <c r="I509" s="1" t="n">
        <v>0.401648283</v>
      </c>
      <c r="J509" s="1" t="n">
        <v>0.39750886</v>
      </c>
      <c r="K509" s="1" t="n">
        <v>0.392407179</v>
      </c>
      <c r="L509" s="1" t="n">
        <v>0.386791229</v>
      </c>
      <c r="M509" s="1" t="n">
        <v>0.386941671</v>
      </c>
      <c r="N509" s="1" t="n">
        <v>0.392672777</v>
      </c>
      <c r="O509" s="1" t="n">
        <v>0.393759251</v>
      </c>
      <c r="P509" s="1" t="n">
        <v>0.390747786</v>
      </c>
      <c r="R509" s="1" t="n">
        <f aca="false">PERCENTILE(G509:P509,0.9)</f>
        <v>0.3979228023</v>
      </c>
      <c r="S509" s="5" t="n">
        <f aca="false">spmv_1!R$14/R509</f>
        <v>2.77577499031399</v>
      </c>
      <c r="T509" s="6" t="n">
        <f aca="false">S509/128</f>
        <v>0.0216857421118281</v>
      </c>
    </row>
    <row r="510" customFormat="false" ht="15" hidden="false" customHeight="false" outlineLevel="0" collapsed="false">
      <c r="A510" s="1" t="s">
        <v>18</v>
      </c>
      <c r="B510" s="1" t="n">
        <v>115</v>
      </c>
      <c r="D510" s="1" t="n">
        <v>6051741</v>
      </c>
      <c r="E510" s="1" t="n">
        <v>0.031686</v>
      </c>
      <c r="G510" s="1" t="n">
        <v>0.383816957</v>
      </c>
      <c r="H510" s="1" t="n">
        <v>0.375637531</v>
      </c>
      <c r="I510" s="1" t="n">
        <v>0.389347553</v>
      </c>
      <c r="J510" s="1" t="n">
        <v>0.384039164</v>
      </c>
      <c r="K510" s="1" t="n">
        <v>0.378715515</v>
      </c>
      <c r="L510" s="1" t="n">
        <v>0.393948078</v>
      </c>
      <c r="M510" s="1" t="n">
        <v>0.376146793</v>
      </c>
      <c r="N510" s="1" t="n">
        <v>0.381079435</v>
      </c>
      <c r="O510" s="1" t="n">
        <v>0.381858826</v>
      </c>
      <c r="P510" s="1" t="n">
        <v>0.375239849</v>
      </c>
      <c r="R510" s="1" t="n">
        <f aca="false">PERCENTILE(G510:P510,0.9)</f>
        <v>0.3898076055</v>
      </c>
      <c r="S510" s="5" t="n">
        <f aca="false">spmv_1!R$14/R510</f>
        <v>2.83356237055257</v>
      </c>
      <c r="T510" s="6" t="n">
        <f aca="false">S510/128</f>
        <v>0.0221372060199419</v>
      </c>
    </row>
    <row r="511" customFormat="false" ht="15" hidden="false" customHeight="false" outlineLevel="0" collapsed="false">
      <c r="A511" s="1" t="s">
        <v>18</v>
      </c>
      <c r="B511" s="1" t="n">
        <v>116</v>
      </c>
      <c r="D511" s="1" t="n">
        <v>6052818</v>
      </c>
      <c r="E511" s="1" t="n">
        <v>0.030984</v>
      </c>
      <c r="G511" s="1" t="n">
        <v>0.394301176</v>
      </c>
      <c r="H511" s="1" t="n">
        <v>0.385481596</v>
      </c>
      <c r="I511" s="1" t="n">
        <v>0.400076628</v>
      </c>
      <c r="J511" s="1" t="n">
        <v>0.395925999</v>
      </c>
      <c r="K511" s="1" t="n">
        <v>0.390349388</v>
      </c>
      <c r="L511" s="1" t="n">
        <v>0.385456085</v>
      </c>
      <c r="M511" s="1" t="n">
        <v>0.384631395</v>
      </c>
      <c r="N511" s="1" t="n">
        <v>0.390514374</v>
      </c>
      <c r="O511" s="1" t="n">
        <v>0.391838551</v>
      </c>
      <c r="P511" s="1" t="n">
        <v>0.388495207</v>
      </c>
      <c r="R511" s="1" t="n">
        <f aca="false">PERCENTILE(G511:P511,0.9)</f>
        <v>0.3963410619</v>
      </c>
      <c r="S511" s="5" t="n">
        <f aca="false">spmv_1!R$14/R511</f>
        <v>2.78685271065526</v>
      </c>
      <c r="T511" s="6" t="n">
        <f aca="false">S511/128</f>
        <v>0.0217722868019942</v>
      </c>
    </row>
    <row r="512" customFormat="false" ht="15" hidden="false" customHeight="false" outlineLevel="0" collapsed="false">
      <c r="A512" s="1" t="s">
        <v>18</v>
      </c>
      <c r="B512" s="1" t="n">
        <v>117</v>
      </c>
      <c r="D512" s="1" t="n">
        <v>6052818</v>
      </c>
      <c r="E512" s="1" t="n">
        <v>0.031098</v>
      </c>
      <c r="G512" s="1" t="n">
        <v>0.392815351</v>
      </c>
      <c r="H512" s="1" t="n">
        <v>0.383895159</v>
      </c>
      <c r="I512" s="1" t="n">
        <v>0.398722172</v>
      </c>
      <c r="J512" s="1" t="n">
        <v>0.394531965</v>
      </c>
      <c r="K512" s="1" t="n">
        <v>0.388832569</v>
      </c>
      <c r="L512" s="1" t="n">
        <v>0.384634733</v>
      </c>
      <c r="M512" s="1" t="n">
        <v>0.383058071</v>
      </c>
      <c r="N512" s="1" t="n">
        <v>0.389160156</v>
      </c>
      <c r="O512" s="1" t="n">
        <v>0.390159369</v>
      </c>
      <c r="P512" s="1" t="n">
        <v>0.386983871</v>
      </c>
      <c r="R512" s="1" t="n">
        <f aca="false">PERCENTILE(G512:P512,0.9)</f>
        <v>0.3949509857</v>
      </c>
      <c r="S512" s="5" t="n">
        <f aca="false">spmv_1!R$14/R512</f>
        <v>2.79666136480793</v>
      </c>
      <c r="T512" s="6" t="n">
        <f aca="false">S512/128</f>
        <v>0.021848916912562</v>
      </c>
    </row>
    <row r="513" customFormat="false" ht="15" hidden="false" customHeight="false" outlineLevel="0" collapsed="false">
      <c r="A513" s="1" t="s">
        <v>18</v>
      </c>
      <c r="B513" s="1" t="n">
        <v>118</v>
      </c>
      <c r="D513" s="1" t="n">
        <v>6051741</v>
      </c>
      <c r="E513" s="1" t="n">
        <v>0.029565</v>
      </c>
      <c r="G513" s="1" t="n">
        <v>0.418258667</v>
      </c>
      <c r="H513" s="1" t="n">
        <v>0.40295577</v>
      </c>
      <c r="I513" s="1" t="n">
        <v>0.420283318</v>
      </c>
      <c r="J513" s="1" t="n">
        <v>0.416695118</v>
      </c>
      <c r="K513" s="1" t="n">
        <v>0.405948877</v>
      </c>
      <c r="L513" s="1" t="n">
        <v>0.401317596</v>
      </c>
      <c r="M513" s="1" t="n">
        <v>0.401726723</v>
      </c>
      <c r="N513" s="1" t="n">
        <v>0.411872864</v>
      </c>
      <c r="O513" s="1" t="n">
        <v>0.409941673</v>
      </c>
      <c r="P513" s="1" t="n">
        <v>0.404846191</v>
      </c>
      <c r="R513" s="1" t="n">
        <f aca="false">PERCENTILE(G513:P513,0.9)</f>
        <v>0.4184611321</v>
      </c>
      <c r="S513" s="5" t="n">
        <f aca="false">spmv_1!R$14/R513</f>
        <v>2.63953824613763</v>
      </c>
      <c r="T513" s="6" t="n">
        <f aca="false">S513/128</f>
        <v>0.0206213925479502</v>
      </c>
    </row>
    <row r="514" customFormat="false" ht="15" hidden="false" customHeight="false" outlineLevel="0" collapsed="false">
      <c r="A514" s="1" t="s">
        <v>18</v>
      </c>
      <c r="B514" s="1" t="n">
        <v>119</v>
      </c>
      <c r="D514" s="1" t="n">
        <v>6050664</v>
      </c>
      <c r="E514" s="1" t="n">
        <v>0.032291</v>
      </c>
      <c r="G514" s="1" t="n">
        <v>0.378884554</v>
      </c>
      <c r="H514" s="1" t="n">
        <v>0.369137526</v>
      </c>
      <c r="I514" s="1" t="n">
        <v>0.384637594</v>
      </c>
      <c r="J514" s="1" t="n">
        <v>0.3792665</v>
      </c>
      <c r="K514" s="1" t="n">
        <v>0.37279892</v>
      </c>
      <c r="L514" s="1" t="n">
        <v>0.365822315</v>
      </c>
      <c r="M514" s="1" t="n">
        <v>0.369609118</v>
      </c>
      <c r="N514" s="1" t="n">
        <v>0.375319004</v>
      </c>
      <c r="O514" s="1" t="n">
        <v>0.382862806</v>
      </c>
      <c r="P514" s="1" t="n">
        <v>0.36927104</v>
      </c>
      <c r="R514" s="1" t="n">
        <f aca="false">PERCENTILE(G514:P514,0.9)</f>
        <v>0.3830402848</v>
      </c>
      <c r="S514" s="5" t="n">
        <f aca="false">spmv_1!R$14/R514</f>
        <v>2.88362401170604</v>
      </c>
      <c r="T514" s="6" t="n">
        <f aca="false">S514/128</f>
        <v>0.0225283125914534</v>
      </c>
    </row>
    <row r="515" customFormat="false" ht="15" hidden="false" customHeight="false" outlineLevel="0" collapsed="false">
      <c r="A515" s="1" t="s">
        <v>18</v>
      </c>
      <c r="B515" s="1" t="n">
        <v>120</v>
      </c>
      <c r="D515" s="1" t="n">
        <v>6049587</v>
      </c>
      <c r="E515" s="1" t="n">
        <v>0.032505</v>
      </c>
      <c r="G515" s="1" t="n">
        <v>0.37732482</v>
      </c>
      <c r="H515" s="1" t="n">
        <v>0.366896391</v>
      </c>
      <c r="I515" s="1" t="n">
        <v>0.382683277</v>
      </c>
      <c r="J515" s="1" t="n">
        <v>0.3772223</v>
      </c>
      <c r="K515" s="1" t="n">
        <v>0.370664835</v>
      </c>
      <c r="L515" s="1" t="n">
        <v>0.364661694</v>
      </c>
      <c r="M515" s="1" t="n">
        <v>0.367743254</v>
      </c>
      <c r="N515" s="1" t="n">
        <v>0.37353301</v>
      </c>
      <c r="O515" s="1" t="n">
        <v>0.374481916</v>
      </c>
      <c r="P515" s="1" t="n">
        <v>0.36706686</v>
      </c>
      <c r="R515" s="1" t="n">
        <f aca="false">PERCENTILE(G515:P515,0.9)</f>
        <v>0.3778606657</v>
      </c>
      <c r="S515" s="5" t="n">
        <f aca="false">spmv_1!R$14/R515</f>
        <v>2.92315200539277</v>
      </c>
      <c r="T515" s="6" t="n">
        <f aca="false">S515/128</f>
        <v>0.022837125042131</v>
      </c>
    </row>
    <row r="516" customFormat="false" ht="15" hidden="false" customHeight="false" outlineLevel="0" collapsed="false">
      <c r="A516" s="1" t="s">
        <v>18</v>
      </c>
      <c r="B516" s="1" t="n">
        <v>121</v>
      </c>
      <c r="D516" s="1" t="n">
        <v>6049587</v>
      </c>
      <c r="E516" s="1" t="n">
        <v>0.02631</v>
      </c>
      <c r="G516" s="1" t="n">
        <v>0.455016136</v>
      </c>
      <c r="H516" s="1" t="n">
        <v>0.448881388</v>
      </c>
      <c r="I516" s="1" t="n">
        <v>0.459878922</v>
      </c>
      <c r="J516" s="1" t="n">
        <v>0.458786964</v>
      </c>
      <c r="K516" s="1" t="n">
        <v>0.4545362</v>
      </c>
      <c r="L516" s="1" t="n">
        <v>0.445655584</v>
      </c>
      <c r="M516" s="1" t="n">
        <v>0.505438805</v>
      </c>
      <c r="N516" s="1" t="n">
        <v>0.459057808</v>
      </c>
      <c r="O516" s="1" t="n">
        <v>0.457585096</v>
      </c>
      <c r="P516" s="1" t="n">
        <v>0.453881025</v>
      </c>
      <c r="R516" s="1" t="n">
        <f aca="false">PERCENTILE(G516:P516,0.9)</f>
        <v>0.4644349103</v>
      </c>
      <c r="S516" s="5" t="n">
        <f aca="false">spmv_1!R$14/R516</f>
        <v>2.37825395594514</v>
      </c>
      <c r="T516" s="6" t="n">
        <f aca="false">S516/128</f>
        <v>0.0185801090308214</v>
      </c>
    </row>
    <row r="517" customFormat="false" ht="15" hidden="false" customHeight="false" outlineLevel="0" collapsed="false">
      <c r="A517" s="1" t="s">
        <v>18</v>
      </c>
      <c r="B517" s="1" t="n">
        <v>122</v>
      </c>
      <c r="D517" s="1" t="n">
        <v>6050664</v>
      </c>
      <c r="E517" s="1" t="n">
        <v>0.032741</v>
      </c>
      <c r="G517" s="1" t="n">
        <v>0.374180794</v>
      </c>
      <c r="H517" s="1" t="n">
        <v>0.363800049</v>
      </c>
      <c r="I517" s="1" t="n">
        <v>0.379396439</v>
      </c>
      <c r="J517" s="1" t="n">
        <v>0.374642849</v>
      </c>
      <c r="K517" s="1" t="n">
        <v>0.368421555</v>
      </c>
      <c r="L517" s="1" t="n">
        <v>0.361875296</v>
      </c>
      <c r="M517" s="1" t="n">
        <v>0.365370512</v>
      </c>
      <c r="N517" s="1" t="n">
        <v>0.370484591</v>
      </c>
      <c r="O517" s="1" t="n">
        <v>0.373332977</v>
      </c>
      <c r="P517" s="1" t="n">
        <v>0.364558697</v>
      </c>
      <c r="R517" s="1" t="n">
        <f aca="false">PERCENTILE(G517:P517,0.9)</f>
        <v>0.375118208</v>
      </c>
      <c r="S517" s="5" t="n">
        <f aca="false">spmv_1!R$14/R517</f>
        <v>2.94452292409117</v>
      </c>
      <c r="T517" s="6" t="n">
        <f aca="false">S517/128</f>
        <v>0.0230040853444623</v>
      </c>
    </row>
    <row r="518" customFormat="false" ht="15" hidden="false" customHeight="false" outlineLevel="0" collapsed="false">
      <c r="A518" s="1" t="s">
        <v>18</v>
      </c>
      <c r="B518" s="1" t="n">
        <v>123</v>
      </c>
      <c r="D518" s="1" t="n">
        <v>6051741</v>
      </c>
      <c r="E518" s="1" t="n">
        <v>0.032813</v>
      </c>
      <c r="G518" s="1" t="n">
        <v>0.3714571</v>
      </c>
      <c r="H518" s="1" t="n">
        <v>0.360826969</v>
      </c>
      <c r="I518" s="1" t="n">
        <v>0.376358509</v>
      </c>
      <c r="J518" s="1" t="n">
        <v>0.370915174</v>
      </c>
      <c r="K518" s="1" t="n">
        <v>0.365102291</v>
      </c>
      <c r="L518" s="1" t="n">
        <v>0.359421968</v>
      </c>
      <c r="M518" s="1" t="n">
        <v>0.36245203</v>
      </c>
      <c r="N518" s="1" t="n">
        <v>0.373218775</v>
      </c>
      <c r="O518" s="1" t="n">
        <v>0.377624273</v>
      </c>
      <c r="P518" s="1" t="n">
        <v>0.371196747</v>
      </c>
      <c r="R518" s="1" t="n">
        <f aca="false">PERCENTILE(G518:P518,0.9)</f>
        <v>0.3764850854</v>
      </c>
      <c r="S518" s="5" t="n">
        <f aca="false">spmv_1!R$14/R518</f>
        <v>2.93383245587662</v>
      </c>
      <c r="T518" s="6" t="n">
        <f aca="false">S518/128</f>
        <v>0.0229205660615361</v>
      </c>
    </row>
    <row r="519" customFormat="false" ht="15" hidden="false" customHeight="false" outlineLevel="0" collapsed="false">
      <c r="A519" s="1" t="s">
        <v>18</v>
      </c>
      <c r="B519" s="1" t="n">
        <v>124</v>
      </c>
      <c r="D519" s="1" t="n">
        <v>6052818</v>
      </c>
      <c r="E519" s="1" t="n">
        <v>0.031914</v>
      </c>
      <c r="G519" s="1" t="n">
        <v>0.381579161</v>
      </c>
      <c r="H519" s="1" t="n">
        <v>0.370604515</v>
      </c>
      <c r="I519" s="1" t="n">
        <v>0.386863947</v>
      </c>
      <c r="J519" s="1" t="n">
        <v>0.383778334</v>
      </c>
      <c r="K519" s="1" t="n">
        <v>0.379841089</v>
      </c>
      <c r="L519" s="1" t="n">
        <v>0.375632286</v>
      </c>
      <c r="M519" s="1" t="n">
        <v>0.372012854</v>
      </c>
      <c r="N519" s="1" t="n">
        <v>0.378194571</v>
      </c>
      <c r="O519" s="1" t="n">
        <v>0.382967234</v>
      </c>
      <c r="P519" s="1" t="n">
        <v>0.381766081</v>
      </c>
      <c r="R519" s="1" t="n">
        <f aca="false">PERCENTILE(G519:P519,0.9)</f>
        <v>0.3840868953</v>
      </c>
      <c r="S519" s="5" t="n">
        <f aca="false">spmv_1!R$14/R519</f>
        <v>2.87576633365028</v>
      </c>
      <c r="T519" s="6" t="n">
        <f aca="false">S519/128</f>
        <v>0.0224669244816428</v>
      </c>
    </row>
    <row r="520" customFormat="false" ht="15" hidden="false" customHeight="false" outlineLevel="0" collapsed="false">
      <c r="A520" s="1" t="s">
        <v>18</v>
      </c>
      <c r="B520" s="1" t="n">
        <v>125</v>
      </c>
      <c r="D520" s="1" t="n">
        <v>6052818</v>
      </c>
      <c r="E520" s="1" t="n">
        <v>0.026759</v>
      </c>
      <c r="G520" s="1" t="n">
        <v>0.455931425</v>
      </c>
      <c r="H520" s="1" t="n">
        <v>0.445060253</v>
      </c>
      <c r="I520" s="1" t="n">
        <v>0.456180573</v>
      </c>
      <c r="J520" s="1" t="n">
        <v>0.458328962</v>
      </c>
      <c r="K520" s="1" t="n">
        <v>0.455560684</v>
      </c>
      <c r="L520" s="1" t="n">
        <v>0.44199872</v>
      </c>
      <c r="M520" s="1" t="n">
        <v>0.444501162</v>
      </c>
      <c r="N520" s="1" t="n">
        <v>0.453019142</v>
      </c>
      <c r="O520" s="1" t="n">
        <v>0.457009315</v>
      </c>
      <c r="P520" s="1" t="n">
        <v>0.456372261</v>
      </c>
      <c r="R520" s="1" t="n">
        <f aca="false">PERCENTILE(G520:P520,0.9)</f>
        <v>0.4571412797</v>
      </c>
      <c r="S520" s="5" t="n">
        <f aca="false">spmv_1!R$14/R520</f>
        <v>2.41619869337737</v>
      </c>
      <c r="T520" s="6" t="n">
        <f aca="false">S520/128</f>
        <v>0.0188765522920107</v>
      </c>
    </row>
    <row r="521" customFormat="false" ht="15" hidden="false" customHeight="false" outlineLevel="0" collapsed="false">
      <c r="A521" s="1" t="s">
        <v>18</v>
      </c>
      <c r="B521" s="1" t="n">
        <v>126</v>
      </c>
      <c r="D521" s="1" t="n">
        <v>6051741</v>
      </c>
      <c r="E521" s="1" t="n">
        <v>0.032045</v>
      </c>
      <c r="G521" s="1" t="n">
        <v>0.377374887</v>
      </c>
      <c r="H521" s="1" t="n">
        <v>0.367744207</v>
      </c>
      <c r="I521" s="1" t="n">
        <v>0.383185148</v>
      </c>
      <c r="J521" s="1" t="n">
        <v>0.384823561</v>
      </c>
      <c r="K521" s="1" t="n">
        <v>0.380669594</v>
      </c>
      <c r="L521" s="1" t="n">
        <v>0.372005701</v>
      </c>
      <c r="M521" s="1" t="n">
        <v>0.36865449</v>
      </c>
      <c r="N521" s="1" t="n">
        <v>0.377253294</v>
      </c>
      <c r="O521" s="1" t="n">
        <v>0.382951498</v>
      </c>
      <c r="P521" s="1" t="n">
        <v>0.382397175</v>
      </c>
      <c r="R521" s="1" t="n">
        <f aca="false">PERCENTILE(G521:P521,0.9)</f>
        <v>0.3833489893</v>
      </c>
      <c r="S521" s="5" t="n">
        <f aca="false">spmv_1!R$14/R521</f>
        <v>2.88130187774047</v>
      </c>
      <c r="T521" s="6" t="n">
        <f aca="false">S521/128</f>
        <v>0.0225101709198474</v>
      </c>
    </row>
    <row r="522" customFormat="false" ht="15" hidden="false" customHeight="false" outlineLevel="0" collapsed="false">
      <c r="A522" s="1" t="s">
        <v>18</v>
      </c>
      <c r="B522" s="1" t="n">
        <v>127</v>
      </c>
      <c r="D522" s="1" t="n">
        <v>6049231</v>
      </c>
      <c r="E522" s="1" t="n">
        <v>0.032274</v>
      </c>
      <c r="G522" s="1" t="n">
        <v>0.373941422</v>
      </c>
      <c r="H522" s="1" t="n">
        <v>0.364140987</v>
      </c>
      <c r="I522" s="1" t="n">
        <v>0.378771782</v>
      </c>
      <c r="J522" s="1" t="n">
        <v>0.382681847</v>
      </c>
      <c r="K522" s="1" t="n">
        <v>0.378551722</v>
      </c>
      <c r="L522" s="1" t="n">
        <v>0.368655205</v>
      </c>
      <c r="M522" s="1" t="n">
        <v>0.366531372</v>
      </c>
      <c r="N522" s="1" t="n">
        <v>0.374597311</v>
      </c>
      <c r="O522" s="1" t="n">
        <v>0.380471945</v>
      </c>
      <c r="P522" s="1" t="n">
        <v>0.380385637</v>
      </c>
      <c r="R522" s="1" t="n">
        <f aca="false">PERCENTILE(G522:P522,0.9)</f>
        <v>0.3806929352</v>
      </c>
      <c r="S522" s="5" t="n">
        <f aca="false">spmv_1!R$14/R522</f>
        <v>2.90140441434701</v>
      </c>
      <c r="T522" s="6" t="n">
        <f aca="false">S522/128</f>
        <v>0.022667221987086</v>
      </c>
    </row>
    <row r="525" customFormat="false" ht="15" hidden="false" customHeight="false" outlineLevel="0" collapsed="false">
      <c r="A525" s="2" t="s">
        <v>0</v>
      </c>
      <c r="B525" s="2" t="s">
        <v>1</v>
      </c>
      <c r="C525" s="3"/>
      <c r="D525" s="2" t="s">
        <v>2</v>
      </c>
      <c r="E525" s="2" t="s">
        <v>3</v>
      </c>
      <c r="F525" s="3"/>
      <c r="G525" s="2" t="s">
        <v>4</v>
      </c>
      <c r="H525" s="2" t="s">
        <v>5</v>
      </c>
      <c r="I525" s="2" t="s">
        <v>6</v>
      </c>
      <c r="J525" s="2" t="s">
        <v>7</v>
      </c>
      <c r="K525" s="2" t="s">
        <v>8</v>
      </c>
      <c r="L525" s="2" t="s">
        <v>9</v>
      </c>
      <c r="M525" s="2" t="s">
        <v>10</v>
      </c>
      <c r="N525" s="2" t="s">
        <v>11</v>
      </c>
      <c r="O525" s="2" t="s">
        <v>12</v>
      </c>
      <c r="P525" s="2" t="s">
        <v>13</v>
      </c>
      <c r="R525" s="4" t="s">
        <v>14</v>
      </c>
      <c r="S525" s="7" t="s">
        <v>20</v>
      </c>
      <c r="T525" s="8" t="s">
        <v>21</v>
      </c>
    </row>
    <row r="526" customFormat="false" ht="15" hidden="false" customHeight="false" outlineLevel="0" collapsed="false">
      <c r="A526" s="1" t="s">
        <v>19</v>
      </c>
      <c r="B526" s="1" t="n">
        <v>0</v>
      </c>
      <c r="D526" s="1" t="n">
        <v>291172</v>
      </c>
      <c r="E526" s="1" t="n">
        <v>0.046029</v>
      </c>
      <c r="G526" s="1" t="n">
        <v>0.025315046</v>
      </c>
      <c r="H526" s="1" t="n">
        <v>0.015890121</v>
      </c>
      <c r="I526" s="1" t="n">
        <v>0.013082743</v>
      </c>
      <c r="J526" s="1" t="n">
        <v>0.010663748</v>
      </c>
      <c r="K526" s="1" t="n">
        <v>0.010254622</v>
      </c>
      <c r="L526" s="1" t="n">
        <v>0.010187864</v>
      </c>
      <c r="M526" s="1" t="n">
        <v>0.010276556</v>
      </c>
      <c r="N526" s="1" t="n">
        <v>0.010171413</v>
      </c>
      <c r="O526" s="1" t="n">
        <v>0.010242224</v>
      </c>
      <c r="P526" s="1" t="n">
        <v>0.010433674</v>
      </c>
      <c r="R526" s="1" t="n">
        <f aca="false">PERCENTILE(G526:P526,0.9)</f>
        <v>0.0168326135</v>
      </c>
      <c r="S526" s="5" t="n">
        <f aca="false">spmv_1!R$18/R526</f>
        <v>4.60645809992608</v>
      </c>
      <c r="T526" s="6" t="n">
        <f aca="false">S526/128</f>
        <v>0.0359879539056725</v>
      </c>
    </row>
    <row r="527" customFormat="false" ht="15" hidden="false" customHeight="false" outlineLevel="0" collapsed="false">
      <c r="A527" s="1" t="s">
        <v>19</v>
      </c>
      <c r="B527" s="1" t="n">
        <v>1</v>
      </c>
      <c r="D527" s="1" t="n">
        <v>286937</v>
      </c>
      <c r="E527" s="1" t="n">
        <v>0.046814</v>
      </c>
      <c r="G527" s="1" t="n">
        <v>0.025339127</v>
      </c>
      <c r="H527" s="1" t="n">
        <v>0.015398979</v>
      </c>
      <c r="I527" s="1" t="n">
        <v>0.012602568</v>
      </c>
      <c r="J527" s="1" t="n">
        <v>0.01022768</v>
      </c>
      <c r="K527" s="1" t="n">
        <v>0.009793043</v>
      </c>
      <c r="L527" s="1" t="n">
        <v>0.009784937</v>
      </c>
      <c r="M527" s="1" t="n">
        <v>0.009786844</v>
      </c>
      <c r="N527" s="1" t="n">
        <v>0.009767294</v>
      </c>
      <c r="O527" s="1" t="n">
        <v>0.00980401</v>
      </c>
      <c r="P527" s="1" t="n">
        <v>0.010082722</v>
      </c>
      <c r="R527" s="1" t="n">
        <f aca="false">PERCENTILE(G527:P527,0.9)</f>
        <v>0.0163929938</v>
      </c>
      <c r="S527" s="5" t="n">
        <f aca="false">spmv_1!R$18/R527</f>
        <v>4.72999195546576</v>
      </c>
      <c r="T527" s="6" t="n">
        <f aca="false">S527/128</f>
        <v>0.0369530621520762</v>
      </c>
    </row>
    <row r="528" customFormat="false" ht="15" hidden="false" customHeight="false" outlineLevel="0" collapsed="false">
      <c r="A528" s="1" t="s">
        <v>19</v>
      </c>
      <c r="B528" s="1" t="n">
        <v>2</v>
      </c>
      <c r="D528" s="1" t="n">
        <v>285555</v>
      </c>
      <c r="E528" s="1" t="n">
        <v>0.046718</v>
      </c>
      <c r="G528" s="1" t="n">
        <v>0.024891376</v>
      </c>
      <c r="H528" s="1" t="n">
        <v>0.015320778</v>
      </c>
      <c r="I528" s="1" t="n">
        <v>0.012592554</v>
      </c>
      <c r="J528" s="1" t="n">
        <v>0.010244131</v>
      </c>
      <c r="K528" s="1" t="n">
        <v>0.00984931</v>
      </c>
      <c r="L528" s="1" t="n">
        <v>0.009865522</v>
      </c>
      <c r="M528" s="1" t="n">
        <v>0.009771109</v>
      </c>
      <c r="N528" s="1" t="n">
        <v>0.009805202</v>
      </c>
      <c r="O528" s="1" t="n">
        <v>0.009803534</v>
      </c>
      <c r="P528" s="1" t="n">
        <v>0.010101795</v>
      </c>
      <c r="R528" s="1" t="n">
        <f aca="false">PERCENTILE(G528:P528,0.9)</f>
        <v>0.0162778378</v>
      </c>
      <c r="S528" s="5" t="n">
        <f aca="false">spmv_1!R$18/R528</f>
        <v>4.76345382923032</v>
      </c>
      <c r="T528" s="6" t="n">
        <f aca="false">S528/128</f>
        <v>0.0372144830408619</v>
      </c>
    </row>
    <row r="529" customFormat="false" ht="15" hidden="false" customHeight="false" outlineLevel="0" collapsed="false">
      <c r="A529" s="1" t="s">
        <v>19</v>
      </c>
      <c r="B529" s="1" t="n">
        <v>3</v>
      </c>
      <c r="D529" s="1" t="n">
        <v>297435</v>
      </c>
      <c r="E529" s="1" t="n">
        <v>0.048983</v>
      </c>
      <c r="G529" s="1" t="n">
        <v>0.024833679</v>
      </c>
      <c r="H529" s="1" t="n">
        <v>0.015253544</v>
      </c>
      <c r="I529" s="1" t="n">
        <v>0.012451172</v>
      </c>
      <c r="J529" s="1" t="n">
        <v>0.01019907</v>
      </c>
      <c r="K529" s="1" t="n">
        <v>0.009829283</v>
      </c>
      <c r="L529" s="1" t="n">
        <v>0.009786606</v>
      </c>
      <c r="M529" s="1" t="n">
        <v>0.009736061</v>
      </c>
      <c r="N529" s="1" t="n">
        <v>0.009795904</v>
      </c>
      <c r="O529" s="1" t="n">
        <v>0.009754896</v>
      </c>
      <c r="P529" s="1" t="n">
        <v>0.009804964</v>
      </c>
      <c r="R529" s="1" t="n">
        <f aca="false">PERCENTILE(G529:P529,0.9)</f>
        <v>0.0162115575</v>
      </c>
      <c r="S529" s="5" t="n">
        <f aca="false">spmv_1!R$18/R529</f>
        <v>4.78292901838704</v>
      </c>
      <c r="T529" s="6" t="n">
        <f aca="false">S529/128</f>
        <v>0.0373666329561487</v>
      </c>
    </row>
    <row r="530" customFormat="false" ht="15" hidden="false" customHeight="false" outlineLevel="0" collapsed="false">
      <c r="A530" s="1" t="s">
        <v>19</v>
      </c>
      <c r="B530" s="1" t="n">
        <v>4</v>
      </c>
      <c r="D530" s="1" t="n">
        <v>291171</v>
      </c>
      <c r="E530" s="1" t="n">
        <v>0.045944</v>
      </c>
      <c r="G530" s="1" t="n">
        <v>0.024432898</v>
      </c>
      <c r="H530" s="1" t="n">
        <v>0.015778065</v>
      </c>
      <c r="I530" s="1" t="n">
        <v>0.01312685</v>
      </c>
      <c r="J530" s="1" t="n">
        <v>0.01087594</v>
      </c>
      <c r="K530" s="1" t="n">
        <v>0.01044488</v>
      </c>
      <c r="L530" s="1" t="n">
        <v>0.010368586</v>
      </c>
      <c r="M530" s="1" t="n">
        <v>0.010438919</v>
      </c>
      <c r="N530" s="1" t="n">
        <v>0.010370016</v>
      </c>
      <c r="O530" s="1" t="n">
        <v>0.010380268</v>
      </c>
      <c r="P530" s="1" t="n">
        <v>0.010533094</v>
      </c>
      <c r="R530" s="1" t="n">
        <f aca="false">PERCENTILE(G530:P530,0.9)</f>
        <v>0.0166435483</v>
      </c>
      <c r="S530" s="5" t="n">
        <f aca="false">spmv_1!R$18/R530</f>
        <v>4.65878593929397</v>
      </c>
      <c r="T530" s="6" t="n">
        <f aca="false">S530/128</f>
        <v>0.0363967651507341</v>
      </c>
    </row>
    <row r="531" customFormat="false" ht="15" hidden="false" customHeight="false" outlineLevel="0" collapsed="false">
      <c r="A531" s="1" t="s">
        <v>19</v>
      </c>
      <c r="B531" s="1" t="n">
        <v>5</v>
      </c>
      <c r="D531" s="1" t="n">
        <v>287024</v>
      </c>
      <c r="E531" s="1" t="n">
        <v>0.04527</v>
      </c>
      <c r="G531" s="1" t="n">
        <v>0.024559975</v>
      </c>
      <c r="H531" s="1" t="n">
        <v>0.015767097</v>
      </c>
      <c r="I531" s="1" t="n">
        <v>0.013123035</v>
      </c>
      <c r="J531" s="1" t="n">
        <v>0.010868549</v>
      </c>
      <c r="K531" s="1" t="n">
        <v>0.010443449</v>
      </c>
      <c r="L531" s="1" t="n">
        <v>0.010354757</v>
      </c>
      <c r="M531" s="1" t="n">
        <v>0.010421515</v>
      </c>
      <c r="N531" s="1" t="n">
        <v>0.010389328</v>
      </c>
      <c r="O531" s="1" t="n">
        <v>0.010392666</v>
      </c>
      <c r="P531" s="1" t="n">
        <v>0.010485411</v>
      </c>
      <c r="R531" s="1" t="n">
        <f aca="false">PERCENTILE(G531:P531,0.9)</f>
        <v>0.0166463848</v>
      </c>
      <c r="S531" s="5" t="n">
        <f aca="false">spmv_1!R$18/R531</f>
        <v>4.65799209447567</v>
      </c>
      <c r="T531" s="6" t="n">
        <f aca="false">S531/128</f>
        <v>0.0363905632380912</v>
      </c>
    </row>
    <row r="532" customFormat="false" ht="15" hidden="false" customHeight="false" outlineLevel="0" collapsed="false">
      <c r="A532" s="1" t="s">
        <v>19</v>
      </c>
      <c r="B532" s="1" t="n">
        <v>6</v>
      </c>
      <c r="D532" s="1" t="n">
        <v>285425</v>
      </c>
      <c r="E532" s="1" t="n">
        <v>0.045241</v>
      </c>
      <c r="G532" s="1" t="n">
        <v>0.024046183</v>
      </c>
      <c r="H532" s="1" t="n">
        <v>0.015721083</v>
      </c>
      <c r="I532" s="1" t="n">
        <v>0.013124228</v>
      </c>
      <c r="J532" s="1" t="n">
        <v>0.010871887</v>
      </c>
      <c r="K532" s="1" t="n">
        <v>0.010406971</v>
      </c>
      <c r="L532" s="1" t="n">
        <v>0.010352135</v>
      </c>
      <c r="M532" s="1" t="n">
        <v>0.0104177</v>
      </c>
      <c r="N532" s="1" t="n">
        <v>0.010379076</v>
      </c>
      <c r="O532" s="1" t="n">
        <v>0.010369301</v>
      </c>
      <c r="P532" s="1" t="n">
        <v>0.010490179</v>
      </c>
      <c r="R532" s="1" t="n">
        <f aca="false">PERCENTILE(G532:P532,0.9)</f>
        <v>0.016553593</v>
      </c>
      <c r="S532" s="5" t="n">
        <f aca="false">spmv_1!R$18/R532</f>
        <v>4.68410264768501</v>
      </c>
      <c r="T532" s="6" t="n">
        <f aca="false">S532/128</f>
        <v>0.0365945519350391</v>
      </c>
    </row>
    <row r="533" customFormat="false" ht="15" hidden="false" customHeight="false" outlineLevel="0" collapsed="false">
      <c r="A533" s="1" t="s">
        <v>19</v>
      </c>
      <c r="B533" s="1" t="n">
        <v>7</v>
      </c>
      <c r="D533" s="1" t="n">
        <v>297677</v>
      </c>
      <c r="E533" s="1" t="n">
        <v>0.048934</v>
      </c>
      <c r="G533" s="1" t="n">
        <v>0.024036884</v>
      </c>
      <c r="H533" s="1" t="n">
        <v>0.015125275</v>
      </c>
      <c r="I533" s="1" t="n">
        <v>0.012607813</v>
      </c>
      <c r="J533" s="1" t="n">
        <v>0.010351419</v>
      </c>
      <c r="K533" s="1" t="n">
        <v>0.009886265</v>
      </c>
      <c r="L533" s="1" t="n">
        <v>0.009903908</v>
      </c>
      <c r="M533" s="1" t="n">
        <v>0.00985074</v>
      </c>
      <c r="N533" s="1" t="n">
        <v>0.009923935</v>
      </c>
      <c r="O533" s="1" t="n">
        <v>0.009891272</v>
      </c>
      <c r="P533" s="1" t="n">
        <v>0.010087013</v>
      </c>
      <c r="R533" s="1" t="n">
        <f aca="false">PERCENTILE(G533:P533,0.9)</f>
        <v>0.0160164359</v>
      </c>
      <c r="S533" s="5" t="n">
        <f aca="false">spmv_1!R$18/R533</f>
        <v>4.84119746016653</v>
      </c>
      <c r="T533" s="6" t="n">
        <f aca="false">S533/128</f>
        <v>0.037821855157551</v>
      </c>
    </row>
    <row r="534" customFormat="false" ht="15" hidden="false" customHeight="false" outlineLevel="0" collapsed="false">
      <c r="A534" s="1" t="s">
        <v>19</v>
      </c>
      <c r="B534" s="1" t="n">
        <v>8</v>
      </c>
      <c r="D534" s="1" t="n">
        <v>290999</v>
      </c>
      <c r="E534" s="1" t="n">
        <v>0.048107</v>
      </c>
      <c r="G534" s="1" t="n">
        <v>0.023689985</v>
      </c>
      <c r="H534" s="1" t="n">
        <v>0.015062094</v>
      </c>
      <c r="I534" s="1" t="n">
        <v>0.012578964</v>
      </c>
      <c r="J534" s="1" t="n">
        <v>0.01033926</v>
      </c>
      <c r="K534" s="1" t="n">
        <v>0.009913683</v>
      </c>
      <c r="L534" s="1" t="n">
        <v>0.009908676</v>
      </c>
      <c r="M534" s="1" t="n">
        <v>0.009854794</v>
      </c>
      <c r="N534" s="1" t="n">
        <v>0.009892702</v>
      </c>
      <c r="O534" s="1" t="n">
        <v>0.009874821</v>
      </c>
      <c r="P534" s="1" t="n">
        <v>0.009865522</v>
      </c>
      <c r="R534" s="1" t="n">
        <f aca="false">PERCENTILE(G534:P534,0.9)</f>
        <v>0.0159248831</v>
      </c>
      <c r="S534" s="5" t="n">
        <f aca="false">spmv_1!R$18/R534</f>
        <v>4.86902970107203</v>
      </c>
      <c r="T534" s="6" t="n">
        <f aca="false">S534/128</f>
        <v>0.0380392945396252</v>
      </c>
    </row>
    <row r="535" customFormat="false" ht="15" hidden="false" customHeight="false" outlineLevel="0" collapsed="false">
      <c r="A535" s="1" t="s">
        <v>19</v>
      </c>
      <c r="B535" s="1" t="n">
        <v>9</v>
      </c>
      <c r="D535" s="1" t="n">
        <v>286535</v>
      </c>
      <c r="E535" s="1" t="n">
        <v>0.045389</v>
      </c>
      <c r="G535" s="1" t="n">
        <v>0.023887396</v>
      </c>
      <c r="H535" s="1" t="n">
        <v>0.01570344</v>
      </c>
      <c r="I535" s="1" t="n">
        <v>0.013147831</v>
      </c>
      <c r="J535" s="1" t="n">
        <v>0.01087904</v>
      </c>
      <c r="K535" s="1" t="n">
        <v>0.010479689</v>
      </c>
      <c r="L535" s="1" t="n">
        <v>0.010398388</v>
      </c>
      <c r="M535" s="1" t="n">
        <v>0.010452032</v>
      </c>
      <c r="N535" s="1" t="n">
        <v>0.010394096</v>
      </c>
      <c r="O535" s="1" t="n">
        <v>0.010400295</v>
      </c>
      <c r="P535" s="1" t="n">
        <v>0.010516405</v>
      </c>
      <c r="R535" s="1" t="n">
        <f aca="false">PERCENTILE(G535:P535,0.9)</f>
        <v>0.0165218356</v>
      </c>
      <c r="S535" s="5" t="n">
        <f aca="false">spmv_1!R$18/R535</f>
        <v>4.69310618246317</v>
      </c>
      <c r="T535" s="6" t="n">
        <f aca="false">S535/128</f>
        <v>0.0366648920504935</v>
      </c>
    </row>
    <row r="536" customFormat="false" ht="15" hidden="false" customHeight="false" outlineLevel="0" collapsed="false">
      <c r="A536" s="1" t="s">
        <v>19</v>
      </c>
      <c r="B536" s="1" t="n">
        <v>10</v>
      </c>
      <c r="D536" s="1" t="n">
        <v>285621</v>
      </c>
      <c r="E536" s="1" t="n">
        <v>0.046996</v>
      </c>
      <c r="G536" s="1" t="n">
        <v>0.023732424</v>
      </c>
      <c r="H536" s="1" t="n">
        <v>0.015098572</v>
      </c>
      <c r="I536" s="1" t="n">
        <v>0.012606859</v>
      </c>
      <c r="J536" s="1" t="n">
        <v>0.01035285</v>
      </c>
      <c r="K536" s="1" t="n">
        <v>0.00996995</v>
      </c>
      <c r="L536" s="1" t="n">
        <v>0.009934664</v>
      </c>
      <c r="M536" s="1" t="n">
        <v>0.009875298</v>
      </c>
      <c r="N536" s="1" t="n">
        <v>0.009923935</v>
      </c>
      <c r="O536" s="1" t="n">
        <v>0.009901762</v>
      </c>
      <c r="P536" s="1" t="n">
        <v>0.010154724</v>
      </c>
      <c r="R536" s="1" t="n">
        <f aca="false">PERCENTILE(G536:P536,0.9)</f>
        <v>0.0159619572</v>
      </c>
      <c r="S536" s="5" t="n">
        <f aca="false">spmv_1!R$18/R536</f>
        <v>4.85772063090108</v>
      </c>
      <c r="T536" s="6" t="n">
        <f aca="false">S536/128</f>
        <v>0.0379509424289147</v>
      </c>
    </row>
    <row r="537" customFormat="false" ht="15" hidden="false" customHeight="false" outlineLevel="0" collapsed="false">
      <c r="A537" s="1" t="s">
        <v>19</v>
      </c>
      <c r="B537" s="1" t="n">
        <v>11</v>
      </c>
      <c r="D537" s="1" t="n">
        <v>297570</v>
      </c>
      <c r="E537" s="1" t="n">
        <v>0.047113</v>
      </c>
      <c r="G537" s="1" t="n">
        <v>0.023874283</v>
      </c>
      <c r="H537" s="1" t="n">
        <v>0.015719175</v>
      </c>
      <c r="I537" s="1" t="n">
        <v>0.013164997</v>
      </c>
      <c r="J537" s="1" t="n">
        <v>0.010876656</v>
      </c>
      <c r="K537" s="1" t="n">
        <v>0.010481834</v>
      </c>
      <c r="L537" s="1" t="n">
        <v>0.010400772</v>
      </c>
      <c r="M537" s="1" t="n">
        <v>0.010459661</v>
      </c>
      <c r="N537" s="1" t="n">
        <v>0.010397911</v>
      </c>
      <c r="O537" s="1" t="n">
        <v>0.010416508</v>
      </c>
      <c r="P537" s="1" t="n">
        <v>0.010529041</v>
      </c>
      <c r="R537" s="1" t="n">
        <f aca="false">PERCENTILE(G537:P537,0.9)</f>
        <v>0.0165346858</v>
      </c>
      <c r="S537" s="5" t="n">
        <f aca="false">spmv_1!R$18/R537</f>
        <v>4.68945885866183</v>
      </c>
      <c r="T537" s="6" t="n">
        <f aca="false">S537/128</f>
        <v>0.0366363973332956</v>
      </c>
    </row>
    <row r="538" customFormat="false" ht="15" hidden="false" customHeight="false" outlineLevel="0" collapsed="false">
      <c r="A538" s="1" t="s">
        <v>19</v>
      </c>
      <c r="B538" s="1" t="n">
        <v>12</v>
      </c>
      <c r="D538" s="1" t="n">
        <v>291480</v>
      </c>
      <c r="E538" s="1" t="n">
        <v>0.046306</v>
      </c>
      <c r="G538" s="1" t="n">
        <v>0.023823977</v>
      </c>
      <c r="H538" s="1" t="n">
        <v>0.015668392</v>
      </c>
      <c r="I538" s="1" t="n">
        <v>0.013119221</v>
      </c>
      <c r="J538" s="1" t="n">
        <v>0.010828733</v>
      </c>
      <c r="K538" s="1" t="n">
        <v>0.010404825</v>
      </c>
      <c r="L538" s="1" t="n">
        <v>0.01036191</v>
      </c>
      <c r="M538" s="1" t="n">
        <v>0.01043725</v>
      </c>
      <c r="N538" s="1" t="n">
        <v>0.010363102</v>
      </c>
      <c r="O538" s="1" t="n">
        <v>0.01036644</v>
      </c>
      <c r="P538" s="1" t="n">
        <v>0.010518789</v>
      </c>
      <c r="R538" s="1" t="n">
        <f aca="false">PERCENTILE(G538:P538,0.9)</f>
        <v>0.0164839505</v>
      </c>
      <c r="S538" s="5" t="n">
        <f aca="false">spmv_1!R$18/R538</f>
        <v>4.7038923588129</v>
      </c>
      <c r="T538" s="6" t="n">
        <f aca="false">S538/128</f>
        <v>0.0367491590532258</v>
      </c>
    </row>
    <row r="539" customFormat="false" ht="15" hidden="false" customHeight="false" outlineLevel="0" collapsed="false">
      <c r="A539" s="1" t="s">
        <v>19</v>
      </c>
      <c r="B539" s="1" t="n">
        <v>13</v>
      </c>
      <c r="D539" s="1" t="n">
        <v>286536</v>
      </c>
      <c r="E539" s="1" t="n">
        <v>0.047733</v>
      </c>
      <c r="G539" s="1" t="n">
        <v>0.023442745</v>
      </c>
      <c r="H539" s="1" t="n">
        <v>0.014993668</v>
      </c>
      <c r="I539" s="1" t="n">
        <v>0.012474298</v>
      </c>
      <c r="J539" s="1" t="n">
        <v>0.010249376</v>
      </c>
      <c r="K539" s="1" t="n">
        <v>0.009801149</v>
      </c>
      <c r="L539" s="1" t="n">
        <v>0.009797096</v>
      </c>
      <c r="M539" s="1" t="n">
        <v>0.009814501</v>
      </c>
      <c r="N539" s="1" t="n">
        <v>0.009767294</v>
      </c>
      <c r="O539" s="1" t="n">
        <v>0.009829521</v>
      </c>
      <c r="P539" s="1" t="n">
        <v>0.009887934</v>
      </c>
      <c r="R539" s="1" t="n">
        <f aca="false">PERCENTILE(G539:P539,0.9)</f>
        <v>0.0158385757</v>
      </c>
      <c r="S539" s="5" t="n">
        <f aca="false">spmv_1!R$18/R539</f>
        <v>4.89556196647152</v>
      </c>
      <c r="T539" s="6" t="n">
        <f aca="false">S539/128</f>
        <v>0.0382465778630587</v>
      </c>
    </row>
    <row r="540" customFormat="false" ht="15" hidden="false" customHeight="false" outlineLevel="0" collapsed="false">
      <c r="A540" s="1" t="s">
        <v>19</v>
      </c>
      <c r="B540" s="1" t="n">
        <v>14</v>
      </c>
      <c r="D540" s="1" t="n">
        <v>285847</v>
      </c>
      <c r="E540" s="1" t="n">
        <v>0.047696</v>
      </c>
      <c r="G540" s="1" t="n">
        <v>0.023363352</v>
      </c>
      <c r="H540" s="1" t="n">
        <v>0.014984131</v>
      </c>
      <c r="I540" s="1" t="n">
        <v>0.012431145</v>
      </c>
      <c r="J540" s="1" t="n">
        <v>0.010236025</v>
      </c>
      <c r="K540" s="1" t="n">
        <v>0.00978756</v>
      </c>
      <c r="L540" s="1" t="n">
        <v>0.009797335</v>
      </c>
      <c r="M540" s="1" t="n">
        <v>0.009813547</v>
      </c>
      <c r="N540" s="1" t="n">
        <v>0.009775639</v>
      </c>
      <c r="O540" s="1" t="n">
        <v>0.009832382</v>
      </c>
      <c r="P540" s="1" t="n">
        <v>0.009840727</v>
      </c>
      <c r="R540" s="1" t="n">
        <f aca="false">PERCENTILE(G540:P540,0.9)</f>
        <v>0.0158220531</v>
      </c>
      <c r="S540" s="5" t="n">
        <f aca="false">spmv_1!R$18/R540</f>
        <v>4.9006742873338</v>
      </c>
      <c r="T540" s="6" t="n">
        <f aca="false">S540/128</f>
        <v>0.0382865178697953</v>
      </c>
    </row>
    <row r="541" customFormat="false" ht="15" hidden="false" customHeight="false" outlineLevel="0" collapsed="false">
      <c r="A541" s="1" t="s">
        <v>19</v>
      </c>
      <c r="B541" s="1" t="n">
        <v>15</v>
      </c>
      <c r="D541" s="1" t="n">
        <v>296996</v>
      </c>
      <c r="E541" s="1" t="n">
        <v>0.050044</v>
      </c>
      <c r="G541" s="1" t="n">
        <v>0.023084164</v>
      </c>
      <c r="H541" s="1" t="n">
        <v>0.01492548</v>
      </c>
      <c r="I541" s="1" t="n">
        <v>0.012320518</v>
      </c>
      <c r="J541" s="1" t="n">
        <v>0.010093212</v>
      </c>
      <c r="K541" s="1" t="n">
        <v>0.009665489</v>
      </c>
      <c r="L541" s="1" t="n">
        <v>0.009671211</v>
      </c>
      <c r="M541" s="1" t="n">
        <v>0.009756565</v>
      </c>
      <c r="N541" s="1" t="n">
        <v>0.009707689</v>
      </c>
      <c r="O541" s="1" t="n">
        <v>0.009716988</v>
      </c>
      <c r="P541" s="1" t="n">
        <v>0.009752512</v>
      </c>
      <c r="R541" s="1" t="n">
        <f aca="false">PERCENTILE(G541:P541,0.9)</f>
        <v>0.0157413484</v>
      </c>
      <c r="S541" s="5" t="n">
        <f aca="false">spmv_1!R$18/R541</f>
        <v>4.92579967291747</v>
      </c>
      <c r="T541" s="6" t="n">
        <f aca="false">S541/128</f>
        <v>0.0384828099446678</v>
      </c>
    </row>
    <row r="542" customFormat="false" ht="15" hidden="false" customHeight="false" outlineLevel="0" collapsed="false">
      <c r="A542" s="1" t="s">
        <v>19</v>
      </c>
      <c r="B542" s="1" t="n">
        <v>16</v>
      </c>
      <c r="D542" s="1" t="n">
        <v>290686</v>
      </c>
      <c r="E542" s="1" t="n">
        <v>0.046801</v>
      </c>
      <c r="G542" s="1" t="n">
        <v>0.023065329</v>
      </c>
      <c r="H542" s="1" t="n">
        <v>0.015614033</v>
      </c>
      <c r="I542" s="1" t="n">
        <v>0.013010979</v>
      </c>
      <c r="J542" s="1" t="n">
        <v>0.010746479</v>
      </c>
      <c r="K542" s="1" t="n">
        <v>0.010269642</v>
      </c>
      <c r="L542" s="1" t="n">
        <v>0.010222912</v>
      </c>
      <c r="M542" s="1" t="n">
        <v>0.010400772</v>
      </c>
      <c r="N542" s="1" t="n">
        <v>0.010195494</v>
      </c>
      <c r="O542" s="1" t="n">
        <v>0.010258436</v>
      </c>
      <c r="P542" s="1" t="n">
        <v>0.010437727</v>
      </c>
      <c r="R542" s="1" t="n">
        <f aca="false">PERCENTILE(G542:P542,0.9)</f>
        <v>0.0163591626</v>
      </c>
      <c r="S542" s="5" t="n">
        <f aca="false">spmv_1!R$18/R542</f>
        <v>4.73977370944403</v>
      </c>
      <c r="T542" s="6" t="n">
        <f aca="false">S542/128</f>
        <v>0.0370294821050315</v>
      </c>
    </row>
    <row r="543" customFormat="false" ht="15" hidden="false" customHeight="false" outlineLevel="0" collapsed="false">
      <c r="A543" s="1" t="s">
        <v>19</v>
      </c>
      <c r="B543" s="1" t="n">
        <v>17</v>
      </c>
      <c r="D543" s="1" t="n">
        <v>286810</v>
      </c>
      <c r="E543" s="1" t="n">
        <v>0.046331</v>
      </c>
      <c r="G543" s="1" t="n">
        <v>0.022994041</v>
      </c>
      <c r="H543" s="1" t="n">
        <v>0.015551329</v>
      </c>
      <c r="I543" s="1" t="n">
        <v>0.012924671</v>
      </c>
      <c r="J543" s="1" t="n">
        <v>0.010708809</v>
      </c>
      <c r="K543" s="1" t="n">
        <v>0.010254622</v>
      </c>
      <c r="L543" s="1" t="n">
        <v>0.010204077</v>
      </c>
      <c r="M543" s="1" t="n">
        <v>0.010402441</v>
      </c>
      <c r="N543" s="1" t="n">
        <v>0.010161877</v>
      </c>
      <c r="O543" s="1" t="n">
        <v>0.010236025</v>
      </c>
      <c r="P543" s="1" t="n">
        <v>0.010371923</v>
      </c>
      <c r="R543" s="1" t="n">
        <f aca="false">PERCENTILE(G543:P543,0.9)</f>
        <v>0.0162956002</v>
      </c>
      <c r="S543" s="5" t="n">
        <f aca="false">spmv_1!R$18/R543</f>
        <v>4.75826160732638</v>
      </c>
      <c r="T543" s="6" t="n">
        <f aca="false">S543/128</f>
        <v>0.0371739188072373</v>
      </c>
    </row>
    <row r="544" customFormat="false" ht="15" hidden="false" customHeight="false" outlineLevel="0" collapsed="false">
      <c r="A544" s="1" t="s">
        <v>19</v>
      </c>
      <c r="B544" s="1" t="n">
        <v>18</v>
      </c>
      <c r="D544" s="1" t="n">
        <v>285049</v>
      </c>
      <c r="E544" s="1" t="n">
        <v>0.048633</v>
      </c>
      <c r="G544" s="1" t="n">
        <v>0.022527218</v>
      </c>
      <c r="H544" s="1" t="n">
        <v>0.014787197</v>
      </c>
      <c r="I544" s="1" t="n">
        <v>0.012218475</v>
      </c>
      <c r="J544" s="1" t="n">
        <v>0.010126352</v>
      </c>
      <c r="K544" s="1" t="n">
        <v>0.00955534</v>
      </c>
      <c r="L544" s="1" t="n">
        <v>0.009575367</v>
      </c>
      <c r="M544" s="1" t="n">
        <v>0.009699821</v>
      </c>
      <c r="N544" s="1" t="n">
        <v>0.009510994</v>
      </c>
      <c r="O544" s="1" t="n">
        <v>0.009565592</v>
      </c>
      <c r="P544" s="1" t="n">
        <v>0.009658098</v>
      </c>
      <c r="R544" s="1" t="n">
        <f aca="false">PERCENTILE(G544:P544,0.9)</f>
        <v>0.0155611991</v>
      </c>
      <c r="S544" s="5" t="n">
        <f aca="false">spmv_1!R$18/R544</f>
        <v>4.98282480043585</v>
      </c>
      <c r="T544" s="6" t="n">
        <f aca="false">S544/128</f>
        <v>0.0389283187534051</v>
      </c>
    </row>
    <row r="545" customFormat="false" ht="15" hidden="false" customHeight="false" outlineLevel="0" collapsed="false">
      <c r="A545" s="1" t="s">
        <v>19</v>
      </c>
      <c r="B545" s="1" t="n">
        <v>19</v>
      </c>
      <c r="D545" s="1" t="n">
        <v>296836</v>
      </c>
      <c r="E545" s="1" t="n">
        <v>0.050597</v>
      </c>
      <c r="G545" s="1" t="n">
        <v>0.022484779</v>
      </c>
      <c r="H545" s="1" t="n">
        <v>0.014824152</v>
      </c>
      <c r="I545" s="1" t="n">
        <v>0.01222682</v>
      </c>
      <c r="J545" s="1" t="n">
        <v>0.010070324</v>
      </c>
      <c r="K545" s="1" t="n">
        <v>0.009574175</v>
      </c>
      <c r="L545" s="1" t="n">
        <v>0.009582281</v>
      </c>
      <c r="M545" s="1" t="n">
        <v>0.00965929</v>
      </c>
      <c r="N545" s="1" t="n">
        <v>0.009600401</v>
      </c>
      <c r="O545" s="1" t="n">
        <v>0.00961256</v>
      </c>
      <c r="P545" s="1" t="n">
        <v>0.009697914</v>
      </c>
      <c r="R545" s="1" t="n">
        <f aca="false">PERCENTILE(G545:P545,0.9)</f>
        <v>0.0155902147</v>
      </c>
      <c r="S545" s="5" t="n">
        <f aca="false">spmv_1!R$18/R545</f>
        <v>4.97355105699731</v>
      </c>
      <c r="T545" s="6" t="n">
        <f aca="false">S545/128</f>
        <v>0.0388558676327915</v>
      </c>
    </row>
    <row r="546" customFormat="false" ht="15" hidden="false" customHeight="false" outlineLevel="0" collapsed="false">
      <c r="A546" s="1" t="s">
        <v>19</v>
      </c>
      <c r="B546" s="1" t="n">
        <v>20</v>
      </c>
      <c r="D546" s="1" t="n">
        <v>291047</v>
      </c>
      <c r="E546" s="1" t="n">
        <v>0.047344</v>
      </c>
      <c r="G546" s="1" t="n">
        <v>0.022220373</v>
      </c>
      <c r="H546" s="1" t="n">
        <v>0.015514374</v>
      </c>
      <c r="I546" s="1" t="n">
        <v>0.012893438</v>
      </c>
      <c r="J546" s="1" t="n">
        <v>0.010760546</v>
      </c>
      <c r="K546" s="1" t="n">
        <v>0.010243416</v>
      </c>
      <c r="L546" s="1" t="n">
        <v>0.010198593</v>
      </c>
      <c r="M546" s="1" t="n">
        <v>0.010323763</v>
      </c>
      <c r="N546" s="1" t="n">
        <v>0.010165453</v>
      </c>
      <c r="O546" s="1" t="n">
        <v>0.010242224</v>
      </c>
      <c r="P546" s="1" t="n">
        <v>0.010388136</v>
      </c>
      <c r="R546" s="1" t="n">
        <f aca="false">PERCENTILE(G546:P546,0.9)</f>
        <v>0.0161849739</v>
      </c>
      <c r="S546" s="5" t="n">
        <f aca="false">spmv_1!R$18/R546</f>
        <v>4.7907849143952</v>
      </c>
      <c r="T546" s="6" t="n">
        <f aca="false">S546/128</f>
        <v>0.0374280071437125</v>
      </c>
    </row>
    <row r="547" customFormat="false" ht="15" hidden="false" customHeight="false" outlineLevel="0" collapsed="false">
      <c r="A547" s="1" t="s">
        <v>19</v>
      </c>
      <c r="B547" s="1" t="n">
        <v>21</v>
      </c>
      <c r="D547" s="1" t="n">
        <v>287249</v>
      </c>
      <c r="E547" s="1" t="n">
        <v>0.047429</v>
      </c>
      <c r="G547" s="1" t="n">
        <v>0.022034168</v>
      </c>
      <c r="H547" s="1" t="n">
        <v>0.015309095</v>
      </c>
      <c r="I547" s="1" t="n">
        <v>0.012705803</v>
      </c>
      <c r="J547" s="1" t="n">
        <v>0.01064229</v>
      </c>
      <c r="K547" s="1" t="n">
        <v>0.010061026</v>
      </c>
      <c r="L547" s="1" t="n">
        <v>0.009997368</v>
      </c>
      <c r="M547" s="1" t="n">
        <v>0.010176182</v>
      </c>
      <c r="N547" s="1" t="n">
        <v>0.009974241</v>
      </c>
      <c r="O547" s="1" t="n">
        <v>0.010025978</v>
      </c>
      <c r="P547" s="1" t="n">
        <v>0.010202646</v>
      </c>
      <c r="R547" s="1" t="n">
        <f aca="false">PERCENTILE(G547:P547,0.9)</f>
        <v>0.0159816023</v>
      </c>
      <c r="S547" s="5" t="n">
        <f aca="false">spmv_1!R$18/R547</f>
        <v>4.85174936433001</v>
      </c>
      <c r="T547" s="6" t="n">
        <f aca="false">S547/128</f>
        <v>0.0379042919088282</v>
      </c>
    </row>
    <row r="548" customFormat="false" ht="15" hidden="false" customHeight="false" outlineLevel="0" collapsed="false">
      <c r="A548" s="1" t="s">
        <v>19</v>
      </c>
      <c r="B548" s="1" t="n">
        <v>22</v>
      </c>
      <c r="D548" s="1" t="n">
        <v>285558</v>
      </c>
      <c r="E548" s="1" t="n">
        <v>0.046434</v>
      </c>
      <c r="G548" s="1" t="n">
        <v>0.022454739</v>
      </c>
      <c r="H548" s="1" t="n">
        <v>0.015657187</v>
      </c>
      <c r="I548" s="1" t="n">
        <v>0.013050079</v>
      </c>
      <c r="J548" s="1" t="n">
        <v>0.01079154</v>
      </c>
      <c r="K548" s="1" t="n">
        <v>0.010229588</v>
      </c>
      <c r="L548" s="1" t="n">
        <v>0.010153532</v>
      </c>
      <c r="M548" s="1" t="n">
        <v>0.010208607</v>
      </c>
      <c r="N548" s="1" t="n">
        <v>0.010027409</v>
      </c>
      <c r="O548" s="1" t="n">
        <v>0.010136127</v>
      </c>
      <c r="P548" s="1" t="n">
        <v>0.01028657</v>
      </c>
      <c r="R548" s="1" t="n">
        <f aca="false">PERCENTILE(G548:P548,0.9)</f>
        <v>0.0163369422</v>
      </c>
      <c r="S548" s="5" t="n">
        <f aca="false">spmv_1!R$18/R548</f>
        <v>4.74622042795744</v>
      </c>
      <c r="T548" s="6" t="n">
        <f aca="false">S548/128</f>
        <v>0.0370798470934175</v>
      </c>
    </row>
    <row r="549" customFormat="false" ht="15" hidden="false" customHeight="false" outlineLevel="0" collapsed="false">
      <c r="A549" s="1" t="s">
        <v>19</v>
      </c>
      <c r="B549" s="1" t="n">
        <v>23</v>
      </c>
      <c r="D549" s="1" t="n">
        <v>296873</v>
      </c>
      <c r="E549" s="1" t="n">
        <v>0.051278</v>
      </c>
      <c r="G549" s="1" t="n">
        <v>0.021925688</v>
      </c>
      <c r="H549" s="1" t="n">
        <v>0.014677763</v>
      </c>
      <c r="I549" s="1" t="n">
        <v>0.012034178</v>
      </c>
      <c r="J549" s="1" t="n">
        <v>0.009964705</v>
      </c>
      <c r="K549" s="1" t="n">
        <v>0.009490967</v>
      </c>
      <c r="L549" s="1" t="n">
        <v>0.009469509</v>
      </c>
      <c r="M549" s="1" t="n">
        <v>0.009567499</v>
      </c>
      <c r="N549" s="1" t="n">
        <v>0.009525776</v>
      </c>
      <c r="O549" s="1" t="n">
        <v>0.009536982</v>
      </c>
      <c r="P549" s="1" t="n">
        <v>0.009596825</v>
      </c>
      <c r="R549" s="1" t="n">
        <f aca="false">PERCENTILE(G549:P549,0.9)</f>
        <v>0.0154025555</v>
      </c>
      <c r="S549" s="5" t="n">
        <f aca="false">spmv_1!R$18/R549</f>
        <v>5.03414701540923</v>
      </c>
      <c r="T549" s="6" t="n">
        <f aca="false">S549/128</f>
        <v>0.0393292735578846</v>
      </c>
    </row>
    <row r="550" customFormat="false" ht="15" hidden="false" customHeight="false" outlineLevel="0" collapsed="false">
      <c r="A550" s="1" t="s">
        <v>19</v>
      </c>
      <c r="B550" s="1" t="n">
        <v>24</v>
      </c>
      <c r="D550" s="1" t="n">
        <v>290851</v>
      </c>
      <c r="E550" s="1" t="n">
        <v>0.050581</v>
      </c>
      <c r="G550" s="1" t="n">
        <v>0.021770954</v>
      </c>
      <c r="H550" s="1" t="n">
        <v>0.014624596</v>
      </c>
      <c r="I550" s="1" t="n">
        <v>0.011886597</v>
      </c>
      <c r="J550" s="1" t="n">
        <v>0.009890556</v>
      </c>
      <c r="K550" s="1" t="n">
        <v>0.009395361</v>
      </c>
      <c r="L550" s="1" t="n">
        <v>0.009453297</v>
      </c>
      <c r="M550" s="1" t="n">
        <v>0.009486437</v>
      </c>
      <c r="N550" s="1" t="n">
        <v>0.009478807</v>
      </c>
      <c r="O550" s="1" t="n">
        <v>0.009493589</v>
      </c>
      <c r="P550" s="1" t="n">
        <v>0.009522915</v>
      </c>
      <c r="R550" s="1" t="n">
        <f aca="false">PERCENTILE(G550:P550,0.9)</f>
        <v>0.0153392318</v>
      </c>
      <c r="S550" s="5" t="n">
        <f aca="false">spmv_1!R$18/R550</f>
        <v>5.05492907408831</v>
      </c>
      <c r="T550" s="6" t="n">
        <f aca="false">S550/128</f>
        <v>0.039491633391315</v>
      </c>
    </row>
    <row r="551" customFormat="false" ht="15" hidden="false" customHeight="false" outlineLevel="0" collapsed="false">
      <c r="A551" s="1" t="s">
        <v>19</v>
      </c>
      <c r="B551" s="1" t="n">
        <v>25</v>
      </c>
      <c r="D551" s="1" t="n">
        <v>287485</v>
      </c>
      <c r="E551" s="1" t="n">
        <v>0.050253</v>
      </c>
      <c r="G551" s="1" t="n">
        <v>0.021499395</v>
      </c>
      <c r="H551" s="1" t="n">
        <v>0.014587164</v>
      </c>
      <c r="I551" s="1" t="n">
        <v>0.011841297</v>
      </c>
      <c r="J551" s="1" t="n">
        <v>0.009861469</v>
      </c>
      <c r="K551" s="1" t="n">
        <v>0.009362698</v>
      </c>
      <c r="L551" s="1" t="n">
        <v>0.009414911</v>
      </c>
      <c r="M551" s="1" t="n">
        <v>0.009477615</v>
      </c>
      <c r="N551" s="1" t="n">
        <v>0.009457588</v>
      </c>
      <c r="O551" s="1" t="n">
        <v>0.009436846</v>
      </c>
      <c r="P551" s="1" t="n">
        <v>0.00947547</v>
      </c>
      <c r="R551" s="1" t="n">
        <f aca="false">PERCENTILE(G551:P551,0.9)</f>
        <v>0.0152783871</v>
      </c>
      <c r="S551" s="5" t="n">
        <f aca="false">spmv_1!R$18/R551</f>
        <v>5.07505984057702</v>
      </c>
      <c r="T551" s="6" t="n">
        <f aca="false">S551/128</f>
        <v>0.039648905004508</v>
      </c>
    </row>
    <row r="552" customFormat="false" ht="15" hidden="false" customHeight="false" outlineLevel="0" collapsed="false">
      <c r="A552" s="1" t="s">
        <v>19</v>
      </c>
      <c r="B552" s="1" t="n">
        <v>26</v>
      </c>
      <c r="D552" s="1" t="n">
        <v>285580</v>
      </c>
      <c r="E552" s="1" t="n">
        <v>0.050071</v>
      </c>
      <c r="G552" s="1" t="n">
        <v>0.021490574</v>
      </c>
      <c r="H552" s="1" t="n">
        <v>0.014569998</v>
      </c>
      <c r="I552" s="1" t="n">
        <v>0.011765957</v>
      </c>
      <c r="J552" s="1" t="n">
        <v>0.009809494</v>
      </c>
      <c r="K552" s="1" t="n">
        <v>0.009355545</v>
      </c>
      <c r="L552" s="1" t="n">
        <v>0.009356976</v>
      </c>
      <c r="M552" s="1" t="n">
        <v>0.009448051</v>
      </c>
      <c r="N552" s="1" t="n">
        <v>0.009379625</v>
      </c>
      <c r="O552" s="1" t="n">
        <v>0.009429693</v>
      </c>
      <c r="P552" s="1" t="n">
        <v>0.009465218</v>
      </c>
      <c r="R552" s="1" t="n">
        <f aca="false">PERCENTILE(G552:P552,0.9)</f>
        <v>0.0152620556</v>
      </c>
      <c r="S552" s="5" t="n">
        <f aca="false">spmv_1!R$18/R552</f>
        <v>5.08049052055609</v>
      </c>
      <c r="T552" s="6" t="n">
        <f aca="false">S552/128</f>
        <v>0.0396913321918445</v>
      </c>
    </row>
    <row r="553" customFormat="false" ht="15" hidden="false" customHeight="false" outlineLevel="0" collapsed="false">
      <c r="A553" s="1" t="s">
        <v>19</v>
      </c>
      <c r="B553" s="1" t="n">
        <v>27</v>
      </c>
      <c r="D553" s="1" t="n">
        <v>297364</v>
      </c>
      <c r="E553" s="1" t="n">
        <v>0.053462</v>
      </c>
      <c r="G553" s="1" t="n">
        <v>0.021153212</v>
      </c>
      <c r="H553" s="1" t="n">
        <v>0.014292717</v>
      </c>
      <c r="I553" s="1" t="n">
        <v>0.011237621</v>
      </c>
      <c r="J553" s="1" t="n">
        <v>0.009680271</v>
      </c>
      <c r="K553" s="1" t="n">
        <v>0.009143353</v>
      </c>
      <c r="L553" s="1" t="n">
        <v>0.009109259</v>
      </c>
      <c r="M553" s="1" t="n">
        <v>0.009180546</v>
      </c>
      <c r="N553" s="1" t="n">
        <v>0.009075403</v>
      </c>
      <c r="O553" s="1" t="n">
        <v>0.009093523</v>
      </c>
      <c r="P553" s="1" t="n">
        <v>0.009278059</v>
      </c>
      <c r="R553" s="1" t="n">
        <f aca="false">PERCENTILE(G553:P553,0.9)</f>
        <v>0.0149787665</v>
      </c>
      <c r="S553" s="5" t="n">
        <f aca="false">spmv_1!R$18/R553</f>
        <v>5.17657637563147</v>
      </c>
      <c r="T553" s="6" t="n">
        <f aca="false">S553/128</f>
        <v>0.0404420029346208</v>
      </c>
    </row>
    <row r="554" customFormat="false" ht="15" hidden="false" customHeight="false" outlineLevel="0" collapsed="false">
      <c r="A554" s="1" t="s">
        <v>19</v>
      </c>
      <c r="B554" s="1" t="n">
        <v>28</v>
      </c>
      <c r="D554" s="1" t="n">
        <v>290723</v>
      </c>
      <c r="E554" s="1" t="n">
        <v>0.050145</v>
      </c>
      <c r="G554" s="1" t="n">
        <v>0.020760775</v>
      </c>
      <c r="H554" s="1" t="n">
        <v>0.014909267</v>
      </c>
      <c r="I554" s="1" t="n">
        <v>0.01179266</v>
      </c>
      <c r="J554" s="1" t="n">
        <v>0.010180235</v>
      </c>
      <c r="K554" s="1" t="n">
        <v>0.009735823</v>
      </c>
      <c r="L554" s="1" t="n">
        <v>0.0096488</v>
      </c>
      <c r="M554" s="1" t="n">
        <v>0.009846449</v>
      </c>
      <c r="N554" s="1" t="n">
        <v>0.009586096</v>
      </c>
      <c r="O554" s="1" t="n">
        <v>0.009672642</v>
      </c>
      <c r="P554" s="1" t="n">
        <v>0.009819984</v>
      </c>
      <c r="R554" s="1" t="n">
        <f aca="false">PERCENTILE(G554:P554,0.9)</f>
        <v>0.0154944178</v>
      </c>
      <c r="S554" s="5" t="n">
        <f aca="false">spmv_1!R$18/R554</f>
        <v>5.00430089086665</v>
      </c>
      <c r="T554" s="6" t="n">
        <f aca="false">S554/128</f>
        <v>0.0390961007098957</v>
      </c>
    </row>
    <row r="555" customFormat="false" ht="15" hidden="false" customHeight="false" outlineLevel="0" collapsed="false">
      <c r="A555" s="1" t="s">
        <v>19</v>
      </c>
      <c r="B555" s="1" t="n">
        <v>29</v>
      </c>
      <c r="D555" s="1" t="n">
        <v>287585</v>
      </c>
      <c r="E555" s="1" t="n">
        <v>0.050121</v>
      </c>
      <c r="G555" s="1" t="n">
        <v>0.020483732</v>
      </c>
      <c r="H555" s="1" t="n">
        <v>0.014905691</v>
      </c>
      <c r="I555" s="1" t="n">
        <v>0.011578321</v>
      </c>
      <c r="J555" s="1" t="n">
        <v>0.010132313</v>
      </c>
      <c r="K555" s="1" t="n">
        <v>0.009610891</v>
      </c>
      <c r="L555" s="1" t="n">
        <v>0.009567738</v>
      </c>
      <c r="M555" s="1" t="n">
        <v>0.009723663</v>
      </c>
      <c r="N555" s="1" t="n">
        <v>0.00952673</v>
      </c>
      <c r="O555" s="1" t="n">
        <v>0.009609938</v>
      </c>
      <c r="P555" s="1" t="n">
        <v>0.009617329</v>
      </c>
      <c r="R555" s="1" t="n">
        <f aca="false">PERCENTILE(G555:P555,0.9)</f>
        <v>0.0154634951</v>
      </c>
      <c r="S555" s="5" t="n">
        <f aca="false">spmv_1!R$18/R555</f>
        <v>5.01430810425258</v>
      </c>
      <c r="T555" s="6" t="n">
        <f aca="false">S555/128</f>
        <v>0.0391742820644733</v>
      </c>
    </row>
    <row r="556" customFormat="false" ht="15" hidden="false" customHeight="false" outlineLevel="0" collapsed="false">
      <c r="A556" s="1" t="s">
        <v>19</v>
      </c>
      <c r="B556" s="1" t="n">
        <v>30</v>
      </c>
      <c r="D556" s="1" t="n">
        <v>285995</v>
      </c>
      <c r="E556" s="1" t="n">
        <v>0.051831</v>
      </c>
      <c r="G556" s="1" t="n">
        <v>0.020180225</v>
      </c>
      <c r="H556" s="1" t="n">
        <v>0.014569044</v>
      </c>
      <c r="I556" s="1" t="n">
        <v>0.011241198</v>
      </c>
      <c r="J556" s="1" t="n">
        <v>0.009590149</v>
      </c>
      <c r="K556" s="1" t="n">
        <v>0.009111881</v>
      </c>
      <c r="L556" s="1" t="n">
        <v>0.009114504</v>
      </c>
      <c r="M556" s="1" t="n">
        <v>0.009157658</v>
      </c>
      <c r="N556" s="1" t="n">
        <v>0.009130716</v>
      </c>
      <c r="O556" s="1" t="n">
        <v>0.00909996</v>
      </c>
      <c r="P556" s="1" t="n">
        <v>0.009161234</v>
      </c>
      <c r="R556" s="1" t="n">
        <f aca="false">PERCENTILE(G556:P556,0.9)</f>
        <v>0.0151301621</v>
      </c>
      <c r="S556" s="5" t="n">
        <f aca="false">spmv_1!R$18/R556</f>
        <v>5.12477845825591</v>
      </c>
      <c r="T556" s="6" t="n">
        <f aca="false">S556/128</f>
        <v>0.0400373317051243</v>
      </c>
    </row>
    <row r="557" customFormat="false" ht="15" hidden="false" customHeight="false" outlineLevel="0" collapsed="false">
      <c r="A557" s="1" t="s">
        <v>19</v>
      </c>
      <c r="B557" s="1" t="n">
        <v>31</v>
      </c>
      <c r="D557" s="1" t="n">
        <v>298019</v>
      </c>
      <c r="E557" s="1" t="n">
        <v>0.054681</v>
      </c>
      <c r="G557" s="1" t="n">
        <v>0.020117998</v>
      </c>
      <c r="H557" s="1" t="n">
        <v>0.014372826</v>
      </c>
      <c r="I557" s="1" t="n">
        <v>0.011052847</v>
      </c>
      <c r="J557" s="1" t="n">
        <v>0.009503841</v>
      </c>
      <c r="K557" s="1" t="n">
        <v>0.008998871</v>
      </c>
      <c r="L557" s="1" t="n">
        <v>0.008966446</v>
      </c>
      <c r="M557" s="1" t="n">
        <v>0.009040594</v>
      </c>
      <c r="N557" s="1" t="n">
        <v>0.00890398</v>
      </c>
      <c r="O557" s="1" t="n">
        <v>0.0089643</v>
      </c>
      <c r="P557" s="1" t="n">
        <v>0.009080648</v>
      </c>
      <c r="R557" s="1" t="n">
        <f aca="false">PERCENTILE(G557:P557,0.9)</f>
        <v>0.0149473432</v>
      </c>
      <c r="S557" s="5" t="n">
        <f aca="false">spmv_1!R$18/R557</f>
        <v>5.18745891912083</v>
      </c>
      <c r="T557" s="6" t="n">
        <f aca="false">S557/128</f>
        <v>0.0405270228056314</v>
      </c>
    </row>
    <row r="558" customFormat="false" ht="15" hidden="false" customHeight="false" outlineLevel="0" collapsed="false">
      <c r="A558" s="1" t="s">
        <v>19</v>
      </c>
      <c r="B558" s="1" t="n">
        <v>32</v>
      </c>
      <c r="D558" s="1" t="n">
        <v>290420</v>
      </c>
      <c r="E558" s="1" t="n">
        <v>0.04693</v>
      </c>
      <c r="G558" s="1" t="n">
        <v>0.033247232</v>
      </c>
      <c r="H558" s="1" t="n">
        <v>0.01439476</v>
      </c>
      <c r="I558" s="1" t="n">
        <v>0.010946751</v>
      </c>
      <c r="J558" s="1" t="n">
        <v>0.00931859</v>
      </c>
      <c r="K558" s="1" t="n">
        <v>0.009083509</v>
      </c>
      <c r="L558" s="1" t="n">
        <v>0.00909853</v>
      </c>
      <c r="M558" s="1" t="n">
        <v>0.009159565</v>
      </c>
      <c r="N558" s="1" t="n">
        <v>0.009407759</v>
      </c>
      <c r="O558" s="1" t="n">
        <v>0.009576082</v>
      </c>
      <c r="P558" s="1" t="n">
        <v>0.009535789</v>
      </c>
      <c r="R558" s="1" t="n">
        <f aca="false">PERCENTILE(G558:P558,0.9)</f>
        <v>0.0162800072</v>
      </c>
      <c r="S558" s="5" t="n">
        <f aca="false">spmv_1!R$18/R558</f>
        <v>4.76281907295471</v>
      </c>
      <c r="T558" s="6" t="n">
        <f aca="false">S558/128</f>
        <v>0.0372095240074587</v>
      </c>
    </row>
    <row r="559" customFormat="false" ht="15" hidden="false" customHeight="false" outlineLevel="0" collapsed="false">
      <c r="A559" s="1" t="s">
        <v>19</v>
      </c>
      <c r="B559" s="1" t="n">
        <v>33</v>
      </c>
      <c r="D559" s="1" t="n">
        <v>287619</v>
      </c>
      <c r="E559" s="1" t="n">
        <v>0.047141</v>
      </c>
      <c r="G559" s="1" t="n">
        <v>0.033377171</v>
      </c>
      <c r="H559" s="1" t="n">
        <v>0.014368296</v>
      </c>
      <c r="I559" s="1" t="n">
        <v>0.010829926</v>
      </c>
      <c r="J559" s="1" t="n">
        <v>0.009118319</v>
      </c>
      <c r="K559" s="1" t="n">
        <v>0.008829355</v>
      </c>
      <c r="L559" s="1" t="n">
        <v>0.008803368</v>
      </c>
      <c r="M559" s="1" t="n">
        <v>0.008890867</v>
      </c>
      <c r="N559" s="1" t="n">
        <v>0.009154081</v>
      </c>
      <c r="O559" s="1" t="n">
        <v>0.009361744</v>
      </c>
      <c r="P559" s="1" t="n">
        <v>0.009292126</v>
      </c>
      <c r="R559" s="1" t="n">
        <f aca="false">PERCENTILE(G559:P559,0.9)</f>
        <v>0.0162691835</v>
      </c>
      <c r="S559" s="5" t="n">
        <f aca="false">spmv_1!R$18/R559</f>
        <v>4.76598772151043</v>
      </c>
      <c r="T559" s="6" t="n">
        <f aca="false">S559/128</f>
        <v>0.0372342790743002</v>
      </c>
    </row>
    <row r="560" customFormat="false" ht="15" hidden="false" customHeight="false" outlineLevel="0" collapsed="false">
      <c r="A560" s="1" t="s">
        <v>19</v>
      </c>
      <c r="B560" s="1" t="n">
        <v>34</v>
      </c>
      <c r="D560" s="1" t="n">
        <v>286237</v>
      </c>
      <c r="E560" s="1" t="n">
        <v>0.044419</v>
      </c>
      <c r="G560" s="1" t="n">
        <v>0.034822702</v>
      </c>
      <c r="H560" s="1" t="n">
        <v>0.014508963</v>
      </c>
      <c r="I560" s="1" t="n">
        <v>0.01112318</v>
      </c>
      <c r="J560" s="1" t="n">
        <v>0.009587288</v>
      </c>
      <c r="K560" s="1" t="n">
        <v>0.00946331</v>
      </c>
      <c r="L560" s="1" t="n">
        <v>0.009460211</v>
      </c>
      <c r="M560" s="1" t="n">
        <v>0.00960207</v>
      </c>
      <c r="N560" s="1" t="n">
        <v>0.009826183</v>
      </c>
      <c r="O560" s="1" t="n">
        <v>0.010540485</v>
      </c>
      <c r="P560" s="1" t="n">
        <v>0.009944916</v>
      </c>
      <c r="R560" s="1" t="n">
        <f aca="false">PERCENTILE(G560:P560,0.9)</f>
        <v>0.0165403369</v>
      </c>
      <c r="S560" s="5" t="n">
        <f aca="false">spmv_1!R$18/R560</f>
        <v>4.6878566784211</v>
      </c>
      <c r="T560" s="6" t="n">
        <f aca="false">S560/128</f>
        <v>0.0366238803001649</v>
      </c>
    </row>
    <row r="561" customFormat="false" ht="15" hidden="false" customHeight="false" outlineLevel="0" collapsed="false">
      <c r="A561" s="1" t="s">
        <v>19</v>
      </c>
      <c r="B561" s="1" t="n">
        <v>35</v>
      </c>
      <c r="D561" s="1" t="n">
        <v>298673</v>
      </c>
      <c r="E561" s="1" t="n">
        <v>0.04882</v>
      </c>
      <c r="G561" s="1" t="n">
        <v>0.033876657</v>
      </c>
      <c r="H561" s="1" t="n">
        <v>0.014405251</v>
      </c>
      <c r="I561" s="1" t="n">
        <v>0.010665178</v>
      </c>
      <c r="J561" s="1" t="n">
        <v>0.009076118</v>
      </c>
      <c r="K561" s="1" t="n">
        <v>0.008823633</v>
      </c>
      <c r="L561" s="1" t="n">
        <v>0.008806944</v>
      </c>
      <c r="M561" s="1" t="n">
        <v>0.00889492</v>
      </c>
      <c r="N561" s="1" t="n">
        <v>0.009137869</v>
      </c>
      <c r="O561" s="1" t="n">
        <v>0.009382725</v>
      </c>
      <c r="P561" s="1" t="n">
        <v>0.009286642</v>
      </c>
      <c r="R561" s="1" t="n">
        <f aca="false">PERCENTILE(G561:P561,0.9)</f>
        <v>0.0163523916</v>
      </c>
      <c r="S561" s="5" t="n">
        <f aca="false">spmv_1!R$18/R561</f>
        <v>4.74173629746</v>
      </c>
      <c r="T561" s="6" t="n">
        <f aca="false">S561/128</f>
        <v>0.0370448148239063</v>
      </c>
    </row>
    <row r="562" customFormat="false" ht="15" hidden="false" customHeight="false" outlineLevel="0" collapsed="false">
      <c r="A562" s="1" t="s">
        <v>19</v>
      </c>
      <c r="B562" s="1" t="n">
        <v>36</v>
      </c>
      <c r="D562" s="1" t="n">
        <v>290510</v>
      </c>
      <c r="E562" s="1" t="n">
        <v>0.046809</v>
      </c>
      <c r="G562" s="1" t="n">
        <v>0.033781767</v>
      </c>
      <c r="H562" s="1" t="n">
        <v>0.014410496</v>
      </c>
      <c r="I562" s="1" t="n">
        <v>0.01076889</v>
      </c>
      <c r="J562" s="1" t="n">
        <v>0.00925374</v>
      </c>
      <c r="K562" s="1" t="n">
        <v>0.00909853</v>
      </c>
      <c r="L562" s="1" t="n">
        <v>0.009088516</v>
      </c>
      <c r="M562" s="1" t="n">
        <v>0.009166241</v>
      </c>
      <c r="N562" s="1" t="n">
        <v>0.009429216</v>
      </c>
      <c r="O562" s="1" t="n">
        <v>0.009570599</v>
      </c>
      <c r="P562" s="1" t="n">
        <v>0.009557247</v>
      </c>
      <c r="R562" s="1" t="n">
        <f aca="false">PERCENTILE(G562:P562,0.9)</f>
        <v>0.0163476231</v>
      </c>
      <c r="S562" s="5" t="n">
        <f aca="false">spmv_1!R$18/R562</f>
        <v>4.74311943245132</v>
      </c>
      <c r="T562" s="6" t="n">
        <f aca="false">S562/128</f>
        <v>0.0370556205660259</v>
      </c>
    </row>
    <row r="563" customFormat="false" ht="15" hidden="false" customHeight="false" outlineLevel="0" collapsed="false">
      <c r="A563" s="1" t="s">
        <v>19</v>
      </c>
      <c r="B563" s="1" t="n">
        <v>37</v>
      </c>
      <c r="D563" s="1" t="n">
        <v>287477</v>
      </c>
      <c r="E563" s="1" t="n">
        <v>0.04742</v>
      </c>
      <c r="G563" s="1" t="n">
        <v>0.033671618</v>
      </c>
      <c r="H563" s="1" t="n">
        <v>0.014320374</v>
      </c>
      <c r="I563" s="1" t="n">
        <v>0.010520697</v>
      </c>
      <c r="J563" s="1" t="n">
        <v>0.008990049</v>
      </c>
      <c r="K563" s="1" t="n">
        <v>0.008711815</v>
      </c>
      <c r="L563" s="1" t="n">
        <v>0.008697748</v>
      </c>
      <c r="M563" s="1" t="n">
        <v>0.008780479</v>
      </c>
      <c r="N563" s="1" t="n">
        <v>0.009068012</v>
      </c>
      <c r="O563" s="1" t="n">
        <v>0.009273767</v>
      </c>
      <c r="P563" s="1" t="n">
        <v>0.009211779</v>
      </c>
      <c r="R563" s="1" t="n">
        <f aca="false">PERCENTILE(G563:P563,0.9)</f>
        <v>0.0162554984</v>
      </c>
      <c r="S563" s="5" t="n">
        <f aca="false">spmv_1!R$18/R563</f>
        <v>4.77000008809327</v>
      </c>
      <c r="T563" s="6" t="n">
        <f aca="false">S563/128</f>
        <v>0.0372656256882287</v>
      </c>
    </row>
    <row r="564" customFormat="false" ht="15" hidden="false" customHeight="false" outlineLevel="0" collapsed="false">
      <c r="A564" s="1" t="s">
        <v>19</v>
      </c>
      <c r="B564" s="1" t="n">
        <v>38</v>
      </c>
      <c r="D564" s="1" t="n">
        <v>286439</v>
      </c>
      <c r="E564" s="1" t="n">
        <v>0.04703</v>
      </c>
      <c r="G564" s="1" t="n">
        <v>0.03391552</v>
      </c>
      <c r="H564" s="1" t="n">
        <v>0.01432538</v>
      </c>
      <c r="I564" s="1" t="n">
        <v>0.010539293</v>
      </c>
      <c r="J564" s="1" t="n">
        <v>0.009022474</v>
      </c>
      <c r="K564" s="1" t="n">
        <v>0.008789539</v>
      </c>
      <c r="L564" s="1" t="n">
        <v>0.008760929</v>
      </c>
      <c r="M564" s="1" t="n">
        <v>0.008834362</v>
      </c>
      <c r="N564" s="1" t="n">
        <v>0.009104252</v>
      </c>
      <c r="O564" s="1" t="n">
        <v>0.009288073</v>
      </c>
      <c r="P564" s="1" t="n">
        <v>0.009232283</v>
      </c>
      <c r="R564" s="1" t="n">
        <f aca="false">PERCENTILE(G564:P564,0.9)</f>
        <v>0.016284394</v>
      </c>
      <c r="S564" s="5" t="n">
        <f aca="false">spmv_1!R$18/R564</f>
        <v>4.76153603259661</v>
      </c>
      <c r="T564" s="6" t="n">
        <f aca="false">S564/128</f>
        <v>0.037199500254661</v>
      </c>
    </row>
    <row r="565" customFormat="false" ht="15" hidden="false" customHeight="false" outlineLevel="0" collapsed="false">
      <c r="A565" s="1" t="s">
        <v>19</v>
      </c>
      <c r="B565" s="1" t="n">
        <v>39</v>
      </c>
      <c r="D565" s="1" t="n">
        <v>296961</v>
      </c>
      <c r="E565" s="1" t="n">
        <v>0.045911</v>
      </c>
      <c r="G565" s="1" t="n">
        <v>0.034849167</v>
      </c>
      <c r="H565" s="1" t="n">
        <v>0.015397549</v>
      </c>
      <c r="I565" s="1" t="n">
        <v>0.010901451</v>
      </c>
      <c r="J565" s="1" t="n">
        <v>0.009536266</v>
      </c>
      <c r="K565" s="1" t="n">
        <v>0.009433746</v>
      </c>
      <c r="L565" s="1" t="n">
        <v>0.0094347</v>
      </c>
      <c r="M565" s="1" t="n">
        <v>0.009545088</v>
      </c>
      <c r="N565" s="1" t="n">
        <v>0.009806871</v>
      </c>
      <c r="O565" s="1" t="n">
        <v>0.010523796</v>
      </c>
      <c r="P565" s="1" t="n">
        <v>0.009935856</v>
      </c>
      <c r="R565" s="1" t="n">
        <f aca="false">PERCENTILE(G565:P565,0.9)</f>
        <v>0.0173427108</v>
      </c>
      <c r="S565" s="5" t="n">
        <f aca="false">spmv_1!R$18/R565</f>
        <v>4.47096937117812</v>
      </c>
      <c r="T565" s="6" t="n">
        <f aca="false">S565/128</f>
        <v>0.0349294482123291</v>
      </c>
    </row>
    <row r="566" customFormat="false" ht="15" hidden="false" customHeight="false" outlineLevel="0" collapsed="false">
      <c r="A566" s="1" t="s">
        <v>19</v>
      </c>
      <c r="B566" s="1" t="n">
        <v>40</v>
      </c>
      <c r="D566" s="1" t="n">
        <v>290538</v>
      </c>
      <c r="E566" s="1" t="n">
        <v>0.046669</v>
      </c>
      <c r="G566" s="1" t="n">
        <v>0.033598185</v>
      </c>
      <c r="H566" s="1" t="n">
        <v>0.015267611</v>
      </c>
      <c r="I566" s="1" t="n">
        <v>0.010628462</v>
      </c>
      <c r="J566" s="1" t="n">
        <v>0.009198189</v>
      </c>
      <c r="K566" s="1" t="n">
        <v>0.009078264</v>
      </c>
      <c r="L566" s="1" t="n">
        <v>0.009076595</v>
      </c>
      <c r="M566" s="1" t="n">
        <v>0.0091362</v>
      </c>
      <c r="N566" s="1" t="n">
        <v>0.009413481</v>
      </c>
      <c r="O566" s="1" t="n">
        <v>0.009563208</v>
      </c>
      <c r="P566" s="1" t="n">
        <v>0.009550571</v>
      </c>
      <c r="R566" s="1" t="n">
        <f aca="false">PERCENTILE(G566:P566,0.9)</f>
        <v>0.0171006684</v>
      </c>
      <c r="S566" s="5" t="n">
        <f aca="false">spmv_1!R$18/R566</f>
        <v>4.53425135125128</v>
      </c>
      <c r="T566" s="6" t="n">
        <f aca="false">S566/128</f>
        <v>0.0354238386816506</v>
      </c>
    </row>
    <row r="567" customFormat="false" ht="15" hidden="false" customHeight="false" outlineLevel="0" collapsed="false">
      <c r="A567" s="1" t="s">
        <v>19</v>
      </c>
      <c r="B567" s="1" t="n">
        <v>41</v>
      </c>
      <c r="D567" s="1" t="n">
        <v>286508</v>
      </c>
      <c r="E567" s="1" t="n">
        <v>0.047145</v>
      </c>
      <c r="G567" s="1" t="n">
        <v>0.033367634</v>
      </c>
      <c r="H567" s="1" t="n">
        <v>0.015037298</v>
      </c>
      <c r="I567" s="1" t="n">
        <v>0.010392666</v>
      </c>
      <c r="J567" s="1" t="n">
        <v>0.008920431</v>
      </c>
      <c r="K567" s="1" t="n">
        <v>0.008744717</v>
      </c>
      <c r="L567" s="1" t="n">
        <v>0.008732796</v>
      </c>
      <c r="M567" s="1" t="n">
        <v>0.008788109</v>
      </c>
      <c r="N567" s="1" t="n">
        <v>0.009064198</v>
      </c>
      <c r="O567" s="1" t="n">
        <v>0.009268284</v>
      </c>
      <c r="P567" s="1" t="n">
        <v>0.009227276</v>
      </c>
      <c r="R567" s="1" t="n">
        <f aca="false">PERCENTILE(G567:P567,0.9)</f>
        <v>0.0168703316</v>
      </c>
      <c r="S567" s="5" t="n">
        <f aca="false">spmv_1!R$18/R567</f>
        <v>4.59615914129394</v>
      </c>
      <c r="T567" s="6" t="n">
        <f aca="false">S567/128</f>
        <v>0.0359074932913589</v>
      </c>
    </row>
    <row r="568" customFormat="false" ht="15" hidden="false" customHeight="false" outlineLevel="0" collapsed="false">
      <c r="A568" s="1" t="s">
        <v>19</v>
      </c>
      <c r="B568" s="1" t="n">
        <v>42</v>
      </c>
      <c r="D568" s="1" t="n">
        <v>286920</v>
      </c>
      <c r="E568" s="1" t="n">
        <v>0.046295</v>
      </c>
      <c r="G568" s="1" t="n">
        <v>0.033617735</v>
      </c>
      <c r="H568" s="1" t="n">
        <v>0.015338898</v>
      </c>
      <c r="I568" s="1" t="n">
        <v>0.010516167</v>
      </c>
      <c r="J568" s="1" t="n">
        <v>0.009117603</v>
      </c>
      <c r="K568" s="1" t="n">
        <v>0.009005785</v>
      </c>
      <c r="L568" s="1" t="n">
        <v>0.008995295</v>
      </c>
      <c r="M568" s="1" t="n">
        <v>0.009084463</v>
      </c>
      <c r="N568" s="1" t="n">
        <v>0.00933814</v>
      </c>
      <c r="O568" s="1" t="n">
        <v>0.009472132</v>
      </c>
      <c r="P568" s="1" t="n">
        <v>0.00946641</v>
      </c>
      <c r="R568" s="1" t="n">
        <f aca="false">PERCENTILE(G568:P568,0.9)</f>
        <v>0.0171667817</v>
      </c>
      <c r="S568" s="5" t="n">
        <f aca="false">spmv_1!R$18/R568</f>
        <v>4.51678888652729</v>
      </c>
      <c r="T568" s="6" t="n">
        <f aca="false">S568/128</f>
        <v>0.0352874131759944</v>
      </c>
    </row>
    <row r="569" customFormat="false" ht="15" hidden="false" customHeight="false" outlineLevel="0" collapsed="false">
      <c r="A569" s="1" t="s">
        <v>19</v>
      </c>
      <c r="B569" s="1" t="n">
        <v>43</v>
      </c>
      <c r="D569" s="1" t="n">
        <v>297561</v>
      </c>
      <c r="E569" s="1" t="n">
        <v>0.045414</v>
      </c>
      <c r="G569" s="1" t="n">
        <v>0.03455615</v>
      </c>
      <c r="H569" s="1" t="n">
        <v>0.017660379</v>
      </c>
      <c r="I569" s="1" t="n">
        <v>0.010848284</v>
      </c>
      <c r="J569" s="1" t="n">
        <v>0.009490252</v>
      </c>
      <c r="K569" s="1" t="n">
        <v>0.009410381</v>
      </c>
      <c r="L569" s="1" t="n">
        <v>0.009413004</v>
      </c>
      <c r="M569" s="1" t="n">
        <v>0.009511232</v>
      </c>
      <c r="N569" s="1" t="n">
        <v>0.009755611</v>
      </c>
      <c r="O569" s="1" t="n">
        <v>0.010488749</v>
      </c>
      <c r="P569" s="1" t="n">
        <v>0.009908438</v>
      </c>
      <c r="R569" s="1" t="n">
        <f aca="false">PERCENTILE(G569:P569,0.9)</f>
        <v>0.0193499561</v>
      </c>
      <c r="S569" s="5" t="n">
        <f aca="false">spmv_1!R$18/R569</f>
        <v>4.00717853825002</v>
      </c>
      <c r="T569" s="6" t="n">
        <f aca="false">S569/128</f>
        <v>0.0313060823300783</v>
      </c>
    </row>
    <row r="570" customFormat="false" ht="15" hidden="false" customHeight="false" outlineLevel="0" collapsed="false">
      <c r="A570" s="1" t="s">
        <v>19</v>
      </c>
      <c r="B570" s="1" t="n">
        <v>44</v>
      </c>
      <c r="D570" s="1" t="n">
        <v>291036</v>
      </c>
      <c r="E570" s="1" t="n">
        <v>0.046323</v>
      </c>
      <c r="G570" s="1" t="n">
        <v>0.033389568</v>
      </c>
      <c r="H570" s="1" t="n">
        <v>0.017140388</v>
      </c>
      <c r="I570" s="1" t="n">
        <v>0.010520697</v>
      </c>
      <c r="J570" s="1" t="n">
        <v>0.009123564</v>
      </c>
      <c r="K570" s="1" t="n">
        <v>0.009030104</v>
      </c>
      <c r="L570" s="1" t="n">
        <v>0.009030104</v>
      </c>
      <c r="M570" s="1" t="n">
        <v>0.009083271</v>
      </c>
      <c r="N570" s="1" t="n">
        <v>0.009363413</v>
      </c>
      <c r="O570" s="1" t="n">
        <v>0.009474754</v>
      </c>
      <c r="P570" s="1" t="n">
        <v>0.009497881</v>
      </c>
      <c r="R570" s="1" t="n">
        <f aca="false">PERCENTILE(G570:P570,0.9)</f>
        <v>0.018765306</v>
      </c>
      <c r="S570" s="5" t="n">
        <f aca="false">spmv_1!R$18/R570</f>
        <v>4.13202581402083</v>
      </c>
      <c r="T570" s="6" t="n">
        <f aca="false">S570/128</f>
        <v>0.0322814516720378</v>
      </c>
    </row>
    <row r="571" customFormat="false" ht="15" hidden="false" customHeight="false" outlineLevel="0" collapsed="false">
      <c r="A571" s="1" t="s">
        <v>19</v>
      </c>
      <c r="B571" s="1" t="n">
        <v>45</v>
      </c>
      <c r="D571" s="1" t="n">
        <v>287050</v>
      </c>
      <c r="E571" s="1" t="n">
        <v>0.046032</v>
      </c>
      <c r="G571" s="1" t="n">
        <v>0.032822132</v>
      </c>
      <c r="H571" s="1" t="n">
        <v>0.017038345</v>
      </c>
      <c r="I571" s="1" t="n">
        <v>0.010499239</v>
      </c>
      <c r="J571" s="1" t="n">
        <v>0.009084463</v>
      </c>
      <c r="K571" s="1" t="n">
        <v>0.008993149</v>
      </c>
      <c r="L571" s="1" t="n">
        <v>0.008987665</v>
      </c>
      <c r="M571" s="1" t="n">
        <v>0.009054184</v>
      </c>
      <c r="N571" s="1" t="n">
        <v>0.009336472</v>
      </c>
      <c r="O571" s="1" t="n">
        <v>0.009446383</v>
      </c>
      <c r="P571" s="1" t="n">
        <v>0.009454727</v>
      </c>
      <c r="R571" s="1" t="n">
        <f aca="false">PERCENTILE(G571:P571,0.9)</f>
        <v>0.0186167237</v>
      </c>
      <c r="S571" s="5" t="n">
        <f aca="false">spmv_1!R$18/R571</f>
        <v>4.16500400658576</v>
      </c>
      <c r="T571" s="6" t="n">
        <f aca="false">S571/128</f>
        <v>0.0325390938014512</v>
      </c>
    </row>
    <row r="572" customFormat="false" ht="15" hidden="false" customHeight="false" outlineLevel="0" collapsed="false">
      <c r="A572" s="1" t="s">
        <v>19</v>
      </c>
      <c r="B572" s="1" t="n">
        <v>46</v>
      </c>
      <c r="D572" s="1" t="n">
        <v>287492</v>
      </c>
      <c r="E572" s="1" t="n">
        <v>0.046053</v>
      </c>
      <c r="G572" s="1" t="n">
        <v>0.032858372</v>
      </c>
      <c r="H572" s="1" t="n">
        <v>0.017110586</v>
      </c>
      <c r="I572" s="1" t="n">
        <v>0.010501385</v>
      </c>
      <c r="J572" s="1" t="n">
        <v>0.009076834</v>
      </c>
      <c r="K572" s="1" t="n">
        <v>0.009003162</v>
      </c>
      <c r="L572" s="1" t="n">
        <v>0.00899601</v>
      </c>
      <c r="M572" s="1" t="n">
        <v>0.009093523</v>
      </c>
      <c r="N572" s="1" t="n">
        <v>0.009340048</v>
      </c>
      <c r="O572" s="1" t="n">
        <v>0.009433746</v>
      </c>
      <c r="P572" s="1" t="n">
        <v>0.009438992</v>
      </c>
      <c r="R572" s="1" t="n">
        <f aca="false">PERCENTILE(G572:P572,0.9)</f>
        <v>0.0186853646</v>
      </c>
      <c r="S572" s="5" t="n">
        <f aca="false">spmv_1!R$18/R572</f>
        <v>4.14970381685782</v>
      </c>
      <c r="T572" s="6" t="n">
        <f aca="false">S572/128</f>
        <v>0.0324195610692017</v>
      </c>
    </row>
    <row r="573" customFormat="false" ht="15" hidden="false" customHeight="false" outlineLevel="0" collapsed="false">
      <c r="A573" s="1" t="s">
        <v>19</v>
      </c>
      <c r="B573" s="1" t="n">
        <v>47</v>
      </c>
      <c r="D573" s="1" t="n">
        <v>297993</v>
      </c>
      <c r="E573" s="1" t="n">
        <v>0.047897</v>
      </c>
      <c r="G573" s="1" t="n">
        <v>0.032788754</v>
      </c>
      <c r="H573" s="1" t="n">
        <v>0.01708293</v>
      </c>
      <c r="I573" s="1" t="n">
        <v>0.010374546</v>
      </c>
      <c r="J573" s="1" t="n">
        <v>0.00906086</v>
      </c>
      <c r="K573" s="1" t="n">
        <v>0.00899291</v>
      </c>
      <c r="L573" s="1" t="n">
        <v>0.008956671</v>
      </c>
      <c r="M573" s="1" t="n">
        <v>0.009037256</v>
      </c>
      <c r="N573" s="1" t="n">
        <v>0.009315968</v>
      </c>
      <c r="O573" s="1" t="n">
        <v>0.009375334</v>
      </c>
      <c r="P573" s="1" t="n">
        <v>0.009446383</v>
      </c>
      <c r="R573" s="1" t="n">
        <f aca="false">PERCENTILE(G573:P573,0.9)</f>
        <v>0.0186535124</v>
      </c>
      <c r="S573" s="5" t="n">
        <f aca="false">spmv_1!R$18/R573</f>
        <v>4.15678973146098</v>
      </c>
      <c r="T573" s="6" t="n">
        <f aca="false">S573/128</f>
        <v>0.0324749197770389</v>
      </c>
    </row>
    <row r="574" customFormat="false" ht="15" hidden="false" customHeight="false" outlineLevel="0" collapsed="false">
      <c r="A574" s="1" t="s">
        <v>19</v>
      </c>
      <c r="B574" s="1" t="n">
        <v>48</v>
      </c>
      <c r="D574" s="1" t="n">
        <v>290006</v>
      </c>
      <c r="E574" s="1" t="n">
        <v>0.046594</v>
      </c>
      <c r="G574" s="1" t="n">
        <v>0.032924414</v>
      </c>
      <c r="H574" s="1" t="n">
        <v>0.017096996</v>
      </c>
      <c r="I574" s="1" t="n">
        <v>0.010354042</v>
      </c>
      <c r="J574" s="1" t="n">
        <v>0.009054184</v>
      </c>
      <c r="K574" s="1" t="n">
        <v>0.008978128</v>
      </c>
      <c r="L574" s="1" t="n">
        <v>0.008958578</v>
      </c>
      <c r="M574" s="1" t="n">
        <v>0.009031057</v>
      </c>
      <c r="N574" s="1" t="n">
        <v>0.009305477</v>
      </c>
      <c r="O574" s="1" t="n">
        <v>0.009344101</v>
      </c>
      <c r="P574" s="1" t="n">
        <v>0.009434938</v>
      </c>
      <c r="R574" s="1" t="n">
        <f aca="false">PERCENTILE(G574:P574,0.9)</f>
        <v>0.0186797378</v>
      </c>
      <c r="S574" s="5" t="n">
        <f aca="false">spmv_1!R$18/R574</f>
        <v>4.15095381049728</v>
      </c>
      <c r="T574" s="6" t="n">
        <f aca="false">S574/128</f>
        <v>0.03242932664451</v>
      </c>
    </row>
    <row r="575" customFormat="false" ht="15" hidden="false" customHeight="false" outlineLevel="0" collapsed="false">
      <c r="A575" s="1" t="s">
        <v>19</v>
      </c>
      <c r="B575" s="1" t="n">
        <v>49</v>
      </c>
      <c r="D575" s="1" t="n">
        <v>286820</v>
      </c>
      <c r="E575" s="1" t="n">
        <v>0.045913</v>
      </c>
      <c r="G575" s="1" t="n">
        <v>0.033578396</v>
      </c>
      <c r="H575" s="1" t="n">
        <v>0.017064333</v>
      </c>
      <c r="I575" s="1" t="n">
        <v>0.010354519</v>
      </c>
      <c r="J575" s="1" t="n">
        <v>0.009013653</v>
      </c>
      <c r="K575" s="1" t="n">
        <v>0.008963108</v>
      </c>
      <c r="L575" s="1" t="n">
        <v>0.008936167</v>
      </c>
      <c r="M575" s="1" t="n">
        <v>0.008999825</v>
      </c>
      <c r="N575" s="1" t="n">
        <v>0.00929141</v>
      </c>
      <c r="O575" s="1" t="n">
        <v>0.009336948</v>
      </c>
      <c r="P575" s="1" t="n">
        <v>0.009403229</v>
      </c>
      <c r="R575" s="1" t="n">
        <f aca="false">PERCENTILE(G575:P575,0.9)</f>
        <v>0.0187157393</v>
      </c>
      <c r="S575" s="5" t="n">
        <f aca="false">spmv_1!R$18/R575</f>
        <v>4.14296905706525</v>
      </c>
      <c r="T575" s="6" t="n">
        <f aca="false">S575/128</f>
        <v>0.0323669457583223</v>
      </c>
    </row>
    <row r="576" customFormat="false" ht="15" hidden="false" customHeight="false" outlineLevel="0" collapsed="false">
      <c r="A576" s="1" t="s">
        <v>19</v>
      </c>
      <c r="B576" s="1" t="n">
        <v>50</v>
      </c>
      <c r="D576" s="1" t="n">
        <v>286763</v>
      </c>
      <c r="E576" s="1" t="n">
        <v>0.043942</v>
      </c>
      <c r="G576" s="1" t="n">
        <v>0.034710646</v>
      </c>
      <c r="H576" s="1" t="n">
        <v>0.017566681</v>
      </c>
      <c r="I576" s="1" t="n">
        <v>0.010666847</v>
      </c>
      <c r="J576" s="1" t="n">
        <v>0.00937748</v>
      </c>
      <c r="K576" s="1" t="n">
        <v>0.009311676</v>
      </c>
      <c r="L576" s="1" t="n">
        <v>0.009281635</v>
      </c>
      <c r="M576" s="1" t="n">
        <v>0.009419203</v>
      </c>
      <c r="N576" s="1" t="n">
        <v>0.009649038</v>
      </c>
      <c r="O576" s="1" t="n">
        <v>0.010386229</v>
      </c>
      <c r="P576" s="1" t="n">
        <v>0.010150909</v>
      </c>
      <c r="R576" s="1" t="n">
        <f aca="false">PERCENTILE(G576:P576,0.9)</f>
        <v>0.0192810775</v>
      </c>
      <c r="S576" s="5" t="n">
        <f aca="false">spmv_1!R$18/R576</f>
        <v>4.02149354982884</v>
      </c>
      <c r="T576" s="6" t="n">
        <f aca="false">S576/128</f>
        <v>0.0314179183580378</v>
      </c>
    </row>
    <row r="577" customFormat="false" ht="15" hidden="false" customHeight="false" outlineLevel="0" collapsed="false">
      <c r="A577" s="1" t="s">
        <v>19</v>
      </c>
      <c r="B577" s="1" t="n">
        <v>51</v>
      </c>
      <c r="D577" s="1" t="n">
        <v>297746</v>
      </c>
      <c r="E577" s="1" t="n">
        <v>0.045524</v>
      </c>
      <c r="G577" s="1" t="n">
        <v>0.03460288</v>
      </c>
      <c r="H577" s="1" t="n">
        <v>0.017657518</v>
      </c>
      <c r="I577" s="1" t="n">
        <v>0.010708332</v>
      </c>
      <c r="J577" s="1" t="n">
        <v>0.009407043</v>
      </c>
      <c r="K577" s="1" t="n">
        <v>0.009338379</v>
      </c>
      <c r="L577" s="1" t="n">
        <v>0.009310722</v>
      </c>
      <c r="M577" s="1" t="n">
        <v>0.009440184</v>
      </c>
      <c r="N577" s="1" t="n">
        <v>0.009669304</v>
      </c>
      <c r="O577" s="1" t="n">
        <v>0.010406971</v>
      </c>
      <c r="P577" s="1" t="n">
        <v>0.010267258</v>
      </c>
      <c r="R577" s="1" t="n">
        <f aca="false">PERCENTILE(G577:P577,0.9)</f>
        <v>0.0193520542</v>
      </c>
      <c r="S577" s="5" t="n">
        <f aca="false">spmv_1!R$18/R577</f>
        <v>4.00674409024754</v>
      </c>
      <c r="T577" s="6" t="n">
        <f aca="false">S577/128</f>
        <v>0.0313026882050589</v>
      </c>
    </row>
    <row r="578" customFormat="false" ht="15" hidden="false" customHeight="false" outlineLevel="0" collapsed="false">
      <c r="A578" s="1" t="s">
        <v>19</v>
      </c>
      <c r="B578" s="1" t="n">
        <v>52</v>
      </c>
      <c r="D578" s="1" t="n">
        <v>290093</v>
      </c>
      <c r="E578" s="1" t="n">
        <v>0.044747</v>
      </c>
      <c r="G578" s="1" t="n">
        <v>0.034215927</v>
      </c>
      <c r="H578" s="1" t="n">
        <v>0.017554283</v>
      </c>
      <c r="I578" s="1" t="n">
        <v>0.010664701</v>
      </c>
      <c r="J578" s="1" t="n">
        <v>0.009390831</v>
      </c>
      <c r="K578" s="1" t="n">
        <v>0.009301424</v>
      </c>
      <c r="L578" s="1" t="n">
        <v>0.009282351</v>
      </c>
      <c r="M578" s="1" t="n">
        <v>0.009419203</v>
      </c>
      <c r="N578" s="1" t="n">
        <v>0.009650946</v>
      </c>
      <c r="O578" s="1" t="n">
        <v>0.010381222</v>
      </c>
      <c r="P578" s="1" t="n">
        <v>0.009797096</v>
      </c>
      <c r="R578" s="1" t="n">
        <f aca="false">PERCENTILE(G578:P578,0.9)</f>
        <v>0.0192204474</v>
      </c>
      <c r="S578" s="5" t="n">
        <f aca="false">spmv_1!R$18/R578</f>
        <v>4.03417918357093</v>
      </c>
      <c r="T578" s="6" t="n">
        <f aca="false">S578/128</f>
        <v>0.0315170248716479</v>
      </c>
    </row>
    <row r="579" customFormat="false" ht="15" hidden="false" customHeight="false" outlineLevel="0" collapsed="false">
      <c r="A579" s="1" t="s">
        <v>19</v>
      </c>
      <c r="B579" s="1" t="n">
        <v>53</v>
      </c>
      <c r="D579" s="1" t="n">
        <v>287372</v>
      </c>
      <c r="E579" s="1" t="n">
        <v>0.044496</v>
      </c>
      <c r="G579" s="1" t="n">
        <v>0.034467459</v>
      </c>
      <c r="H579" s="1" t="n">
        <v>0.017561436</v>
      </c>
      <c r="I579" s="1" t="n">
        <v>0.010560036</v>
      </c>
      <c r="J579" s="1" t="n">
        <v>0.00928688</v>
      </c>
      <c r="K579" s="1" t="n">
        <v>0.009207249</v>
      </c>
      <c r="L579" s="1" t="n">
        <v>0.009197712</v>
      </c>
      <c r="M579" s="1" t="n">
        <v>0.009318829</v>
      </c>
      <c r="N579" s="1" t="n">
        <v>0.009572983</v>
      </c>
      <c r="O579" s="1" t="n">
        <v>0.010322571</v>
      </c>
      <c r="P579" s="1" t="n">
        <v>0.009673834</v>
      </c>
      <c r="R579" s="1" t="n">
        <f aca="false">PERCENTILE(G579:P579,0.9)</f>
        <v>0.0192520383</v>
      </c>
      <c r="S579" s="5" t="n">
        <f aca="false">spmv_1!R$18/R579</f>
        <v>4.02755945067905</v>
      </c>
      <c r="T579" s="6" t="n">
        <f aca="false">S579/128</f>
        <v>0.0314653082084301</v>
      </c>
    </row>
    <row r="580" customFormat="false" ht="15" hidden="false" customHeight="false" outlineLevel="0" collapsed="false">
      <c r="A580" s="1" t="s">
        <v>19</v>
      </c>
      <c r="B580" s="1" t="n">
        <v>54</v>
      </c>
      <c r="D580" s="1" t="n">
        <v>285785</v>
      </c>
      <c r="E580" s="1" t="n">
        <v>0.044065</v>
      </c>
      <c r="G580" s="1" t="n">
        <v>0.034665108</v>
      </c>
      <c r="H580" s="1" t="n">
        <v>0.017585993</v>
      </c>
      <c r="I580" s="1" t="n">
        <v>0.010605574</v>
      </c>
      <c r="J580" s="1" t="n">
        <v>0.009329796</v>
      </c>
      <c r="K580" s="1" t="n">
        <v>0.009245634</v>
      </c>
      <c r="L580" s="1" t="n">
        <v>0.009236574</v>
      </c>
      <c r="M580" s="1" t="n">
        <v>0.009363651</v>
      </c>
      <c r="N580" s="1" t="n">
        <v>0.009601116</v>
      </c>
      <c r="O580" s="1" t="n">
        <v>0.010359526</v>
      </c>
      <c r="P580" s="1" t="n">
        <v>0.009717464</v>
      </c>
      <c r="R580" s="1" t="n">
        <f aca="false">PERCENTILE(G580:P580,0.9)</f>
        <v>0.0192939045</v>
      </c>
      <c r="S580" s="5" t="n">
        <f aca="false">spmv_1!R$18/R580</f>
        <v>4.01881997498226</v>
      </c>
      <c r="T580" s="6" t="n">
        <f aca="false">S580/128</f>
        <v>0.0313970310545489</v>
      </c>
    </row>
    <row r="581" customFormat="false" ht="15" hidden="false" customHeight="false" outlineLevel="0" collapsed="false">
      <c r="A581" s="1" t="s">
        <v>19</v>
      </c>
      <c r="B581" s="1" t="n">
        <v>55</v>
      </c>
      <c r="D581" s="1" t="n">
        <v>297135</v>
      </c>
      <c r="E581" s="1" t="n">
        <v>0.045728</v>
      </c>
      <c r="G581" s="1" t="n">
        <v>0.034682512</v>
      </c>
      <c r="H581" s="1" t="n">
        <v>0.017599583</v>
      </c>
      <c r="I581" s="1" t="n">
        <v>0.010597467</v>
      </c>
      <c r="J581" s="1" t="n">
        <v>0.00931859</v>
      </c>
      <c r="K581" s="1" t="n">
        <v>0.009242296</v>
      </c>
      <c r="L581" s="1" t="n">
        <v>0.009222031</v>
      </c>
      <c r="M581" s="1" t="n">
        <v>0.009364843</v>
      </c>
      <c r="N581" s="1" t="n">
        <v>0.009594679</v>
      </c>
      <c r="O581" s="1" t="n">
        <v>0.010365963</v>
      </c>
      <c r="P581" s="1" t="n">
        <v>0.009968281</v>
      </c>
      <c r="R581" s="1" t="n">
        <f aca="false">PERCENTILE(G581:P581,0.9)</f>
        <v>0.0193078759</v>
      </c>
      <c r="S581" s="5" t="n">
        <f aca="false">spmv_1!R$18/R581</f>
        <v>4.01591191084878</v>
      </c>
      <c r="T581" s="6" t="n">
        <f aca="false">S581/128</f>
        <v>0.0313743118035061</v>
      </c>
    </row>
    <row r="582" customFormat="false" ht="15" hidden="false" customHeight="false" outlineLevel="0" collapsed="false">
      <c r="A582" s="1" t="s">
        <v>19</v>
      </c>
      <c r="B582" s="1" t="n">
        <v>56</v>
      </c>
      <c r="D582" s="1" t="n">
        <v>289764</v>
      </c>
      <c r="E582" s="1" t="n">
        <v>0.048336</v>
      </c>
      <c r="G582" s="1" t="n">
        <v>0.033797503</v>
      </c>
      <c r="H582" s="1" t="n">
        <v>0.016849518</v>
      </c>
      <c r="I582" s="1" t="n">
        <v>0.009669542</v>
      </c>
      <c r="J582" s="1" t="n">
        <v>0.008352757</v>
      </c>
      <c r="K582" s="1" t="n">
        <v>0.008288622</v>
      </c>
      <c r="L582" s="1" t="n">
        <v>0.008299589</v>
      </c>
      <c r="M582" s="1" t="n">
        <v>0.008357048</v>
      </c>
      <c r="N582" s="1" t="n">
        <v>0.008657694</v>
      </c>
      <c r="O582" s="1" t="n">
        <v>0.008825302</v>
      </c>
      <c r="P582" s="1" t="n">
        <v>0.008797169</v>
      </c>
      <c r="R582" s="1" t="n">
        <f aca="false">PERCENTILE(G582:P582,0.9)</f>
        <v>0.0185443165</v>
      </c>
      <c r="S582" s="5" t="n">
        <f aca="false">spmv_1!R$18/R582</f>
        <v>4.18126647051133</v>
      </c>
      <c r="T582" s="6" t="n">
        <f aca="false">S582/128</f>
        <v>0.0326661443008698</v>
      </c>
    </row>
    <row r="583" customFormat="false" ht="15" hidden="false" customHeight="false" outlineLevel="0" collapsed="false">
      <c r="A583" s="1" t="s">
        <v>19</v>
      </c>
      <c r="B583" s="1" t="n">
        <v>57</v>
      </c>
      <c r="D583" s="1" t="n">
        <v>287184</v>
      </c>
      <c r="E583" s="1" t="n">
        <v>0.044392</v>
      </c>
      <c r="G583" s="1" t="n">
        <v>0.034822464</v>
      </c>
      <c r="H583" s="1" t="n">
        <v>0.01762104</v>
      </c>
      <c r="I583" s="1" t="n">
        <v>0.010497093</v>
      </c>
      <c r="J583" s="1" t="n">
        <v>0.009199858</v>
      </c>
      <c r="K583" s="1" t="n">
        <v>0.009189129</v>
      </c>
      <c r="L583" s="1" t="n">
        <v>0.009200096</v>
      </c>
      <c r="M583" s="1" t="n">
        <v>0.00929904</v>
      </c>
      <c r="N583" s="1" t="n">
        <v>0.009550095</v>
      </c>
      <c r="O583" s="1" t="n">
        <v>0.010338068</v>
      </c>
      <c r="P583" s="1" t="n">
        <v>0.009668112</v>
      </c>
      <c r="R583" s="1" t="n">
        <f aca="false">PERCENTILE(G583:P583,0.9)</f>
        <v>0.0193411824</v>
      </c>
      <c r="S583" s="5" t="n">
        <f aca="false">spmv_1!R$18/R583</f>
        <v>4.00899630624444</v>
      </c>
      <c r="T583" s="6" t="n">
        <f aca="false">S583/128</f>
        <v>0.0313202836425347</v>
      </c>
    </row>
    <row r="584" customFormat="false" ht="15" hidden="false" customHeight="false" outlineLevel="0" collapsed="false">
      <c r="A584" s="1" t="s">
        <v>19</v>
      </c>
      <c r="B584" s="1" t="n">
        <v>58</v>
      </c>
      <c r="D584" s="1" t="n">
        <v>285351</v>
      </c>
      <c r="E584" s="1" t="n">
        <v>0.047212</v>
      </c>
      <c r="G584" s="1" t="n">
        <v>0.033941507</v>
      </c>
      <c r="H584" s="1" t="n">
        <v>0.016989946</v>
      </c>
      <c r="I584" s="1" t="n">
        <v>0.009775877</v>
      </c>
      <c r="J584" s="1" t="n">
        <v>0.00846529</v>
      </c>
      <c r="K584" s="1" t="n">
        <v>0.00839901</v>
      </c>
      <c r="L584" s="1" t="n">
        <v>0.008406878</v>
      </c>
      <c r="M584" s="1" t="n">
        <v>0.008450508</v>
      </c>
      <c r="N584" s="1" t="n">
        <v>0.008733034</v>
      </c>
      <c r="O584" s="1" t="n">
        <v>0.008877039</v>
      </c>
      <c r="P584" s="1" t="n">
        <v>0.008841515</v>
      </c>
      <c r="R584" s="1" t="n">
        <f aca="false">PERCENTILE(G584:P584,0.9)</f>
        <v>0.0186851021</v>
      </c>
      <c r="S584" s="5" t="n">
        <f aca="false">spmv_1!R$18/R584</f>
        <v>4.14976211449227</v>
      </c>
      <c r="T584" s="6" t="n">
        <f aca="false">S584/128</f>
        <v>0.0324200165194709</v>
      </c>
    </row>
    <row r="585" customFormat="false" ht="15" hidden="false" customHeight="false" outlineLevel="0" collapsed="false">
      <c r="A585" s="1" t="s">
        <v>19</v>
      </c>
      <c r="B585" s="1" t="n">
        <v>59</v>
      </c>
      <c r="D585" s="1" t="n">
        <v>296957</v>
      </c>
      <c r="E585" s="1" t="n">
        <v>0.045928</v>
      </c>
      <c r="G585" s="1" t="n">
        <v>0.034871578</v>
      </c>
      <c r="H585" s="1" t="n">
        <v>0.017641783</v>
      </c>
      <c r="I585" s="1" t="n">
        <v>0.010481834</v>
      </c>
      <c r="J585" s="1" t="n">
        <v>0.009195805</v>
      </c>
      <c r="K585" s="1" t="n">
        <v>0.009198427</v>
      </c>
      <c r="L585" s="1" t="n">
        <v>0.009185076</v>
      </c>
      <c r="M585" s="1" t="n">
        <v>0.009297848</v>
      </c>
      <c r="N585" s="1" t="n">
        <v>0.009508133</v>
      </c>
      <c r="O585" s="1" t="n">
        <v>0.01032114</v>
      </c>
      <c r="P585" s="1" t="n">
        <v>0.009613037</v>
      </c>
      <c r="R585" s="1" t="n">
        <f aca="false">PERCENTILE(G585:P585,0.9)</f>
        <v>0.0193647625</v>
      </c>
      <c r="S585" s="5" t="n">
        <f aca="false">spmv_1!R$18/R585</f>
        <v>4.00411462831006</v>
      </c>
      <c r="T585" s="6" t="n">
        <f aca="false">S585/128</f>
        <v>0.0312821455336723</v>
      </c>
    </row>
    <row r="586" customFormat="false" ht="15" hidden="false" customHeight="false" outlineLevel="0" collapsed="false">
      <c r="A586" s="1" t="s">
        <v>19</v>
      </c>
      <c r="B586" s="1" t="n">
        <v>60</v>
      </c>
      <c r="D586" s="1" t="n">
        <v>290185</v>
      </c>
      <c r="E586" s="1" t="n">
        <v>0.044891</v>
      </c>
      <c r="G586" s="1" t="n">
        <v>0.03495121</v>
      </c>
      <c r="H586" s="1" t="n">
        <v>0.017606258</v>
      </c>
      <c r="I586" s="1" t="n">
        <v>0.010468245</v>
      </c>
      <c r="J586" s="1" t="n">
        <v>0.009180069</v>
      </c>
      <c r="K586" s="1" t="n">
        <v>0.009165049</v>
      </c>
      <c r="L586" s="1" t="n">
        <v>0.009188414</v>
      </c>
      <c r="M586" s="1" t="n">
        <v>0.00926733</v>
      </c>
      <c r="N586" s="1" t="n">
        <v>0.009492159</v>
      </c>
      <c r="O586" s="1" t="n">
        <v>0.010323286</v>
      </c>
      <c r="P586" s="1" t="n">
        <v>0.009642601</v>
      </c>
      <c r="R586" s="1" t="n">
        <f aca="false">PERCENTILE(G586:P586,0.9)</f>
        <v>0.0193407532</v>
      </c>
      <c r="S586" s="5" t="n">
        <f aca="false">spmv_1!R$18/R586</f>
        <v>4.00908527181868</v>
      </c>
      <c r="T586" s="6" t="n">
        <f aca="false">S586/128</f>
        <v>0.0313209786860834</v>
      </c>
    </row>
    <row r="587" customFormat="false" ht="15" hidden="false" customHeight="false" outlineLevel="0" collapsed="false">
      <c r="A587" s="1" t="s">
        <v>19</v>
      </c>
      <c r="B587" s="1" t="n">
        <v>61</v>
      </c>
      <c r="D587" s="1" t="n">
        <v>287872</v>
      </c>
      <c r="E587" s="1" t="n">
        <v>0.044623</v>
      </c>
      <c r="G587" s="1" t="n">
        <v>0.034899235</v>
      </c>
      <c r="H587" s="1" t="n">
        <v>0.017589808</v>
      </c>
      <c r="I587" s="1" t="n">
        <v>0.010424614</v>
      </c>
      <c r="J587" s="1" t="n">
        <v>0.009161949</v>
      </c>
      <c r="K587" s="1" t="n">
        <v>0.009162426</v>
      </c>
      <c r="L587" s="1" t="n">
        <v>0.009144783</v>
      </c>
      <c r="M587" s="1" t="n">
        <v>0.009257555</v>
      </c>
      <c r="N587" s="1" t="n">
        <v>0.009473801</v>
      </c>
      <c r="O587" s="1" t="n">
        <v>0.010318279</v>
      </c>
      <c r="P587" s="1" t="n">
        <v>0.009590864</v>
      </c>
      <c r="R587" s="1" t="n">
        <f aca="false">PERCENTILE(G587:P587,0.9)</f>
        <v>0.0193207507</v>
      </c>
      <c r="S587" s="5" t="n">
        <f aca="false">spmv_1!R$18/R587</f>
        <v>4.01323582111124</v>
      </c>
      <c r="T587" s="6" t="n">
        <f aca="false">S587/128</f>
        <v>0.0313534048524315</v>
      </c>
    </row>
    <row r="588" customFormat="false" ht="15" hidden="false" customHeight="false" outlineLevel="0" collapsed="false">
      <c r="A588" s="1" t="s">
        <v>19</v>
      </c>
      <c r="B588" s="1" t="n">
        <v>62</v>
      </c>
      <c r="D588" s="1" t="n">
        <v>286345</v>
      </c>
      <c r="E588" s="1" t="n">
        <v>0.047833</v>
      </c>
      <c r="G588" s="1" t="n">
        <v>0.033888817</v>
      </c>
      <c r="H588" s="1" t="n">
        <v>0.016945362</v>
      </c>
      <c r="I588" s="1" t="n">
        <v>0.009537935</v>
      </c>
      <c r="J588" s="1" t="n">
        <v>0.008322716</v>
      </c>
      <c r="K588" s="1" t="n">
        <v>0.008316517</v>
      </c>
      <c r="L588" s="1" t="n">
        <v>0.008275032</v>
      </c>
      <c r="M588" s="1" t="n">
        <v>0.008337975</v>
      </c>
      <c r="N588" s="1" t="n">
        <v>0.00860405</v>
      </c>
      <c r="O588" s="1" t="n">
        <v>0.008781195</v>
      </c>
      <c r="P588" s="1" t="n">
        <v>0.008717775</v>
      </c>
      <c r="R588" s="1" t="n">
        <f aca="false">PERCENTILE(G588:P588,0.9)</f>
        <v>0.0186397075</v>
      </c>
      <c r="S588" s="5" t="n">
        <f aca="false">spmv_1!R$18/R588</f>
        <v>4.15986832411399</v>
      </c>
      <c r="T588" s="6" t="n">
        <f aca="false">S588/128</f>
        <v>0.0324989712821406</v>
      </c>
    </row>
    <row r="589" customFormat="false" ht="15" hidden="false" customHeight="false" outlineLevel="0" collapsed="false">
      <c r="A589" s="1" t="s">
        <v>19</v>
      </c>
      <c r="B589" s="1" t="n">
        <v>63</v>
      </c>
      <c r="D589" s="1" t="n">
        <v>297652</v>
      </c>
      <c r="E589" s="1" t="n">
        <v>0.04981</v>
      </c>
      <c r="G589" s="1" t="n">
        <v>0.033918381</v>
      </c>
      <c r="H589" s="1" t="n">
        <v>0.016916275</v>
      </c>
      <c r="I589" s="1" t="n">
        <v>0.009530306</v>
      </c>
      <c r="J589" s="1" t="n">
        <v>0.008300066</v>
      </c>
      <c r="K589" s="1" t="n">
        <v>0.0082829</v>
      </c>
      <c r="L589" s="1" t="n">
        <v>0.008240223</v>
      </c>
      <c r="M589" s="1" t="n">
        <v>0.008305311</v>
      </c>
      <c r="N589" s="1" t="n">
        <v>0.008580923</v>
      </c>
      <c r="O589" s="1" t="n">
        <v>0.008749008</v>
      </c>
      <c r="P589" s="1" t="n">
        <v>0.008691549</v>
      </c>
      <c r="R589" s="1" t="n">
        <f aca="false">PERCENTILE(G589:P589,0.9)</f>
        <v>0.0186164856</v>
      </c>
      <c r="S589" s="5" t="n">
        <f aca="false">spmv_1!R$18/R589</f>
        <v>4.16505727590174</v>
      </c>
      <c r="T589" s="6" t="n">
        <f aca="false">S589/128</f>
        <v>0.0325395099679824</v>
      </c>
    </row>
    <row r="590" customFormat="false" ht="15" hidden="false" customHeight="false" outlineLevel="0" collapsed="false">
      <c r="A590" s="1" t="s">
        <v>19</v>
      </c>
      <c r="B590" s="1" t="n">
        <v>64</v>
      </c>
      <c r="D590" s="1" t="n">
        <v>291183</v>
      </c>
      <c r="E590" s="1" t="n">
        <v>0.045412</v>
      </c>
      <c r="G590" s="1" t="n">
        <v>0.034753799</v>
      </c>
      <c r="H590" s="1" t="n">
        <v>0.017612457</v>
      </c>
      <c r="I590" s="1" t="n">
        <v>0.010267019</v>
      </c>
      <c r="J590" s="1" t="n">
        <v>0.009050131</v>
      </c>
      <c r="K590" s="1" t="n">
        <v>0.009086609</v>
      </c>
      <c r="L590" s="1" t="n">
        <v>0.00904274</v>
      </c>
      <c r="M590" s="1" t="n">
        <v>0.009188175</v>
      </c>
      <c r="N590" s="1" t="n">
        <v>0.009407997</v>
      </c>
      <c r="O590" s="1" t="n">
        <v>0.010276318</v>
      </c>
      <c r="P590" s="1" t="n">
        <v>0.009556055</v>
      </c>
      <c r="R590" s="1" t="n">
        <f aca="false">PERCENTILE(G590:P590,0.9)</f>
        <v>0.0193265912</v>
      </c>
      <c r="S590" s="5" t="n">
        <f aca="false">spmv_1!R$18/R590</f>
        <v>4.01202302038654</v>
      </c>
      <c r="T590" s="6" t="n">
        <f aca="false">S590/128</f>
        <v>0.0313439298467699</v>
      </c>
    </row>
    <row r="591" customFormat="false" ht="15" hidden="false" customHeight="false" outlineLevel="0" collapsed="false">
      <c r="A591" s="1" t="s">
        <v>19</v>
      </c>
      <c r="B591" s="1" t="n">
        <v>65</v>
      </c>
      <c r="D591" s="1" t="n">
        <v>288674</v>
      </c>
      <c r="E591" s="1" t="n">
        <v>0.048615</v>
      </c>
      <c r="G591" s="1" t="n">
        <v>0.033652067</v>
      </c>
      <c r="H591" s="1" t="n">
        <v>0.016877651</v>
      </c>
      <c r="I591" s="1" t="n">
        <v>0.009432316</v>
      </c>
      <c r="J591" s="1" t="n">
        <v>0.008227348</v>
      </c>
      <c r="K591" s="1" t="n">
        <v>0.008203745</v>
      </c>
      <c r="L591" s="1" t="n">
        <v>0.008219957</v>
      </c>
      <c r="M591" s="1" t="n">
        <v>0.008255482</v>
      </c>
      <c r="N591" s="1" t="n">
        <v>0.008542776</v>
      </c>
      <c r="O591" s="1" t="n">
        <v>0.008706093</v>
      </c>
      <c r="P591" s="1" t="n">
        <v>0.008641481</v>
      </c>
      <c r="R591" s="1" t="n">
        <f aca="false">PERCENTILE(G591:P591,0.9)</f>
        <v>0.0185550926</v>
      </c>
      <c r="S591" s="5" t="n">
        <f aca="false">spmv_1!R$18/R591</f>
        <v>4.1788381481858</v>
      </c>
      <c r="T591" s="6" t="n">
        <f aca="false">S591/128</f>
        <v>0.0326471730327016</v>
      </c>
    </row>
    <row r="592" customFormat="false" ht="15" hidden="false" customHeight="false" outlineLevel="0" collapsed="false">
      <c r="A592" s="1" t="s">
        <v>19</v>
      </c>
      <c r="B592" s="1" t="n">
        <v>66</v>
      </c>
      <c r="D592" s="1" t="n">
        <v>286179</v>
      </c>
      <c r="E592" s="1" t="n">
        <v>0.047405</v>
      </c>
      <c r="G592" s="1" t="n">
        <v>0.033667326</v>
      </c>
      <c r="H592" s="1" t="n">
        <v>0.017062902</v>
      </c>
      <c r="I592" s="1" t="n">
        <v>0.009450197</v>
      </c>
      <c r="J592" s="1" t="n">
        <v>0.008405447</v>
      </c>
      <c r="K592" s="1" t="n">
        <v>0.008445501</v>
      </c>
      <c r="L592" s="1" t="n">
        <v>0.008507729</v>
      </c>
      <c r="M592" s="1" t="n">
        <v>0.008519888</v>
      </c>
      <c r="N592" s="1" t="n">
        <v>0.008828402</v>
      </c>
      <c r="O592" s="1" t="n">
        <v>0.008915663</v>
      </c>
      <c r="P592" s="1" t="n">
        <v>0.008933783</v>
      </c>
      <c r="R592" s="1" t="n">
        <f aca="false">PERCENTILE(G592:P592,0.9)</f>
        <v>0.0187233444</v>
      </c>
      <c r="S592" s="5" t="n">
        <f aca="false">spmv_1!R$18/R592</f>
        <v>4.14128625439374</v>
      </c>
      <c r="T592" s="6" t="n">
        <f aca="false">S592/128</f>
        <v>0.0323537988624511</v>
      </c>
    </row>
    <row r="593" customFormat="false" ht="15" hidden="false" customHeight="false" outlineLevel="0" collapsed="false">
      <c r="A593" s="1" t="s">
        <v>19</v>
      </c>
      <c r="B593" s="1" t="n">
        <v>67</v>
      </c>
      <c r="D593" s="1" t="n">
        <v>297555</v>
      </c>
      <c r="E593" s="1" t="n">
        <v>0.050303</v>
      </c>
      <c r="G593" s="1" t="n">
        <v>0.033467293</v>
      </c>
      <c r="H593" s="1" t="n">
        <v>0.016790628</v>
      </c>
      <c r="I593" s="1" t="n">
        <v>0.009395838</v>
      </c>
      <c r="J593" s="1" t="n">
        <v>0.008194208</v>
      </c>
      <c r="K593" s="1" t="n">
        <v>0.008167267</v>
      </c>
      <c r="L593" s="1" t="n">
        <v>0.008192778</v>
      </c>
      <c r="M593" s="1" t="n">
        <v>0.008211851</v>
      </c>
      <c r="N593" s="1" t="n">
        <v>0.008524179</v>
      </c>
      <c r="O593" s="1" t="n">
        <v>0.008702278</v>
      </c>
      <c r="P593" s="1" t="n">
        <v>0.00865984</v>
      </c>
      <c r="R593" s="1" t="n">
        <f aca="false">PERCENTILE(G593:P593,0.9)</f>
        <v>0.0184582945</v>
      </c>
      <c r="S593" s="5" t="n">
        <f aca="false">spmv_1!R$18/R593</f>
        <v>4.20075261016125</v>
      </c>
      <c r="T593" s="6" t="n">
        <f aca="false">S593/128</f>
        <v>0.0328183797668848</v>
      </c>
    </row>
    <row r="594" customFormat="false" ht="15" hidden="false" customHeight="false" outlineLevel="0" collapsed="false">
      <c r="A594" s="1" t="s">
        <v>19</v>
      </c>
      <c r="B594" s="1" t="n">
        <v>68</v>
      </c>
      <c r="D594" s="1" t="n">
        <v>291055</v>
      </c>
      <c r="E594" s="1" t="n">
        <v>0.049427</v>
      </c>
      <c r="G594" s="1" t="n">
        <v>0.033917904</v>
      </c>
      <c r="H594" s="1" t="n">
        <v>0.016689062</v>
      </c>
      <c r="I594" s="1" t="n">
        <v>0.00923562</v>
      </c>
      <c r="J594" s="1" t="n">
        <v>0.00806284</v>
      </c>
      <c r="K594" s="1" t="n">
        <v>0.008051157</v>
      </c>
      <c r="L594" s="1" t="n">
        <v>0.008077145</v>
      </c>
      <c r="M594" s="1" t="n">
        <v>0.008112907</v>
      </c>
      <c r="N594" s="1" t="n">
        <v>0.008446693</v>
      </c>
      <c r="O594" s="1" t="n">
        <v>0.008602142</v>
      </c>
      <c r="P594" s="1" t="n">
        <v>0.008575678</v>
      </c>
      <c r="R594" s="1" t="n">
        <f aca="false">PERCENTILE(G594:P594,0.9)</f>
        <v>0.0184119462</v>
      </c>
      <c r="S594" s="5" t="n">
        <f aca="false">spmv_1!R$18/R594</f>
        <v>4.21132714367806</v>
      </c>
      <c r="T594" s="6" t="n">
        <f aca="false">S594/128</f>
        <v>0.0329009933099848</v>
      </c>
    </row>
    <row r="595" customFormat="false" ht="15" hidden="false" customHeight="false" outlineLevel="0" collapsed="false">
      <c r="A595" s="1" t="s">
        <v>19</v>
      </c>
      <c r="B595" s="1" t="n">
        <v>69</v>
      </c>
      <c r="D595" s="1" t="n">
        <v>287930</v>
      </c>
      <c r="E595" s="1" t="n">
        <v>0.04553</v>
      </c>
      <c r="G595" s="1" t="n">
        <v>0.034852266</v>
      </c>
      <c r="H595" s="1" t="n">
        <v>0.017439127</v>
      </c>
      <c r="I595" s="1" t="n">
        <v>0.009895563</v>
      </c>
      <c r="J595" s="1" t="n">
        <v>0.008747578</v>
      </c>
      <c r="K595" s="1" t="n">
        <v>0.008900166</v>
      </c>
      <c r="L595" s="1" t="n">
        <v>0.008918047</v>
      </c>
      <c r="M595" s="1" t="n">
        <v>0.008964062</v>
      </c>
      <c r="N595" s="1" t="n">
        <v>0.009270191</v>
      </c>
      <c r="O595" s="1" t="n">
        <v>0.010117769</v>
      </c>
      <c r="P595" s="1" t="n">
        <v>0.009373188</v>
      </c>
      <c r="R595" s="1" t="n">
        <f aca="false">PERCENTILE(G595:P595,0.9)</f>
        <v>0.0191804409</v>
      </c>
      <c r="S595" s="5" t="n">
        <f aca="false">spmv_1!R$18/R595</f>
        <v>4.04259366112903</v>
      </c>
      <c r="T595" s="6" t="n">
        <f aca="false">S595/128</f>
        <v>0.0315827629775706</v>
      </c>
    </row>
    <row r="596" customFormat="false" ht="15" hidden="false" customHeight="false" outlineLevel="0" collapsed="false">
      <c r="A596" s="1" t="s">
        <v>19</v>
      </c>
      <c r="B596" s="1" t="n">
        <v>70</v>
      </c>
      <c r="D596" s="1" t="n">
        <v>284628</v>
      </c>
      <c r="E596" s="1" t="n">
        <v>0.047992</v>
      </c>
      <c r="G596" s="1" t="n">
        <v>0.033920765</v>
      </c>
      <c r="H596" s="1" t="n">
        <v>0.016765594</v>
      </c>
      <c r="I596" s="1" t="n">
        <v>0.009318829</v>
      </c>
      <c r="J596" s="1" t="n">
        <v>0.008168221</v>
      </c>
      <c r="K596" s="1" t="n">
        <v>0.008201599</v>
      </c>
      <c r="L596" s="1" t="n">
        <v>0.008199453</v>
      </c>
      <c r="M596" s="1" t="n">
        <v>0.008223534</v>
      </c>
      <c r="N596" s="1" t="n">
        <v>0.008533239</v>
      </c>
      <c r="O596" s="1" t="n">
        <v>0.008647919</v>
      </c>
      <c r="P596" s="1" t="n">
        <v>0.008636713</v>
      </c>
      <c r="R596" s="1" t="n">
        <f aca="false">PERCENTILE(G596:P596,0.9)</f>
        <v>0.0184811111</v>
      </c>
      <c r="S596" s="5" t="n">
        <f aca="false">spmv_1!R$18/R596</f>
        <v>4.19556640184908</v>
      </c>
      <c r="T596" s="6" t="n">
        <f aca="false">S596/128</f>
        <v>0.0327778625144459</v>
      </c>
    </row>
    <row r="597" customFormat="false" ht="15" hidden="false" customHeight="false" outlineLevel="0" collapsed="false">
      <c r="A597" s="1" t="s">
        <v>19</v>
      </c>
      <c r="B597" s="1" t="n">
        <v>71</v>
      </c>
      <c r="D597" s="1" t="n">
        <v>296393</v>
      </c>
      <c r="E597" s="1" t="n">
        <v>0.050549</v>
      </c>
      <c r="G597" s="1" t="n">
        <v>0.03385067</v>
      </c>
      <c r="H597" s="1" t="n">
        <v>0.016696215</v>
      </c>
      <c r="I597" s="1" t="n">
        <v>0.009103775</v>
      </c>
      <c r="J597" s="1" t="n">
        <v>0.008034468</v>
      </c>
      <c r="K597" s="1" t="n">
        <v>0.00804162</v>
      </c>
      <c r="L597" s="1" t="n">
        <v>0.008051157</v>
      </c>
      <c r="M597" s="1" t="n">
        <v>0.008086443</v>
      </c>
      <c r="N597" s="1" t="n">
        <v>0.008379459</v>
      </c>
      <c r="O597" s="1" t="n">
        <v>0.008538485</v>
      </c>
      <c r="P597" s="1" t="n">
        <v>0.008486748</v>
      </c>
      <c r="R597" s="1" t="n">
        <f aca="false">PERCENTILE(G597:P597,0.9)</f>
        <v>0.0184116605</v>
      </c>
      <c r="S597" s="5" t="n">
        <f aca="false">spmv_1!R$18/R597</f>
        <v>4.21139249227412</v>
      </c>
      <c r="T597" s="6" t="n">
        <f aca="false">S597/128</f>
        <v>0.0329015038458916</v>
      </c>
    </row>
    <row r="598" customFormat="false" ht="15" hidden="false" customHeight="false" outlineLevel="0" collapsed="false">
      <c r="A598" s="1" t="s">
        <v>19</v>
      </c>
      <c r="B598" s="1" t="n">
        <v>72</v>
      </c>
      <c r="D598" s="1" t="n">
        <v>290178</v>
      </c>
      <c r="E598" s="1" t="n">
        <v>0.04989</v>
      </c>
      <c r="G598" s="1" t="n">
        <v>0.033280373</v>
      </c>
      <c r="H598" s="1" t="n">
        <v>0.0166049</v>
      </c>
      <c r="I598" s="1" t="n">
        <v>0.009053946</v>
      </c>
      <c r="J598" s="1" t="n">
        <v>0.008013487</v>
      </c>
      <c r="K598" s="1" t="n">
        <v>0.00797224</v>
      </c>
      <c r="L598" s="1" t="n">
        <v>0.007999659</v>
      </c>
      <c r="M598" s="1" t="n">
        <v>0.008054733</v>
      </c>
      <c r="N598" s="1" t="n">
        <v>0.008364677</v>
      </c>
      <c r="O598" s="1" t="n">
        <v>0.008501291</v>
      </c>
      <c r="P598" s="1" t="n">
        <v>0.008482933</v>
      </c>
      <c r="R598" s="1" t="n">
        <f aca="false">PERCENTILE(G598:P598,0.9)</f>
        <v>0.0182724473</v>
      </c>
      <c r="S598" s="5" t="n">
        <f aca="false">spmv_1!R$18/R598</f>
        <v>4.2434780370115</v>
      </c>
      <c r="T598" s="6" t="n">
        <f aca="false">S598/128</f>
        <v>0.0331521721641523</v>
      </c>
    </row>
    <row r="599" customFormat="false" ht="15" hidden="false" customHeight="false" outlineLevel="0" collapsed="false">
      <c r="A599" s="1" t="s">
        <v>19</v>
      </c>
      <c r="B599" s="1" t="n">
        <v>73</v>
      </c>
      <c r="D599" s="1" t="n">
        <v>287618</v>
      </c>
      <c r="E599" s="1" t="n">
        <v>0.048932</v>
      </c>
      <c r="G599" s="1" t="n">
        <v>0.033861876</v>
      </c>
      <c r="H599" s="1" t="n">
        <v>0.016746044</v>
      </c>
      <c r="I599" s="1" t="n">
        <v>0.009140968</v>
      </c>
      <c r="J599" s="1" t="n">
        <v>0.00805974</v>
      </c>
      <c r="K599" s="1" t="n">
        <v>0.008067131</v>
      </c>
      <c r="L599" s="1" t="n">
        <v>0.008094788</v>
      </c>
      <c r="M599" s="1" t="n">
        <v>0.008123875</v>
      </c>
      <c r="N599" s="1" t="n">
        <v>0.008424997</v>
      </c>
      <c r="O599" s="1" t="n">
        <v>0.008517265</v>
      </c>
      <c r="P599" s="1" t="n">
        <v>0.008522272</v>
      </c>
      <c r="R599" s="1" t="n">
        <f aca="false">PERCENTILE(G599:P599,0.9)</f>
        <v>0.0184576272</v>
      </c>
      <c r="S599" s="5" t="n">
        <f aca="false">spmv_1!R$18/R599</f>
        <v>4.20090448028986</v>
      </c>
      <c r="T599" s="6" t="n">
        <f aca="false">S599/128</f>
        <v>0.0328195662522645</v>
      </c>
    </row>
    <row r="600" customFormat="false" ht="15" hidden="false" customHeight="false" outlineLevel="0" collapsed="false">
      <c r="A600" s="1" t="s">
        <v>19</v>
      </c>
      <c r="B600" s="1" t="n">
        <v>74</v>
      </c>
      <c r="D600" s="1" t="n">
        <v>284914</v>
      </c>
      <c r="E600" s="1" t="n">
        <v>0.046345</v>
      </c>
      <c r="G600" s="1" t="n">
        <v>0.03482604</v>
      </c>
      <c r="H600" s="1" t="n">
        <v>0.01733017</v>
      </c>
      <c r="I600" s="1" t="n">
        <v>0.009126425</v>
      </c>
      <c r="J600" s="1" t="n">
        <v>0.008184671</v>
      </c>
      <c r="K600" s="1" t="n">
        <v>0.00854969</v>
      </c>
      <c r="L600" s="1" t="n">
        <v>0.008539915</v>
      </c>
      <c r="M600" s="1" t="n">
        <v>0.008635283</v>
      </c>
      <c r="N600" s="1" t="n">
        <v>0.008871794</v>
      </c>
      <c r="O600" s="1" t="n">
        <v>0.009874105</v>
      </c>
      <c r="P600" s="1" t="n">
        <v>0.009015083</v>
      </c>
      <c r="R600" s="1" t="n">
        <f aca="false">PERCENTILE(G600:P600,0.9)</f>
        <v>0.019079757</v>
      </c>
      <c r="S600" s="5" t="n">
        <f aca="false">spmv_1!R$18/R600</f>
        <v>4.06392643260604</v>
      </c>
      <c r="T600" s="6" t="n">
        <f aca="false">S600/128</f>
        <v>0.0317494252547347</v>
      </c>
    </row>
    <row r="601" customFormat="false" ht="15" hidden="false" customHeight="false" outlineLevel="0" collapsed="false">
      <c r="A601" s="1" t="s">
        <v>19</v>
      </c>
      <c r="B601" s="1" t="n">
        <v>75</v>
      </c>
      <c r="D601" s="1" t="n">
        <v>296984</v>
      </c>
      <c r="E601" s="1" t="n">
        <v>0.051177</v>
      </c>
      <c r="G601" s="1" t="n">
        <v>0.033722878</v>
      </c>
      <c r="H601" s="1" t="n">
        <v>0.016616821</v>
      </c>
      <c r="I601" s="1" t="n">
        <v>0.008844614</v>
      </c>
      <c r="J601" s="1" t="n">
        <v>0.007845879</v>
      </c>
      <c r="K601" s="1" t="n">
        <v>0.007971525</v>
      </c>
      <c r="L601" s="1" t="n">
        <v>0.007980824</v>
      </c>
      <c r="M601" s="1" t="n">
        <v>0.008021116</v>
      </c>
      <c r="N601" s="1" t="n">
        <v>0.00830698</v>
      </c>
      <c r="O601" s="1" t="n">
        <v>0.008385658</v>
      </c>
      <c r="P601" s="1" t="n">
        <v>0.008364916</v>
      </c>
      <c r="R601" s="1" t="n">
        <f aca="false">PERCENTILE(G601:P601,0.9)</f>
        <v>0.0183274267</v>
      </c>
      <c r="S601" s="5" t="n">
        <f aca="false">spmv_1!R$18/R601</f>
        <v>4.23074826975028</v>
      </c>
      <c r="T601" s="6" t="n">
        <f aca="false">S601/128</f>
        <v>0.033052720857424</v>
      </c>
    </row>
    <row r="602" customFormat="false" ht="15" hidden="false" customHeight="false" outlineLevel="0" collapsed="false">
      <c r="A602" s="1" t="s">
        <v>19</v>
      </c>
      <c r="B602" s="1" t="n">
        <v>76</v>
      </c>
      <c r="D602" s="1" t="n">
        <v>291127</v>
      </c>
      <c r="E602" s="1" t="n">
        <v>0.050347</v>
      </c>
      <c r="G602" s="1" t="n">
        <v>0.033786774</v>
      </c>
      <c r="H602" s="1" t="n">
        <v>0.016566753</v>
      </c>
      <c r="I602" s="1" t="n">
        <v>0.008775473</v>
      </c>
      <c r="J602" s="1" t="n">
        <v>0.007816792</v>
      </c>
      <c r="K602" s="1" t="n">
        <v>0.007889032</v>
      </c>
      <c r="L602" s="1" t="n">
        <v>0.007902145</v>
      </c>
      <c r="M602" s="1" t="n">
        <v>0.007949352</v>
      </c>
      <c r="N602" s="1" t="n">
        <v>0.008262634</v>
      </c>
      <c r="O602" s="1" t="n">
        <v>0.008339405</v>
      </c>
      <c r="P602" s="1" t="n">
        <v>0.008360863</v>
      </c>
      <c r="R602" s="1" t="n">
        <f aca="false">PERCENTILE(G602:P602,0.9)</f>
        <v>0.0182887551</v>
      </c>
      <c r="S602" s="5" t="n">
        <f aca="false">spmv_1!R$18/R602</f>
        <v>4.23969419329148</v>
      </c>
      <c r="T602" s="6" t="n">
        <f aca="false">S602/128</f>
        <v>0.0331226108850897</v>
      </c>
    </row>
    <row r="603" customFormat="false" ht="15" hidden="false" customHeight="false" outlineLevel="0" collapsed="false">
      <c r="A603" s="1" t="s">
        <v>19</v>
      </c>
      <c r="B603" s="1" t="n">
        <v>77</v>
      </c>
      <c r="D603" s="1" t="n">
        <v>286998</v>
      </c>
      <c r="E603" s="1" t="n">
        <v>0.048662</v>
      </c>
      <c r="G603" s="1" t="n">
        <v>0.033713102</v>
      </c>
      <c r="H603" s="1" t="n">
        <v>0.016793013</v>
      </c>
      <c r="I603" s="1" t="n">
        <v>0.008872032</v>
      </c>
      <c r="J603" s="1" t="n">
        <v>0.007987022</v>
      </c>
      <c r="K603" s="1" t="n">
        <v>0.008204222</v>
      </c>
      <c r="L603" s="1" t="n">
        <v>0.008266926</v>
      </c>
      <c r="M603" s="1" t="n">
        <v>0.008298159</v>
      </c>
      <c r="N603" s="1" t="n">
        <v>0.00860548</v>
      </c>
      <c r="O603" s="1" t="n">
        <v>0.008566856</v>
      </c>
      <c r="P603" s="1" t="n">
        <v>0.00864768</v>
      </c>
      <c r="R603" s="1" t="n">
        <f aca="false">PERCENTILE(G603:P603,0.9)</f>
        <v>0.0184850219</v>
      </c>
      <c r="S603" s="5" t="n">
        <f aca="false">spmv_1!R$18/R603</f>
        <v>4.19467876313417</v>
      </c>
      <c r="T603" s="6" t="n">
        <f aca="false">S603/128</f>
        <v>0.0327709278369857</v>
      </c>
    </row>
    <row r="604" customFormat="false" ht="15" hidden="false" customHeight="false" outlineLevel="0" collapsed="false">
      <c r="A604" s="1" t="s">
        <v>19</v>
      </c>
      <c r="B604" s="1" t="n">
        <v>78</v>
      </c>
      <c r="D604" s="1" t="n">
        <v>284617</v>
      </c>
      <c r="E604" s="1" t="n">
        <v>0.04916</v>
      </c>
      <c r="G604" s="1" t="n">
        <v>0.033791304</v>
      </c>
      <c r="H604" s="1" t="n">
        <v>0.016512394</v>
      </c>
      <c r="I604" s="1" t="n">
        <v>0.008793592</v>
      </c>
      <c r="J604" s="1" t="n">
        <v>0.007848501</v>
      </c>
      <c r="K604" s="1" t="n">
        <v>0.007912636</v>
      </c>
      <c r="L604" s="1" t="n">
        <v>0.00792551</v>
      </c>
      <c r="M604" s="1" t="n">
        <v>0.007971287</v>
      </c>
      <c r="N604" s="1" t="n">
        <v>0.008301973</v>
      </c>
      <c r="O604" s="1" t="n">
        <v>0.008353949</v>
      </c>
      <c r="P604" s="1" t="n">
        <v>0.008382082</v>
      </c>
      <c r="R604" s="1" t="n">
        <f aca="false">PERCENTILE(G604:P604,0.9)</f>
        <v>0.018240285</v>
      </c>
      <c r="S604" s="5" t="n">
        <f aca="false">spmv_1!R$18/R604</f>
        <v>4.25096037698973</v>
      </c>
      <c r="T604" s="6" t="n">
        <f aca="false">S604/128</f>
        <v>0.0332106279452322</v>
      </c>
    </row>
    <row r="605" customFormat="false" ht="15" hidden="false" customHeight="false" outlineLevel="0" collapsed="false">
      <c r="A605" s="1" t="s">
        <v>19</v>
      </c>
      <c r="B605" s="1" t="n">
        <v>79</v>
      </c>
      <c r="D605" s="1" t="n">
        <v>296848</v>
      </c>
      <c r="E605" s="1" t="n">
        <v>0.050369</v>
      </c>
      <c r="G605" s="1" t="n">
        <v>0.033742905</v>
      </c>
      <c r="H605" s="1" t="n">
        <v>0.016781807</v>
      </c>
      <c r="I605" s="1" t="n">
        <v>0.008805037</v>
      </c>
      <c r="J605" s="1" t="n">
        <v>0.007990122</v>
      </c>
      <c r="K605" s="1" t="n">
        <v>0.008247852</v>
      </c>
      <c r="L605" s="1" t="n">
        <v>0.00828433</v>
      </c>
      <c r="M605" s="1" t="n">
        <v>0.008300066</v>
      </c>
      <c r="N605" s="1" t="n">
        <v>0.008612871</v>
      </c>
      <c r="O605" s="1" t="n">
        <v>0.008449793</v>
      </c>
      <c r="P605" s="1" t="n">
        <v>0.00865531</v>
      </c>
      <c r="R605" s="1" t="n">
        <f aca="false">PERCENTILE(G605:P605,0.9)</f>
        <v>0.0184779168</v>
      </c>
      <c r="S605" s="5" t="n">
        <f aca="false">spmv_1!R$18/R605</f>
        <v>4.19629169452695</v>
      </c>
      <c r="T605" s="6" t="n">
        <f aca="false">S605/128</f>
        <v>0.0327835288634918</v>
      </c>
    </row>
    <row r="606" customFormat="false" ht="15" hidden="false" customHeight="false" outlineLevel="0" collapsed="false">
      <c r="A606" s="1" t="s">
        <v>19</v>
      </c>
      <c r="B606" s="1" t="n">
        <v>80</v>
      </c>
      <c r="D606" s="1" t="n">
        <v>290858</v>
      </c>
      <c r="E606" s="1" t="n">
        <v>0.047036</v>
      </c>
      <c r="G606" s="1" t="n">
        <v>0.034955025</v>
      </c>
      <c r="H606" s="1" t="n">
        <v>0.017196655</v>
      </c>
      <c r="I606" s="1" t="n">
        <v>0.009022713</v>
      </c>
      <c r="J606" s="1" t="n">
        <v>0.008491755</v>
      </c>
      <c r="K606" s="1" t="n">
        <v>0.008606672</v>
      </c>
      <c r="L606" s="1" t="n">
        <v>0.008582592</v>
      </c>
      <c r="M606" s="1" t="n">
        <v>0.008653164</v>
      </c>
      <c r="N606" s="1" t="n">
        <v>0.00894475</v>
      </c>
      <c r="O606" s="1" t="n">
        <v>0.009823561</v>
      </c>
      <c r="P606" s="1" t="n">
        <v>0.00939703</v>
      </c>
      <c r="R606" s="1" t="n">
        <f aca="false">PERCENTILE(G606:P606,0.9)</f>
        <v>0.018972492</v>
      </c>
      <c r="S606" s="5" t="n">
        <f aca="false">spmv_1!R$18/R606</f>
        <v>4.08690270102631</v>
      </c>
      <c r="T606" s="6" t="n">
        <f aca="false">S606/128</f>
        <v>0.031928927351768</v>
      </c>
    </row>
    <row r="607" customFormat="false" ht="15" hidden="false" customHeight="false" outlineLevel="0" collapsed="false">
      <c r="A607" s="1" t="s">
        <v>19</v>
      </c>
      <c r="B607" s="1" t="n">
        <v>81</v>
      </c>
      <c r="D607" s="1" t="n">
        <v>286423</v>
      </c>
      <c r="E607" s="1" t="n">
        <v>0.048731</v>
      </c>
      <c r="G607" s="1" t="n">
        <v>0.033853054</v>
      </c>
      <c r="H607" s="1" t="n">
        <v>0.016744852</v>
      </c>
      <c r="I607" s="1" t="n">
        <v>0.008806229</v>
      </c>
      <c r="J607" s="1" t="n">
        <v>0.007907391</v>
      </c>
      <c r="K607" s="1" t="n">
        <v>0.008188725</v>
      </c>
      <c r="L607" s="1" t="n">
        <v>0.008202553</v>
      </c>
      <c r="M607" s="1" t="n">
        <v>0.008245945</v>
      </c>
      <c r="N607" s="1" t="n">
        <v>0.008551359</v>
      </c>
      <c r="O607" s="1" t="n">
        <v>0.008430481</v>
      </c>
      <c r="P607" s="1" t="n">
        <v>0.008621931</v>
      </c>
      <c r="R607" s="1" t="n">
        <f aca="false">PERCENTILE(G607:P607,0.9)</f>
        <v>0.0184556722</v>
      </c>
      <c r="S607" s="5" t="n">
        <f aca="false">spmv_1!R$18/R607</f>
        <v>4.2013494799718</v>
      </c>
      <c r="T607" s="6" t="n">
        <f aca="false">S607/128</f>
        <v>0.0328230428122797</v>
      </c>
    </row>
    <row r="608" customFormat="false" ht="15" hidden="false" customHeight="false" outlineLevel="0" collapsed="false">
      <c r="A608" s="1" t="s">
        <v>19</v>
      </c>
      <c r="B608" s="1" t="n">
        <v>82</v>
      </c>
      <c r="D608" s="1" t="n">
        <v>284384</v>
      </c>
      <c r="E608" s="1" t="n">
        <v>0.049615</v>
      </c>
      <c r="G608" s="1" t="n">
        <v>0.033802032</v>
      </c>
      <c r="H608" s="1" t="n">
        <v>0.016531229</v>
      </c>
      <c r="I608" s="1" t="n">
        <v>0.0082407</v>
      </c>
      <c r="J608" s="1" t="n">
        <v>0.007780313</v>
      </c>
      <c r="K608" s="1" t="n">
        <v>0.00783205</v>
      </c>
      <c r="L608" s="1" t="n">
        <v>0.007790565</v>
      </c>
      <c r="M608" s="1" t="n">
        <v>0.00793314</v>
      </c>
      <c r="N608" s="1" t="n">
        <v>0.008215666</v>
      </c>
      <c r="O608" s="1" t="n">
        <v>0.008189678</v>
      </c>
      <c r="P608" s="1" t="n">
        <v>0.008320332</v>
      </c>
      <c r="R608" s="1" t="n">
        <f aca="false">PERCENTILE(G608:P608,0.9)</f>
        <v>0.0182583093</v>
      </c>
      <c r="S608" s="5" t="n">
        <f aca="false">spmv_1!R$18/R608</f>
        <v>4.24676389943728</v>
      </c>
      <c r="T608" s="6" t="n">
        <f aca="false">S608/128</f>
        <v>0.0331778429643538</v>
      </c>
    </row>
    <row r="609" customFormat="false" ht="15" hidden="false" customHeight="false" outlineLevel="0" collapsed="false">
      <c r="A609" s="1" t="s">
        <v>19</v>
      </c>
      <c r="B609" s="1" t="n">
        <v>83</v>
      </c>
      <c r="D609" s="1" t="n">
        <v>296439</v>
      </c>
      <c r="E609" s="1" t="n">
        <v>0.050798</v>
      </c>
      <c r="G609" s="1" t="n">
        <v>0.033672094</v>
      </c>
      <c r="H609" s="1" t="n">
        <v>0.016744852</v>
      </c>
      <c r="I609" s="1" t="n">
        <v>0.008342028</v>
      </c>
      <c r="J609" s="1" t="n">
        <v>0.007974863</v>
      </c>
      <c r="K609" s="1" t="n">
        <v>0.008150339</v>
      </c>
      <c r="L609" s="1" t="n">
        <v>0.008116245</v>
      </c>
      <c r="M609" s="1" t="n">
        <v>0.008252621</v>
      </c>
      <c r="N609" s="1" t="n">
        <v>0.008540869</v>
      </c>
      <c r="O609" s="1" t="n">
        <v>0.008334398</v>
      </c>
      <c r="P609" s="1" t="n">
        <v>0.008585691</v>
      </c>
      <c r="R609" s="1" t="n">
        <f aca="false">PERCENTILE(G609:P609,0.9)</f>
        <v>0.0184375762</v>
      </c>
      <c r="S609" s="5" t="n">
        <f aca="false">spmv_1!R$18/R609</f>
        <v>4.20547299487229</v>
      </c>
      <c r="T609" s="6" t="n">
        <f aca="false">S609/128</f>
        <v>0.0328552577724398</v>
      </c>
    </row>
    <row r="610" customFormat="false" ht="15" hidden="false" customHeight="false" outlineLevel="0" collapsed="false">
      <c r="A610" s="1" t="s">
        <v>19</v>
      </c>
      <c r="B610" s="1" t="n">
        <v>84</v>
      </c>
      <c r="D610" s="1" t="n">
        <v>290394</v>
      </c>
      <c r="E610" s="1" t="n">
        <v>0.050539</v>
      </c>
      <c r="G610" s="1" t="n">
        <v>0.033866644</v>
      </c>
      <c r="H610" s="1" t="n">
        <v>0.016514301</v>
      </c>
      <c r="I610" s="1" t="n">
        <v>0.008266687</v>
      </c>
      <c r="J610" s="1" t="n">
        <v>0.007809162</v>
      </c>
      <c r="K610" s="1" t="n">
        <v>0.007858753</v>
      </c>
      <c r="L610" s="1" t="n">
        <v>0.007831573</v>
      </c>
      <c r="M610" s="1" t="n">
        <v>0.007974386</v>
      </c>
      <c r="N610" s="1" t="n">
        <v>0.008248329</v>
      </c>
      <c r="O610" s="1" t="n">
        <v>0.008202791</v>
      </c>
      <c r="P610" s="1" t="n">
        <v>0.008347034</v>
      </c>
      <c r="R610" s="1" t="n">
        <f aca="false">PERCENTILE(G610:P610,0.9)</f>
        <v>0.0182495353</v>
      </c>
      <c r="S610" s="5" t="n">
        <f aca="false">spmv_1!R$18/R610</f>
        <v>4.24880565588977</v>
      </c>
      <c r="T610" s="6" t="n">
        <f aca="false">S610/128</f>
        <v>0.0331937941866388</v>
      </c>
    </row>
    <row r="611" customFormat="false" ht="15" hidden="false" customHeight="false" outlineLevel="0" collapsed="false">
      <c r="A611" s="1" t="s">
        <v>19</v>
      </c>
      <c r="B611" s="1" t="n">
        <v>85</v>
      </c>
      <c r="D611" s="1" t="n">
        <v>286018</v>
      </c>
      <c r="E611" s="1" t="n">
        <v>0.049829</v>
      </c>
      <c r="G611" s="1" t="n">
        <v>0.033924103</v>
      </c>
      <c r="H611" s="1" t="n">
        <v>0.016650915</v>
      </c>
      <c r="I611" s="1" t="n">
        <v>0.008159876</v>
      </c>
      <c r="J611" s="1" t="n">
        <v>0.007757664</v>
      </c>
      <c r="K611" s="1" t="n">
        <v>0.007913113</v>
      </c>
      <c r="L611" s="1" t="n">
        <v>0.007843971</v>
      </c>
      <c r="M611" s="1" t="n">
        <v>0.007929325</v>
      </c>
      <c r="N611" s="1" t="n">
        <v>0.008198977</v>
      </c>
      <c r="O611" s="1" t="n">
        <v>0.008162975</v>
      </c>
      <c r="P611" s="1" t="n">
        <v>0.00825882</v>
      </c>
      <c r="R611" s="1" t="n">
        <f aca="false">PERCENTILE(G611:P611,0.9)</f>
        <v>0.0183782338</v>
      </c>
      <c r="S611" s="5" t="n">
        <f aca="false">spmv_1!R$18/R611</f>
        <v>4.21905225735022</v>
      </c>
      <c r="T611" s="6" t="n">
        <f aca="false">S611/128</f>
        <v>0.0329613457605486</v>
      </c>
    </row>
    <row r="612" customFormat="false" ht="15" hidden="false" customHeight="false" outlineLevel="0" collapsed="false">
      <c r="A612" s="1" t="s">
        <v>19</v>
      </c>
      <c r="B612" s="1" t="n">
        <v>86</v>
      </c>
      <c r="D612" s="1" t="n">
        <v>284784</v>
      </c>
      <c r="E612" s="1" t="n">
        <v>0.049896</v>
      </c>
      <c r="G612" s="1" t="n">
        <v>0.033778429</v>
      </c>
      <c r="H612" s="1" t="n">
        <v>0.016541719</v>
      </c>
      <c r="I612" s="1" t="n">
        <v>0.008128405</v>
      </c>
      <c r="J612" s="1" t="n">
        <v>0.007688284</v>
      </c>
      <c r="K612" s="1" t="n">
        <v>0.007829666</v>
      </c>
      <c r="L612" s="1" t="n">
        <v>0.007775307</v>
      </c>
      <c r="M612" s="1" t="n">
        <v>0.007864952</v>
      </c>
      <c r="N612" s="1" t="n">
        <v>0.008159876</v>
      </c>
      <c r="O612" s="1" t="n">
        <v>0.008157969</v>
      </c>
      <c r="P612" s="1" t="n">
        <v>0.008225441</v>
      </c>
      <c r="R612" s="1" t="n">
        <f aca="false">PERCENTILE(G612:P612,0.9)</f>
        <v>0.01826539</v>
      </c>
      <c r="S612" s="5" t="n">
        <f aca="false">spmv_1!R$18/R612</f>
        <v>4.24511761314705</v>
      </c>
      <c r="T612" s="6" t="n">
        <f aca="false">S612/128</f>
        <v>0.0331649813527113</v>
      </c>
    </row>
    <row r="613" customFormat="false" ht="15" hidden="false" customHeight="false" outlineLevel="0" collapsed="false">
      <c r="A613" s="1" t="s">
        <v>19</v>
      </c>
      <c r="B613" s="1" t="n">
        <v>87</v>
      </c>
      <c r="D613" s="1" t="n">
        <v>296470</v>
      </c>
      <c r="E613" s="1" t="n">
        <v>0.051397</v>
      </c>
      <c r="G613" s="1" t="n">
        <v>0.034010172</v>
      </c>
      <c r="H613" s="1" t="n">
        <v>0.016700029</v>
      </c>
      <c r="I613" s="1" t="n">
        <v>0.008197546</v>
      </c>
      <c r="J613" s="1" t="n">
        <v>0.00781846</v>
      </c>
      <c r="K613" s="1" t="n">
        <v>0.007958651</v>
      </c>
      <c r="L613" s="1" t="n">
        <v>0.007904768</v>
      </c>
      <c r="M613" s="1" t="n">
        <v>0.007978439</v>
      </c>
      <c r="N613" s="1" t="n">
        <v>0.008265734</v>
      </c>
      <c r="O613" s="1" t="n">
        <v>0.008214951</v>
      </c>
      <c r="P613" s="1" t="n">
        <v>0.008316994</v>
      </c>
      <c r="R613" s="1" t="n">
        <f aca="false">PERCENTILE(G613:P613,0.9)</f>
        <v>0.0184310433</v>
      </c>
      <c r="S613" s="5" t="n">
        <f aca="false">spmv_1!R$18/R613</f>
        <v>4.20696362858634</v>
      </c>
      <c r="T613" s="6" t="n">
        <f aca="false">S613/128</f>
        <v>0.0328669033483308</v>
      </c>
    </row>
    <row r="614" customFormat="false" ht="15" hidden="false" customHeight="false" outlineLevel="0" collapsed="false">
      <c r="A614" s="1" t="s">
        <v>19</v>
      </c>
      <c r="B614" s="1" t="n">
        <v>88</v>
      </c>
      <c r="D614" s="1" t="n">
        <v>291396</v>
      </c>
      <c r="E614" s="1" t="n">
        <v>0.051474</v>
      </c>
      <c r="G614" s="1" t="n">
        <v>0.033969164</v>
      </c>
      <c r="H614" s="1" t="n">
        <v>0.016603947</v>
      </c>
      <c r="I614" s="1" t="n">
        <v>0.007745504</v>
      </c>
      <c r="J614" s="1" t="n">
        <v>0.007595062</v>
      </c>
      <c r="K614" s="1" t="n">
        <v>0.007715464</v>
      </c>
      <c r="L614" s="1" t="n">
        <v>0.00767374</v>
      </c>
      <c r="M614" s="1" t="n">
        <v>0.007801533</v>
      </c>
      <c r="N614" s="1" t="n">
        <v>0.008041143</v>
      </c>
      <c r="O614" s="1" t="n">
        <v>0.007963657</v>
      </c>
      <c r="P614" s="1" t="n">
        <v>0.008112431</v>
      </c>
      <c r="R614" s="1" t="n">
        <f aca="false">PERCENTILE(G614:P614,0.9)</f>
        <v>0.0183404687</v>
      </c>
      <c r="S614" s="5" t="n">
        <f aca="false">spmv_1!R$18/R614</f>
        <v>4.22773976327007</v>
      </c>
      <c r="T614" s="6" t="n">
        <f aca="false">S614/128</f>
        <v>0.0330292169005474</v>
      </c>
    </row>
    <row r="615" customFormat="false" ht="15" hidden="false" customHeight="false" outlineLevel="0" collapsed="false">
      <c r="A615" s="1" t="s">
        <v>19</v>
      </c>
      <c r="B615" s="1" t="n">
        <v>89</v>
      </c>
      <c r="D615" s="1" t="n">
        <v>285868</v>
      </c>
      <c r="E615" s="1" t="n">
        <v>0.050395</v>
      </c>
      <c r="G615" s="1" t="n">
        <v>0.033952475</v>
      </c>
      <c r="H615" s="1" t="n">
        <v>0.016627312</v>
      </c>
      <c r="I615" s="1" t="n">
        <v>0.007763147</v>
      </c>
      <c r="J615" s="1" t="n">
        <v>0.007641554</v>
      </c>
      <c r="K615" s="1" t="n">
        <v>0.007701397</v>
      </c>
      <c r="L615" s="1" t="n">
        <v>0.00772357</v>
      </c>
      <c r="M615" s="1" t="n">
        <v>0.007833481</v>
      </c>
      <c r="N615" s="1" t="n">
        <v>0.008080006</v>
      </c>
      <c r="O615" s="1" t="n">
        <v>0.007982016</v>
      </c>
      <c r="P615" s="1" t="n">
        <v>0.008146286</v>
      </c>
      <c r="R615" s="1" t="n">
        <f aca="false">PERCENTILE(G615:P615,0.9)</f>
        <v>0.0183598283</v>
      </c>
      <c r="S615" s="5" t="n">
        <f aca="false">spmv_1!R$18/R615</f>
        <v>4.22328180487396</v>
      </c>
      <c r="T615" s="6" t="n">
        <f aca="false">S615/128</f>
        <v>0.0329943891005778</v>
      </c>
    </row>
    <row r="616" customFormat="false" ht="15" hidden="false" customHeight="false" outlineLevel="0" collapsed="false">
      <c r="A616" s="1" t="s">
        <v>19</v>
      </c>
      <c r="B616" s="1" t="n">
        <v>90</v>
      </c>
      <c r="D616" s="1" t="n">
        <v>285254</v>
      </c>
      <c r="E616" s="1" t="n">
        <v>0.050708</v>
      </c>
      <c r="G616" s="1" t="n">
        <v>0.033743382</v>
      </c>
      <c r="H616" s="1" t="n">
        <v>0.016392708</v>
      </c>
      <c r="I616" s="1" t="n">
        <v>0.007726908</v>
      </c>
      <c r="J616" s="1" t="n">
        <v>0.007548809</v>
      </c>
      <c r="K616" s="1" t="n">
        <v>0.007598162</v>
      </c>
      <c r="L616" s="1" t="n">
        <v>0.007635593</v>
      </c>
      <c r="M616" s="1" t="n">
        <v>0.007739067</v>
      </c>
      <c r="N616" s="1" t="n">
        <v>0.008024454</v>
      </c>
      <c r="O616" s="1" t="n">
        <v>0.007998466</v>
      </c>
      <c r="P616" s="1" t="n">
        <v>0.008101702</v>
      </c>
      <c r="R616" s="1" t="n">
        <f aca="false">PERCENTILE(G616:P616,0.9)</f>
        <v>0.0181277754</v>
      </c>
      <c r="S616" s="5" t="n">
        <f aca="false">spmv_1!R$18/R616</f>
        <v>4.27734385985387</v>
      </c>
      <c r="T616" s="6" t="n">
        <f aca="false">S616/128</f>
        <v>0.0334167489051084</v>
      </c>
    </row>
    <row r="617" customFormat="false" ht="15" hidden="false" customHeight="false" outlineLevel="0" collapsed="false">
      <c r="A617" s="1" t="s">
        <v>19</v>
      </c>
      <c r="B617" s="1" t="n">
        <v>91</v>
      </c>
      <c r="D617" s="1" t="n">
        <v>296916</v>
      </c>
      <c r="E617" s="1" t="n">
        <v>0.051774</v>
      </c>
      <c r="G617" s="1" t="n">
        <v>0.033727646</v>
      </c>
      <c r="H617" s="1" t="n">
        <v>0.016615391</v>
      </c>
      <c r="I617" s="1" t="n">
        <v>0.007733822</v>
      </c>
      <c r="J617" s="1" t="n">
        <v>0.007789612</v>
      </c>
      <c r="K617" s="1" t="n">
        <v>0.007880688</v>
      </c>
      <c r="L617" s="1" t="n">
        <v>0.007972002</v>
      </c>
      <c r="M617" s="1" t="n">
        <v>0.008083582</v>
      </c>
      <c r="N617" s="1" t="n">
        <v>0.008362293</v>
      </c>
      <c r="O617" s="1" t="n">
        <v>0.008178949</v>
      </c>
      <c r="P617" s="1" t="n">
        <v>0.008352518</v>
      </c>
      <c r="R617" s="1" t="n">
        <f aca="false">PERCENTILE(G617:P617,0.9)</f>
        <v>0.0183266165</v>
      </c>
      <c r="S617" s="5" t="n">
        <f aca="false">spmv_1!R$18/R617</f>
        <v>4.23093530657992</v>
      </c>
      <c r="T617" s="6" t="n">
        <f aca="false">S617/128</f>
        <v>0.0330541820826556</v>
      </c>
    </row>
    <row r="618" customFormat="false" ht="15" hidden="false" customHeight="false" outlineLevel="0" collapsed="false">
      <c r="A618" s="1" t="s">
        <v>19</v>
      </c>
      <c r="B618" s="1" t="n">
        <v>92</v>
      </c>
      <c r="D618" s="1" t="n">
        <v>291150</v>
      </c>
      <c r="E618" s="1" t="n">
        <v>0.048786</v>
      </c>
      <c r="G618" s="1" t="n">
        <v>0.035022259</v>
      </c>
      <c r="H618" s="1" t="n">
        <v>0.016917467</v>
      </c>
      <c r="I618" s="1" t="n">
        <v>0.007774115</v>
      </c>
      <c r="J618" s="1" t="n">
        <v>0.007852316</v>
      </c>
      <c r="K618" s="1" t="n">
        <v>0.0081141</v>
      </c>
      <c r="L618" s="1" t="n">
        <v>0.008254528</v>
      </c>
      <c r="M618" s="1" t="n">
        <v>0.008330107</v>
      </c>
      <c r="N618" s="1" t="n">
        <v>0.00860405</v>
      </c>
      <c r="O618" s="1" t="n">
        <v>0.009610415</v>
      </c>
      <c r="P618" s="1" t="n">
        <v>0.008878708</v>
      </c>
      <c r="R618" s="1" t="n">
        <f aca="false">PERCENTILE(G618:P618,0.9)</f>
        <v>0.0187279462</v>
      </c>
      <c r="S618" s="5" t="n">
        <f aca="false">spmv_1!R$18/R618</f>
        <v>4.14026866437709</v>
      </c>
      <c r="T618" s="6" t="n">
        <f aca="false">S618/128</f>
        <v>0.032345848940446</v>
      </c>
    </row>
    <row r="619" customFormat="false" ht="15" hidden="false" customHeight="false" outlineLevel="0" collapsed="false">
      <c r="A619" s="1" t="s">
        <v>19</v>
      </c>
      <c r="B619" s="1" t="n">
        <v>93</v>
      </c>
      <c r="D619" s="1" t="n">
        <v>286838</v>
      </c>
      <c r="E619" s="1" t="n">
        <v>0.04942</v>
      </c>
      <c r="G619" s="1" t="n">
        <v>0.034036398</v>
      </c>
      <c r="H619" s="1" t="n">
        <v>0.017132759</v>
      </c>
      <c r="I619" s="1" t="n">
        <v>0.00778079</v>
      </c>
      <c r="J619" s="1" t="n">
        <v>0.007830143</v>
      </c>
      <c r="K619" s="1" t="n">
        <v>0.007979631</v>
      </c>
      <c r="L619" s="1" t="n">
        <v>0.008044958</v>
      </c>
      <c r="M619" s="1" t="n">
        <v>0.008164883</v>
      </c>
      <c r="N619" s="1" t="n">
        <v>0.008448601</v>
      </c>
      <c r="O619" s="1" t="n">
        <v>0.008252621</v>
      </c>
      <c r="P619" s="1" t="n">
        <v>0.008411646</v>
      </c>
      <c r="R619" s="1" t="n">
        <f aca="false">PERCENTILE(G619:P619,0.9)</f>
        <v>0.0188231229</v>
      </c>
      <c r="S619" s="5" t="n">
        <f aca="false">spmv_1!R$18/R619</f>
        <v>4.11933392837806</v>
      </c>
      <c r="T619" s="6" t="n">
        <f aca="false">S619/128</f>
        <v>0.0321822963154536</v>
      </c>
    </row>
    <row r="620" customFormat="false" ht="15" hidden="false" customHeight="false" outlineLevel="0" collapsed="false">
      <c r="A620" s="1" t="s">
        <v>19</v>
      </c>
      <c r="B620" s="1" t="n">
        <v>94</v>
      </c>
      <c r="D620" s="1" t="n">
        <v>285536</v>
      </c>
      <c r="E620" s="1" t="n">
        <v>0.051121</v>
      </c>
      <c r="G620" s="1" t="n">
        <v>0.033664703</v>
      </c>
      <c r="H620" s="1" t="n">
        <v>0.016941309</v>
      </c>
      <c r="I620" s="1" t="n">
        <v>0.007367373</v>
      </c>
      <c r="J620" s="1" t="n">
        <v>0.007490158</v>
      </c>
      <c r="K620" s="1" t="n">
        <v>0.007372141</v>
      </c>
      <c r="L620" s="1" t="n">
        <v>0.007560253</v>
      </c>
      <c r="M620" s="1" t="n">
        <v>0.007637739</v>
      </c>
      <c r="N620" s="1" t="n">
        <v>0.007837772</v>
      </c>
      <c r="O620" s="1" t="n">
        <v>0.00792098</v>
      </c>
      <c r="P620" s="1" t="n">
        <v>0.007917643</v>
      </c>
      <c r="R620" s="1" t="n">
        <f aca="false">PERCENTILE(G620:P620,0.9)</f>
        <v>0.0186136484</v>
      </c>
      <c r="S620" s="5" t="n">
        <f aca="false">spmv_1!R$18/R620</f>
        <v>4.16569213803351</v>
      </c>
      <c r="T620" s="6" t="n">
        <f aca="false">S620/128</f>
        <v>0.0325444698283868</v>
      </c>
    </row>
    <row r="621" customFormat="false" ht="15" hidden="false" customHeight="false" outlineLevel="0" collapsed="false">
      <c r="A621" s="1" t="s">
        <v>19</v>
      </c>
      <c r="B621" s="1" t="n">
        <v>95</v>
      </c>
      <c r="D621" s="1" t="n">
        <v>297492</v>
      </c>
      <c r="E621" s="1" t="n">
        <v>0.052091</v>
      </c>
      <c r="G621" s="1" t="n">
        <v>0.033665419</v>
      </c>
      <c r="H621" s="1" t="n">
        <v>0.017210007</v>
      </c>
      <c r="I621" s="1" t="n">
        <v>0.007522106</v>
      </c>
      <c r="J621" s="1" t="n">
        <v>0.007696152</v>
      </c>
      <c r="K621" s="1" t="n">
        <v>0.007720232</v>
      </c>
      <c r="L621" s="1" t="n">
        <v>0.007891417</v>
      </c>
      <c r="M621" s="1" t="n">
        <v>0.007994413</v>
      </c>
      <c r="N621" s="1" t="n">
        <v>0.008198738</v>
      </c>
      <c r="O621" s="1" t="n">
        <v>0.00813508</v>
      </c>
      <c r="P621" s="1" t="n">
        <v>0.008187056</v>
      </c>
      <c r="R621" s="1" t="n">
        <f aca="false">PERCENTILE(G621:P621,0.9)</f>
        <v>0.0188555482</v>
      </c>
      <c r="S621" s="5" t="n">
        <f aca="false">spmv_1!R$18/R621</f>
        <v>4.11225003789601</v>
      </c>
      <c r="T621" s="6" t="n">
        <f aca="false">S621/128</f>
        <v>0.0321269534210626</v>
      </c>
    </row>
    <row r="622" customFormat="false" ht="15" hidden="false" customHeight="false" outlineLevel="0" collapsed="false">
      <c r="A622" s="1" t="s">
        <v>19</v>
      </c>
      <c r="B622" s="1" t="n">
        <v>96</v>
      </c>
      <c r="D622" s="1" t="n">
        <v>290977</v>
      </c>
      <c r="E622" s="1" t="n">
        <v>0.048832</v>
      </c>
      <c r="G622" s="1" t="n">
        <v>0.033513546</v>
      </c>
      <c r="H622" s="1" t="n">
        <v>0.017450809</v>
      </c>
      <c r="I622" s="1" t="n">
        <v>0.012847424</v>
      </c>
      <c r="J622" s="1" t="n">
        <v>0.007748365</v>
      </c>
      <c r="K622" s="1" t="n">
        <v>0.007693529</v>
      </c>
      <c r="L622" s="1" t="n">
        <v>0.007763863</v>
      </c>
      <c r="M622" s="1" t="n">
        <v>0.007819891</v>
      </c>
      <c r="N622" s="1" t="n">
        <v>0.008057594</v>
      </c>
      <c r="O622" s="1" t="n">
        <v>0.008102417</v>
      </c>
      <c r="P622" s="1" t="n">
        <v>0.008178473</v>
      </c>
      <c r="R622" s="1" t="n">
        <f aca="false">PERCENTILE(G622:P622,0.9)</f>
        <v>0.0190570827</v>
      </c>
      <c r="S622" s="5" t="n">
        <f aca="false">spmv_1!R$18/R622</f>
        <v>4.06876173130109</v>
      </c>
      <c r="T622" s="6" t="n">
        <f aca="false">S622/128</f>
        <v>0.0317872010257898</v>
      </c>
    </row>
    <row r="623" customFormat="false" ht="15" hidden="false" customHeight="false" outlineLevel="0" collapsed="false">
      <c r="A623" s="1" t="s">
        <v>19</v>
      </c>
      <c r="B623" s="1" t="n">
        <v>97</v>
      </c>
      <c r="D623" s="1" t="n">
        <v>287086</v>
      </c>
      <c r="E623" s="1" t="n">
        <v>0.048155</v>
      </c>
      <c r="G623" s="1" t="n">
        <v>0.033442736</v>
      </c>
      <c r="H623" s="1" t="n">
        <v>0.017482042</v>
      </c>
      <c r="I623" s="1" t="n">
        <v>0.012955427</v>
      </c>
      <c r="J623" s="1" t="n">
        <v>0.007700205</v>
      </c>
      <c r="K623" s="1" t="n">
        <v>0.007728815</v>
      </c>
      <c r="L623" s="1" t="n">
        <v>0.007806063</v>
      </c>
      <c r="M623" s="1" t="n">
        <v>0.007807732</v>
      </c>
      <c r="N623" s="1" t="n">
        <v>0.008062363</v>
      </c>
      <c r="O623" s="1" t="n">
        <v>0.008054972</v>
      </c>
      <c r="P623" s="1" t="n">
        <v>0.008194685</v>
      </c>
      <c r="R623" s="1" t="n">
        <f aca="false">PERCENTILE(G623:P623,0.9)</f>
        <v>0.0190781114</v>
      </c>
      <c r="S623" s="5" t="n">
        <f aca="false">spmv_1!R$18/R623</f>
        <v>4.0642769703085</v>
      </c>
      <c r="T623" s="6" t="n">
        <f aca="false">S623/128</f>
        <v>0.0317521638305351</v>
      </c>
    </row>
    <row r="624" customFormat="false" ht="15" hidden="false" customHeight="false" outlineLevel="0" collapsed="false">
      <c r="A624" s="1" t="s">
        <v>19</v>
      </c>
      <c r="B624" s="1" t="n">
        <v>98</v>
      </c>
      <c r="D624" s="1" t="n">
        <v>284903</v>
      </c>
      <c r="E624" s="1" t="n">
        <v>0.047907</v>
      </c>
      <c r="G624" s="1" t="n">
        <v>0.033202887</v>
      </c>
      <c r="H624" s="1" t="n">
        <v>0.017477036</v>
      </c>
      <c r="I624" s="1" t="n">
        <v>0.012972116</v>
      </c>
      <c r="J624" s="1" t="n">
        <v>0.007691383</v>
      </c>
      <c r="K624" s="1" t="n">
        <v>0.007714033</v>
      </c>
      <c r="L624" s="1" t="n">
        <v>0.007784367</v>
      </c>
      <c r="M624" s="1" t="n">
        <v>0.007799387</v>
      </c>
      <c r="N624" s="1" t="n">
        <v>0.008054733</v>
      </c>
      <c r="O624" s="1" t="n">
        <v>0.008049965</v>
      </c>
      <c r="P624" s="1" t="n">
        <v>0.008193254</v>
      </c>
      <c r="R624" s="1" t="n">
        <f aca="false">PERCENTILE(G624:P624,0.9)</f>
        <v>0.0190496211</v>
      </c>
      <c r="S624" s="5" t="n">
        <f aca="false">spmv_1!R$18/R624</f>
        <v>4.07035543609841</v>
      </c>
      <c r="T624" s="6" t="n">
        <f aca="false">S624/128</f>
        <v>0.0317996518445188</v>
      </c>
    </row>
    <row r="625" customFormat="false" ht="15" hidden="false" customHeight="false" outlineLevel="0" collapsed="false">
      <c r="A625" s="1" t="s">
        <v>19</v>
      </c>
      <c r="B625" s="1" t="n">
        <v>99</v>
      </c>
      <c r="D625" s="1" t="n">
        <v>297860</v>
      </c>
      <c r="E625" s="1" t="n">
        <v>0.050165</v>
      </c>
      <c r="G625" s="1" t="n">
        <v>0.033000231</v>
      </c>
      <c r="H625" s="1" t="n">
        <v>0.017465591</v>
      </c>
      <c r="I625" s="1" t="n">
        <v>0.012984276</v>
      </c>
      <c r="J625" s="1" t="n">
        <v>0.00767684</v>
      </c>
      <c r="K625" s="1" t="n">
        <v>0.007703304</v>
      </c>
      <c r="L625" s="1" t="n">
        <v>0.007784843</v>
      </c>
      <c r="M625" s="1" t="n">
        <v>0.007795811</v>
      </c>
      <c r="N625" s="1" t="n">
        <v>0.008047342</v>
      </c>
      <c r="O625" s="1" t="n">
        <v>0.008043528</v>
      </c>
      <c r="P625" s="1" t="n">
        <v>0.008250237</v>
      </c>
      <c r="R625" s="1" t="n">
        <f aca="false">PERCENTILE(G625:P625,0.9)</f>
        <v>0.019019055</v>
      </c>
      <c r="S625" s="5" t="n">
        <f aca="false">spmv_1!R$18/R625</f>
        <v>4.07689702774402</v>
      </c>
      <c r="T625" s="6" t="n">
        <f aca="false">S625/128</f>
        <v>0.0318507580292502</v>
      </c>
    </row>
    <row r="626" customFormat="false" ht="15" hidden="false" customHeight="false" outlineLevel="0" collapsed="false">
      <c r="A626" s="1" t="s">
        <v>19</v>
      </c>
      <c r="B626" s="1" t="n">
        <v>100</v>
      </c>
      <c r="D626" s="1" t="n">
        <v>290203</v>
      </c>
      <c r="E626" s="1" t="n">
        <v>0.049185</v>
      </c>
      <c r="G626" s="1" t="n">
        <v>0.032901049</v>
      </c>
      <c r="H626" s="1" t="n">
        <v>0.017436981</v>
      </c>
      <c r="I626" s="1" t="n">
        <v>0.013048649</v>
      </c>
      <c r="J626" s="1" t="n">
        <v>0.007630825</v>
      </c>
      <c r="K626" s="1" t="n">
        <v>0.007620096</v>
      </c>
      <c r="L626" s="1" t="n">
        <v>0.007634401</v>
      </c>
      <c r="M626" s="1" t="n">
        <v>0.007737637</v>
      </c>
      <c r="N626" s="1" t="n">
        <v>0.007935286</v>
      </c>
      <c r="O626" s="1" t="n">
        <v>0.007947445</v>
      </c>
      <c r="P626" s="1" t="n">
        <v>0.008112669</v>
      </c>
      <c r="R626" s="1" t="n">
        <f aca="false">PERCENTILE(G626:P626,0.9)</f>
        <v>0.0189833878</v>
      </c>
      <c r="S626" s="5" t="n">
        <f aca="false">spmv_1!R$18/R626</f>
        <v>4.08455696195597</v>
      </c>
      <c r="T626" s="6" t="n">
        <f aca="false">S626/128</f>
        <v>0.031910601265281</v>
      </c>
    </row>
    <row r="627" customFormat="false" ht="15" hidden="false" customHeight="false" outlineLevel="0" collapsed="false">
      <c r="A627" s="1" t="s">
        <v>19</v>
      </c>
      <c r="B627" s="1" t="n">
        <v>101</v>
      </c>
      <c r="D627" s="1" t="n">
        <v>287095</v>
      </c>
      <c r="E627" s="1" t="n">
        <v>0.048861</v>
      </c>
      <c r="G627" s="1" t="n">
        <v>0.032493591</v>
      </c>
      <c r="H627" s="1" t="n">
        <v>0.017422915</v>
      </c>
      <c r="I627" s="1" t="n">
        <v>0.01306653</v>
      </c>
      <c r="J627" s="1" t="n">
        <v>0.007602692</v>
      </c>
      <c r="K627" s="1" t="n">
        <v>0.007619381</v>
      </c>
      <c r="L627" s="1" t="n">
        <v>0.007619381</v>
      </c>
      <c r="M627" s="1" t="n">
        <v>0.007721663</v>
      </c>
      <c r="N627" s="1" t="n">
        <v>0.007913828</v>
      </c>
      <c r="O627" s="1" t="n">
        <v>0.007943869</v>
      </c>
      <c r="P627" s="1" t="n">
        <v>0.008111</v>
      </c>
      <c r="R627" s="1" t="n">
        <f aca="false">PERCENTILE(G627:P627,0.9)</f>
        <v>0.0189299826</v>
      </c>
      <c r="S627" s="5" t="n">
        <f aca="false">spmv_1!R$18/R627</f>
        <v>4.09608029961951</v>
      </c>
      <c r="T627" s="6" t="n">
        <f aca="false">S627/128</f>
        <v>0.0320006273407774</v>
      </c>
    </row>
    <row r="628" customFormat="false" ht="15" hidden="false" customHeight="false" outlineLevel="0" collapsed="false">
      <c r="A628" s="1" t="s">
        <v>19</v>
      </c>
      <c r="B628" s="1" t="n">
        <v>102</v>
      </c>
      <c r="D628" s="1" t="n">
        <v>285306</v>
      </c>
      <c r="E628" s="1" t="n">
        <v>0.048733</v>
      </c>
      <c r="G628" s="1" t="n">
        <v>0.032342911</v>
      </c>
      <c r="H628" s="1" t="n">
        <v>0.017384529</v>
      </c>
      <c r="I628" s="1" t="n">
        <v>0.013089657</v>
      </c>
      <c r="J628" s="1" t="n">
        <v>0.007558823</v>
      </c>
      <c r="K628" s="1" t="n">
        <v>0.007574797</v>
      </c>
      <c r="L628" s="1" t="n">
        <v>0.007572412</v>
      </c>
      <c r="M628" s="1" t="n">
        <v>0.007691145</v>
      </c>
      <c r="N628" s="1" t="n">
        <v>0.007879972</v>
      </c>
      <c r="O628" s="1" t="n">
        <v>0.007899761</v>
      </c>
      <c r="P628" s="1" t="n">
        <v>0.00809598</v>
      </c>
      <c r="R628" s="1" t="n">
        <f aca="false">PERCENTILE(G628:P628,0.9)</f>
        <v>0.0188803672</v>
      </c>
      <c r="S628" s="5" t="n">
        <f aca="false">spmv_1!R$18/R628</f>
        <v>4.1068443202736</v>
      </c>
      <c r="T628" s="6" t="n">
        <f aca="false">S628/128</f>
        <v>0.0320847212521375</v>
      </c>
    </row>
    <row r="629" customFormat="false" ht="15" hidden="false" customHeight="false" outlineLevel="0" collapsed="false">
      <c r="A629" s="1" t="s">
        <v>19</v>
      </c>
      <c r="B629" s="1" t="n">
        <v>103</v>
      </c>
      <c r="D629" s="1" t="n">
        <v>297948</v>
      </c>
      <c r="E629" s="1" t="n">
        <v>0.053506</v>
      </c>
      <c r="G629" s="1" t="n">
        <v>0.032244205</v>
      </c>
      <c r="H629" s="1" t="n">
        <v>0.016797781</v>
      </c>
      <c r="I629" s="1" t="n">
        <v>0.01245594</v>
      </c>
      <c r="J629" s="1" t="n">
        <v>0.006869316</v>
      </c>
      <c r="K629" s="1" t="n">
        <v>0.006934404</v>
      </c>
      <c r="L629" s="1" t="n">
        <v>0.00698638</v>
      </c>
      <c r="M629" s="1" t="n">
        <v>0.007062197</v>
      </c>
      <c r="N629" s="1" t="n">
        <v>0.00729394</v>
      </c>
      <c r="O629" s="1" t="n">
        <v>0.007302761</v>
      </c>
      <c r="P629" s="1" t="n">
        <v>0.007422686</v>
      </c>
      <c r="R629" s="1" t="n">
        <f aca="false">PERCENTILE(G629:P629,0.9)</f>
        <v>0.0183424234</v>
      </c>
      <c r="S629" s="5" t="n">
        <f aca="false">spmv_1!R$18/R629</f>
        <v>4.22728922504319</v>
      </c>
      <c r="T629" s="6" t="n">
        <f aca="false">S629/128</f>
        <v>0.0330256970706499</v>
      </c>
    </row>
    <row r="630" customFormat="false" ht="15" hidden="false" customHeight="false" outlineLevel="0" collapsed="false">
      <c r="A630" s="1" t="s">
        <v>19</v>
      </c>
      <c r="B630" s="1" t="n">
        <v>104</v>
      </c>
      <c r="D630" s="1" t="n">
        <v>291079</v>
      </c>
      <c r="E630" s="1" t="n">
        <v>0.050328</v>
      </c>
      <c r="G630" s="1" t="n">
        <v>0.031873703</v>
      </c>
      <c r="H630" s="1" t="n">
        <v>0.01734376</v>
      </c>
      <c r="I630" s="1" t="n">
        <v>0.013060808</v>
      </c>
      <c r="J630" s="1" t="n">
        <v>0.007389545</v>
      </c>
      <c r="K630" s="1" t="n">
        <v>0.007427216</v>
      </c>
      <c r="L630" s="1" t="n">
        <v>0.007495165</v>
      </c>
      <c r="M630" s="1" t="n">
        <v>0.007593393</v>
      </c>
      <c r="N630" s="1" t="n">
        <v>0.007776499</v>
      </c>
      <c r="O630" s="1" t="n">
        <v>0.0077672</v>
      </c>
      <c r="P630" s="1" t="n">
        <v>0.007946491</v>
      </c>
      <c r="R630" s="1" t="n">
        <f aca="false">PERCENTILE(G630:P630,0.9)</f>
        <v>0.0187967543</v>
      </c>
      <c r="S630" s="5" t="n">
        <f aca="false">spmv_1!R$18/R630</f>
        <v>4.12511264245232</v>
      </c>
      <c r="T630" s="6" t="n">
        <f aca="false">S630/128</f>
        <v>0.0322274425191588</v>
      </c>
    </row>
    <row r="631" customFormat="false" ht="15" hidden="false" customHeight="false" outlineLevel="0" collapsed="false">
      <c r="A631" s="1" t="s">
        <v>19</v>
      </c>
      <c r="B631" s="1" t="n">
        <v>105</v>
      </c>
      <c r="D631" s="1" t="n">
        <v>286653</v>
      </c>
      <c r="E631" s="1" t="n">
        <v>0.049907</v>
      </c>
      <c r="G631" s="1" t="n">
        <v>0.031402111</v>
      </c>
      <c r="H631" s="1" t="n">
        <v>0.017245054</v>
      </c>
      <c r="I631" s="1" t="n">
        <v>0.013049841</v>
      </c>
      <c r="J631" s="1" t="n">
        <v>0.007411718</v>
      </c>
      <c r="K631" s="1" t="n">
        <v>0.007376194</v>
      </c>
      <c r="L631" s="1" t="n">
        <v>0.007465601</v>
      </c>
      <c r="M631" s="1" t="n">
        <v>0.007555723</v>
      </c>
      <c r="N631" s="1" t="n">
        <v>0.007737398</v>
      </c>
      <c r="O631" s="1" t="n">
        <v>0.007717848</v>
      </c>
      <c r="P631" s="1" t="n">
        <v>0.007914066</v>
      </c>
      <c r="R631" s="1" t="n">
        <f aca="false">PERCENTILE(G631:P631,0.9)</f>
        <v>0.0186607597</v>
      </c>
      <c r="S631" s="5" t="n">
        <f aca="false">spmv_1!R$18/R631</f>
        <v>4.15517535440961</v>
      </c>
      <c r="T631" s="6" t="n">
        <f aca="false">S631/128</f>
        <v>0.0324623074563251</v>
      </c>
    </row>
    <row r="632" customFormat="false" ht="15" hidden="false" customHeight="false" outlineLevel="0" collapsed="false">
      <c r="A632" s="1" t="s">
        <v>19</v>
      </c>
      <c r="B632" s="1" t="n">
        <v>106</v>
      </c>
      <c r="D632" s="1" t="n">
        <v>285711</v>
      </c>
      <c r="E632" s="1" t="n">
        <v>0.050282</v>
      </c>
      <c r="G632" s="1" t="n">
        <v>0.03117013</v>
      </c>
      <c r="H632" s="1" t="n">
        <v>0.017009258</v>
      </c>
      <c r="I632" s="1" t="n">
        <v>0.01332283</v>
      </c>
      <c r="J632" s="1" t="n">
        <v>0.007302523</v>
      </c>
      <c r="K632" s="1" t="n">
        <v>0.007256985</v>
      </c>
      <c r="L632" s="1" t="n">
        <v>0.007329941</v>
      </c>
      <c r="M632" s="1" t="n">
        <v>0.007427216</v>
      </c>
      <c r="N632" s="1" t="n">
        <v>0.007512331</v>
      </c>
      <c r="O632" s="1" t="n">
        <v>0.007556438</v>
      </c>
      <c r="P632" s="1" t="n">
        <v>0.007755756</v>
      </c>
      <c r="R632" s="1" t="n">
        <f aca="false">PERCENTILE(G632:P632,0.9)</f>
        <v>0.0184253452</v>
      </c>
      <c r="S632" s="5" t="n">
        <f aca="false">spmv_1!R$18/R632</f>
        <v>4.20826464624392</v>
      </c>
      <c r="T632" s="6" t="n">
        <f aca="false">S632/128</f>
        <v>0.0328770675487806</v>
      </c>
    </row>
    <row r="633" customFormat="false" ht="15" hidden="false" customHeight="false" outlineLevel="0" collapsed="false">
      <c r="A633" s="1" t="s">
        <v>19</v>
      </c>
      <c r="B633" s="1" t="n">
        <v>107</v>
      </c>
      <c r="D633" s="1" t="n">
        <v>297561</v>
      </c>
      <c r="E633" s="1" t="n">
        <v>0.05444</v>
      </c>
      <c r="G633" s="1" t="n">
        <v>0.030836821</v>
      </c>
      <c r="H633" s="1" t="n">
        <v>0.016685724</v>
      </c>
      <c r="I633" s="1" t="n">
        <v>0.012811899</v>
      </c>
      <c r="J633" s="1" t="n">
        <v>0.006779909</v>
      </c>
      <c r="K633" s="1" t="n">
        <v>0.006792545</v>
      </c>
      <c r="L633" s="1" t="n">
        <v>0.006880999</v>
      </c>
      <c r="M633" s="1" t="n">
        <v>0.007002354</v>
      </c>
      <c r="N633" s="1" t="n">
        <v>0.007076979</v>
      </c>
      <c r="O633" s="1" t="n">
        <v>0.007104158</v>
      </c>
      <c r="P633" s="1" t="n">
        <v>0.007344723</v>
      </c>
      <c r="R633" s="1" t="n">
        <f aca="false">PERCENTILE(G633:P633,0.9)</f>
        <v>0.0181008337</v>
      </c>
      <c r="S633" s="5" t="n">
        <f aca="false">spmv_1!R$18/R633</f>
        <v>4.28371035749585</v>
      </c>
      <c r="T633" s="6" t="n">
        <f aca="false">S633/128</f>
        <v>0.0334664871679364</v>
      </c>
    </row>
    <row r="634" customFormat="false" ht="15" hidden="false" customHeight="false" outlineLevel="0" collapsed="false">
      <c r="A634" s="1" t="s">
        <v>19</v>
      </c>
      <c r="B634" s="1" t="n">
        <v>108</v>
      </c>
      <c r="D634" s="1" t="n">
        <v>290552</v>
      </c>
      <c r="E634" s="1" t="n">
        <v>0.051153</v>
      </c>
      <c r="G634" s="1" t="n">
        <v>0.030885458</v>
      </c>
      <c r="H634" s="1" t="n">
        <v>0.016963959</v>
      </c>
      <c r="I634" s="1" t="n">
        <v>0.013317347</v>
      </c>
      <c r="J634" s="1" t="n">
        <v>0.007687569</v>
      </c>
      <c r="K634" s="1" t="n">
        <v>0.007260323</v>
      </c>
      <c r="L634" s="1" t="n">
        <v>0.007313251</v>
      </c>
      <c r="M634" s="1" t="n">
        <v>0.007399797</v>
      </c>
      <c r="N634" s="1" t="n">
        <v>0.00749445</v>
      </c>
      <c r="O634" s="1" t="n">
        <v>0.007530928</v>
      </c>
      <c r="P634" s="1" t="n">
        <v>0.007747412</v>
      </c>
      <c r="R634" s="1" t="n">
        <f aca="false">PERCENTILE(G634:P634,0.9)</f>
        <v>0.0183561089</v>
      </c>
      <c r="S634" s="5" t="n">
        <f aca="false">spmv_1!R$18/R634</f>
        <v>4.22413754583903</v>
      </c>
      <c r="T634" s="6" t="n">
        <f aca="false">S634/128</f>
        <v>0.0330010745768674</v>
      </c>
    </row>
    <row r="635" customFormat="false" ht="15" hidden="false" customHeight="false" outlineLevel="0" collapsed="false">
      <c r="A635" s="1" t="s">
        <v>19</v>
      </c>
      <c r="B635" s="1" t="n">
        <v>109</v>
      </c>
      <c r="D635" s="1" t="n">
        <v>286615</v>
      </c>
      <c r="E635" s="1" t="n">
        <v>0.050861</v>
      </c>
      <c r="G635" s="1" t="n">
        <v>0.030313969</v>
      </c>
      <c r="H635" s="1" t="n">
        <v>0.016846895</v>
      </c>
      <c r="I635" s="1" t="n">
        <v>0.013259649</v>
      </c>
      <c r="J635" s="1" t="n">
        <v>0.007706165</v>
      </c>
      <c r="K635" s="1" t="n">
        <v>0.007218599</v>
      </c>
      <c r="L635" s="1" t="n">
        <v>0.007281542</v>
      </c>
      <c r="M635" s="1" t="n">
        <v>0.007365227</v>
      </c>
      <c r="N635" s="1" t="n">
        <v>0.007470131</v>
      </c>
      <c r="O635" s="1" t="n">
        <v>0.007508278</v>
      </c>
      <c r="P635" s="1" t="n">
        <v>0.007734537</v>
      </c>
      <c r="R635" s="1" t="n">
        <f aca="false">PERCENTILE(G635:P635,0.9)</f>
        <v>0.0181936024</v>
      </c>
      <c r="S635" s="5" t="n">
        <f aca="false">spmv_1!R$18/R635</f>
        <v>4.26186783107891</v>
      </c>
      <c r="T635" s="6" t="n">
        <f aca="false">S635/128</f>
        <v>0.033295842430304</v>
      </c>
    </row>
    <row r="636" customFormat="false" ht="15" hidden="false" customHeight="false" outlineLevel="0" collapsed="false">
      <c r="A636" s="1" t="s">
        <v>19</v>
      </c>
      <c r="B636" s="1" t="n">
        <v>110</v>
      </c>
      <c r="D636" s="1" t="n">
        <v>285064</v>
      </c>
      <c r="E636" s="1" t="n">
        <v>0.050838</v>
      </c>
      <c r="G636" s="1" t="n">
        <v>0.029884338</v>
      </c>
      <c r="H636" s="1" t="n">
        <v>0.016808271</v>
      </c>
      <c r="I636" s="1" t="n">
        <v>0.01326561</v>
      </c>
      <c r="J636" s="1" t="n">
        <v>0.007709026</v>
      </c>
      <c r="K636" s="1" t="n">
        <v>0.007172823</v>
      </c>
      <c r="L636" s="1" t="n">
        <v>0.007268667</v>
      </c>
      <c r="M636" s="1" t="n">
        <v>0.00736618</v>
      </c>
      <c r="N636" s="1" t="n">
        <v>0.007442951</v>
      </c>
      <c r="O636" s="1" t="n">
        <v>0.007502317</v>
      </c>
      <c r="P636" s="1" t="n">
        <v>0.007725</v>
      </c>
      <c r="R636" s="1" t="n">
        <f aca="false">PERCENTILE(G636:P636,0.9)</f>
        <v>0.0181158777</v>
      </c>
      <c r="S636" s="5" t="n">
        <f aca="false">spmv_1!R$18/R636</f>
        <v>4.2801530284122</v>
      </c>
      <c r="T636" s="6" t="n">
        <f aca="false">S636/128</f>
        <v>0.0334386955344703</v>
      </c>
    </row>
    <row r="637" customFormat="false" ht="15" hidden="false" customHeight="false" outlineLevel="0" collapsed="false">
      <c r="A637" s="1" t="s">
        <v>19</v>
      </c>
      <c r="B637" s="1" t="n">
        <v>111</v>
      </c>
      <c r="D637" s="1" t="n">
        <v>296951</v>
      </c>
      <c r="E637" s="1" t="n">
        <v>0.053225</v>
      </c>
      <c r="G637" s="1" t="n">
        <v>0.029919624</v>
      </c>
      <c r="H637" s="1" t="n">
        <v>0.016817808</v>
      </c>
      <c r="I637" s="1" t="n">
        <v>0.013238668</v>
      </c>
      <c r="J637" s="1" t="n">
        <v>0.007745981</v>
      </c>
      <c r="K637" s="1" t="n">
        <v>0.007081032</v>
      </c>
      <c r="L637" s="1" t="n">
        <v>0.007199287</v>
      </c>
      <c r="M637" s="1" t="n">
        <v>0.007220507</v>
      </c>
      <c r="N637" s="1" t="n">
        <v>0.00729847</v>
      </c>
      <c r="O637" s="1" t="n">
        <v>0.007371902</v>
      </c>
      <c r="P637" s="1" t="n">
        <v>0.007689238</v>
      </c>
      <c r="R637" s="1" t="n">
        <f aca="false">PERCENTILE(G637:P637,0.9)</f>
        <v>0.0181279896</v>
      </c>
      <c r="S637" s="5" t="n">
        <f aca="false">spmv_1!R$18/R637</f>
        <v>4.27729331883553</v>
      </c>
      <c r="T637" s="6" t="n">
        <f aca="false">S637/128</f>
        <v>0.0334163540534026</v>
      </c>
    </row>
    <row r="638" customFormat="false" ht="15" hidden="false" customHeight="false" outlineLevel="0" collapsed="false">
      <c r="A638" s="1" t="s">
        <v>19</v>
      </c>
      <c r="B638" s="1" t="n">
        <v>112</v>
      </c>
      <c r="D638" s="1" t="n">
        <v>290515</v>
      </c>
      <c r="E638" s="1" t="n">
        <v>0.054214</v>
      </c>
      <c r="G638" s="1" t="n">
        <v>0.02938652</v>
      </c>
      <c r="H638" s="1" t="n">
        <v>0.016385555</v>
      </c>
      <c r="I638" s="1" t="n">
        <v>0.012785435</v>
      </c>
      <c r="J638" s="1" t="n">
        <v>0.007217646</v>
      </c>
      <c r="K638" s="1" t="n">
        <v>0.006687403</v>
      </c>
      <c r="L638" s="1" t="n">
        <v>0.006745577</v>
      </c>
      <c r="M638" s="1" t="n">
        <v>0.006820917</v>
      </c>
      <c r="N638" s="1" t="n">
        <v>0.006929874</v>
      </c>
      <c r="O638" s="1" t="n">
        <v>0.006994009</v>
      </c>
      <c r="P638" s="1" t="n">
        <v>0.007219553</v>
      </c>
      <c r="R638" s="1" t="n">
        <f aca="false">PERCENTILE(G638:P638,0.9)</f>
        <v>0.0176856515</v>
      </c>
      <c r="S638" s="5" t="n">
        <f aca="false">spmv_1!R$18/R638</f>
        <v>4.38427325111546</v>
      </c>
      <c r="T638" s="6" t="n">
        <f aca="false">S638/128</f>
        <v>0.0342521347743395</v>
      </c>
    </row>
    <row r="639" customFormat="false" ht="15" hidden="false" customHeight="false" outlineLevel="0" collapsed="false">
      <c r="A639" s="1" t="s">
        <v>19</v>
      </c>
      <c r="B639" s="1" t="n">
        <v>113</v>
      </c>
      <c r="D639" s="1" t="n">
        <v>286209</v>
      </c>
      <c r="E639" s="1" t="n">
        <v>0.051578</v>
      </c>
      <c r="G639" s="1" t="n">
        <v>0.029257059</v>
      </c>
      <c r="H639" s="1" t="n">
        <v>0.01667285</v>
      </c>
      <c r="I639" s="1" t="n">
        <v>0.013293982</v>
      </c>
      <c r="J639" s="1" t="n">
        <v>0.007705688</v>
      </c>
      <c r="K639" s="1" t="n">
        <v>0.007152319</v>
      </c>
      <c r="L639" s="1" t="n">
        <v>0.007211208</v>
      </c>
      <c r="M639" s="1" t="n">
        <v>0.007237673</v>
      </c>
      <c r="N639" s="1" t="n">
        <v>0.007390976</v>
      </c>
      <c r="O639" s="1" t="n">
        <v>0.007423162</v>
      </c>
      <c r="P639" s="1" t="n">
        <v>0.007637024</v>
      </c>
      <c r="R639" s="1" t="n">
        <f aca="false">PERCENTILE(G639:P639,0.9)</f>
        <v>0.0179312709</v>
      </c>
      <c r="S639" s="5" t="n">
        <f aca="false">spmv_1!R$18/R639</f>
        <v>4.32421824601401</v>
      </c>
      <c r="T639" s="6" t="n">
        <f aca="false">S639/128</f>
        <v>0.0337829550469844</v>
      </c>
    </row>
    <row r="640" customFormat="false" ht="15" hidden="false" customHeight="false" outlineLevel="0" collapsed="false">
      <c r="A640" s="1" t="s">
        <v>19</v>
      </c>
      <c r="B640" s="1" t="n">
        <v>114</v>
      </c>
      <c r="D640" s="1" t="n">
        <v>285112</v>
      </c>
      <c r="E640" s="1" t="n">
        <v>0.053523</v>
      </c>
      <c r="G640" s="1" t="n">
        <v>0.029241323</v>
      </c>
      <c r="H640" s="1" t="n">
        <v>0.016263008</v>
      </c>
      <c r="I640" s="1" t="n">
        <v>0.012729168</v>
      </c>
      <c r="J640" s="1" t="n">
        <v>0.007183313</v>
      </c>
      <c r="K640" s="1" t="n">
        <v>0.006616354</v>
      </c>
      <c r="L640" s="1" t="n">
        <v>0.006710052</v>
      </c>
      <c r="M640" s="1" t="n">
        <v>0.006776333</v>
      </c>
      <c r="N640" s="1" t="n">
        <v>0.006882429</v>
      </c>
      <c r="O640" s="1" t="n">
        <v>0.00693965</v>
      </c>
      <c r="P640" s="1" t="n">
        <v>0.007196426</v>
      </c>
      <c r="R640" s="1" t="n">
        <f aca="false">PERCENTILE(G640:P640,0.9)</f>
        <v>0.0175608395</v>
      </c>
      <c r="S640" s="5" t="n">
        <f aca="false">spmv_1!R$18/R640</f>
        <v>4.41543405712466</v>
      </c>
      <c r="T640" s="6" t="n">
        <f aca="false">S640/128</f>
        <v>0.0344955785712864</v>
      </c>
    </row>
    <row r="641" customFormat="false" ht="15" hidden="false" customHeight="false" outlineLevel="0" collapsed="false">
      <c r="A641" s="1" t="s">
        <v>19</v>
      </c>
      <c r="B641" s="1" t="n">
        <v>115</v>
      </c>
      <c r="D641" s="1" t="n">
        <v>296957</v>
      </c>
      <c r="E641" s="1" t="n">
        <v>0.054421</v>
      </c>
      <c r="G641" s="1" t="n">
        <v>0.028853655</v>
      </c>
      <c r="H641" s="1" t="n">
        <v>0.016468048</v>
      </c>
      <c r="I641" s="1" t="n">
        <v>0.01325798</v>
      </c>
      <c r="J641" s="1" t="n">
        <v>0.007752419</v>
      </c>
      <c r="K641" s="1" t="n">
        <v>0.006929636</v>
      </c>
      <c r="L641" s="1" t="n">
        <v>0.006985903</v>
      </c>
      <c r="M641" s="1" t="n">
        <v>0.007042408</v>
      </c>
      <c r="N641" s="1" t="n">
        <v>0.007178783</v>
      </c>
      <c r="O641" s="1" t="n">
        <v>0.00725913</v>
      </c>
      <c r="P641" s="1" t="n">
        <v>0.007405281</v>
      </c>
      <c r="R641" s="1" t="n">
        <f aca="false">PERCENTILE(G641:P641,0.9)</f>
        <v>0.0177066087</v>
      </c>
      <c r="S641" s="5" t="n">
        <f aca="false">spmv_1!R$18/R641</f>
        <v>4.37908410999109</v>
      </c>
      <c r="T641" s="6" t="n">
        <f aca="false">S641/128</f>
        <v>0.0342115946093054</v>
      </c>
    </row>
    <row r="642" customFormat="false" ht="15" hidden="false" customHeight="false" outlineLevel="0" collapsed="false">
      <c r="A642" s="1" t="s">
        <v>19</v>
      </c>
      <c r="B642" s="1" t="n">
        <v>116</v>
      </c>
      <c r="D642" s="1" t="n">
        <v>290248</v>
      </c>
      <c r="E642" s="1" t="n">
        <v>0.052901</v>
      </c>
      <c r="G642" s="1" t="n">
        <v>0.028401136</v>
      </c>
      <c r="H642" s="1" t="n">
        <v>0.016489983</v>
      </c>
      <c r="I642" s="1" t="n">
        <v>0.013296127</v>
      </c>
      <c r="J642" s="1" t="n">
        <v>0.007692337</v>
      </c>
      <c r="K642" s="1" t="n">
        <v>0.007095098</v>
      </c>
      <c r="L642" s="1" t="n">
        <v>0.007174969</v>
      </c>
      <c r="M642" s="1" t="n">
        <v>0.007218838</v>
      </c>
      <c r="N642" s="1" t="n">
        <v>0.00732398</v>
      </c>
      <c r="O642" s="1" t="n">
        <v>0.007396936</v>
      </c>
      <c r="P642" s="1" t="n">
        <v>0.007643223</v>
      </c>
      <c r="R642" s="1" t="n">
        <f aca="false">PERCENTILE(G642:P642,0.9)</f>
        <v>0.0176810983</v>
      </c>
      <c r="S642" s="5" t="n">
        <f aca="false">spmv_1!R$18/R642</f>
        <v>4.38540228012872</v>
      </c>
      <c r="T642" s="6" t="n">
        <f aca="false">S642/128</f>
        <v>0.0342609553135056</v>
      </c>
    </row>
    <row r="643" customFormat="false" ht="15" hidden="false" customHeight="false" outlineLevel="0" collapsed="false">
      <c r="A643" s="1" t="s">
        <v>19</v>
      </c>
      <c r="B643" s="1" t="n">
        <v>117</v>
      </c>
      <c r="D643" s="1" t="n">
        <v>286767</v>
      </c>
      <c r="E643" s="1" t="n">
        <v>0.052604</v>
      </c>
      <c r="G643" s="1" t="n">
        <v>0.028293848</v>
      </c>
      <c r="H643" s="1" t="n">
        <v>0.016364574</v>
      </c>
      <c r="I643" s="1" t="n">
        <v>0.013241529</v>
      </c>
      <c r="J643" s="1" t="n">
        <v>0.007665634</v>
      </c>
      <c r="K643" s="1" t="n">
        <v>0.007027388</v>
      </c>
      <c r="L643" s="1" t="n">
        <v>0.00711894</v>
      </c>
      <c r="M643" s="1" t="n">
        <v>0.00714159</v>
      </c>
      <c r="N643" s="1" t="n">
        <v>0.007258415</v>
      </c>
      <c r="O643" s="1" t="n">
        <v>0.007353067</v>
      </c>
      <c r="P643" s="1" t="n">
        <v>0.007563114</v>
      </c>
      <c r="R643" s="1" t="n">
        <f aca="false">PERCENTILE(G643:P643,0.9)</f>
        <v>0.0175575014</v>
      </c>
      <c r="S643" s="5" t="n">
        <f aca="false">spmv_1!R$18/R643</f>
        <v>4.41627353650674</v>
      </c>
      <c r="T643" s="6" t="n">
        <f aca="false">S643/128</f>
        <v>0.0345021370039589</v>
      </c>
    </row>
    <row r="644" customFormat="false" ht="15" hidden="false" customHeight="false" outlineLevel="0" collapsed="false">
      <c r="A644" s="1" t="s">
        <v>19</v>
      </c>
      <c r="B644" s="1" t="n">
        <v>118</v>
      </c>
      <c r="D644" s="1" t="n">
        <v>285250</v>
      </c>
      <c r="E644" s="1" t="n">
        <v>0.054567</v>
      </c>
      <c r="G644" s="1" t="n">
        <v>0.027939558</v>
      </c>
      <c r="H644" s="1" t="n">
        <v>0.01601696</v>
      </c>
      <c r="I644" s="1" t="n">
        <v>0.012719631</v>
      </c>
      <c r="J644" s="1" t="n">
        <v>0.007141352</v>
      </c>
      <c r="K644" s="1" t="n">
        <v>0.006535053</v>
      </c>
      <c r="L644" s="1" t="n">
        <v>0.006639004</v>
      </c>
      <c r="M644" s="1" t="n">
        <v>0.006732941</v>
      </c>
      <c r="N644" s="1" t="n">
        <v>0.006798267</v>
      </c>
      <c r="O644" s="1" t="n">
        <v>0.006901979</v>
      </c>
      <c r="P644" s="1" t="n">
        <v>0.007125378</v>
      </c>
      <c r="R644" s="1" t="n">
        <f aca="false">PERCENTILE(G644:P644,0.9)</f>
        <v>0.0172092198</v>
      </c>
      <c r="S644" s="5" t="n">
        <f aca="false">spmv_1!R$18/R644</f>
        <v>4.50565044209616</v>
      </c>
      <c r="T644" s="6" t="n">
        <f aca="false">S644/128</f>
        <v>0.0352003940788763</v>
      </c>
    </row>
    <row r="645" customFormat="false" ht="15" hidden="false" customHeight="false" outlineLevel="0" collapsed="false">
      <c r="A645" s="1" t="s">
        <v>19</v>
      </c>
      <c r="B645" s="1" t="n">
        <v>119</v>
      </c>
      <c r="D645" s="1" t="n">
        <v>296756</v>
      </c>
      <c r="E645" s="1" t="n">
        <v>0.05529</v>
      </c>
      <c r="G645" s="1" t="n">
        <v>0.027663708</v>
      </c>
      <c r="H645" s="1" t="n">
        <v>0.016326666</v>
      </c>
      <c r="I645" s="1" t="n">
        <v>0.013222456</v>
      </c>
      <c r="J645" s="1" t="n">
        <v>0.007725954</v>
      </c>
      <c r="K645" s="1" t="n">
        <v>0.006839514</v>
      </c>
      <c r="L645" s="1" t="n">
        <v>0.006917715</v>
      </c>
      <c r="M645" s="1" t="n">
        <v>0.006994009</v>
      </c>
      <c r="N645" s="1" t="n">
        <v>0.007108927</v>
      </c>
      <c r="O645" s="1" t="n">
        <v>0.007200003</v>
      </c>
      <c r="P645" s="1" t="n">
        <v>0.007345438</v>
      </c>
      <c r="R645" s="1" t="n">
        <f aca="false">PERCENTILE(G645:P645,0.9)</f>
        <v>0.0174603702</v>
      </c>
      <c r="S645" s="5" t="n">
        <f aca="false">spmv_1!R$18/R645</f>
        <v>4.44084105387411</v>
      </c>
      <c r="T645" s="6" t="n">
        <f aca="false">S645/128</f>
        <v>0.0346940707333914</v>
      </c>
    </row>
    <row r="646" customFormat="false" ht="15" hidden="false" customHeight="false" outlineLevel="0" collapsed="false">
      <c r="A646" s="1" t="s">
        <v>19</v>
      </c>
      <c r="B646" s="1" t="n">
        <v>120</v>
      </c>
      <c r="D646" s="1" t="n">
        <v>290199</v>
      </c>
      <c r="E646" s="1" t="n">
        <v>0.054363</v>
      </c>
      <c r="G646" s="1" t="n">
        <v>0.027588129</v>
      </c>
      <c r="H646" s="1" t="n">
        <v>0.016242981</v>
      </c>
      <c r="I646" s="1" t="n">
        <v>0.013172865</v>
      </c>
      <c r="J646" s="1" t="n">
        <v>0.00770545</v>
      </c>
      <c r="K646" s="1" t="n">
        <v>0.006806612</v>
      </c>
      <c r="L646" s="1" t="n">
        <v>0.006844521</v>
      </c>
      <c r="M646" s="1" t="n">
        <v>0.006919622</v>
      </c>
      <c r="N646" s="1" t="n">
        <v>0.007091761</v>
      </c>
      <c r="O646" s="1" t="n">
        <v>0.007153988</v>
      </c>
      <c r="P646" s="1" t="n">
        <v>0.007237911</v>
      </c>
      <c r="R646" s="1" t="n">
        <f aca="false">PERCENTILE(G646:P646,0.9)</f>
        <v>0.0173774958</v>
      </c>
      <c r="S646" s="5" t="n">
        <f aca="false">spmv_1!R$18/R646</f>
        <v>4.46201971172394</v>
      </c>
      <c r="T646" s="6" t="n">
        <f aca="false">S646/128</f>
        <v>0.0348595289978433</v>
      </c>
    </row>
    <row r="647" customFormat="false" ht="15" hidden="false" customHeight="false" outlineLevel="0" collapsed="false">
      <c r="A647" s="1" t="s">
        <v>19</v>
      </c>
      <c r="B647" s="1" t="n">
        <v>121</v>
      </c>
      <c r="D647" s="1" t="n">
        <v>287072</v>
      </c>
      <c r="E647" s="1" t="n">
        <v>0.053917</v>
      </c>
      <c r="G647" s="1" t="n">
        <v>0.027516842</v>
      </c>
      <c r="H647" s="1" t="n">
        <v>0.016181231</v>
      </c>
      <c r="I647" s="1" t="n">
        <v>0.013162851</v>
      </c>
      <c r="J647" s="1" t="n">
        <v>0.007685423</v>
      </c>
      <c r="K647" s="1" t="n">
        <v>0.006787062</v>
      </c>
      <c r="L647" s="1" t="n">
        <v>0.006836176</v>
      </c>
      <c r="M647" s="1" t="n">
        <v>0.006897449</v>
      </c>
      <c r="N647" s="1" t="n">
        <v>0.007069588</v>
      </c>
      <c r="O647" s="1" t="n">
        <v>0.007130623</v>
      </c>
      <c r="P647" s="1" t="n">
        <v>0.007219076</v>
      </c>
      <c r="R647" s="1" t="n">
        <f aca="false">PERCENTILE(G647:P647,0.9)</f>
        <v>0.0173147921</v>
      </c>
      <c r="S647" s="5" t="n">
        <f aca="false">spmv_1!R$18/R647</f>
        <v>4.4781784472018</v>
      </c>
      <c r="T647" s="6" t="n">
        <f aca="false">S647/128</f>
        <v>0.0349857691187641</v>
      </c>
    </row>
    <row r="648" customFormat="false" ht="15" hidden="false" customHeight="false" outlineLevel="0" collapsed="false">
      <c r="A648" s="1" t="s">
        <v>19</v>
      </c>
      <c r="B648" s="1" t="n">
        <v>122</v>
      </c>
      <c r="D648" s="1" t="n">
        <v>284843</v>
      </c>
      <c r="E648" s="1" t="n">
        <v>0.053801</v>
      </c>
      <c r="G648" s="1" t="n">
        <v>0.027187586</v>
      </c>
      <c r="H648" s="1" t="n">
        <v>0.016145229</v>
      </c>
      <c r="I648" s="1" t="n">
        <v>0.013170719</v>
      </c>
      <c r="J648" s="1" t="n">
        <v>0.007643223</v>
      </c>
      <c r="K648" s="1" t="n">
        <v>0.006752491</v>
      </c>
      <c r="L648" s="1" t="n">
        <v>0.006773949</v>
      </c>
      <c r="M648" s="1" t="n">
        <v>0.006874561</v>
      </c>
      <c r="N648" s="1" t="n">
        <v>0.00702858</v>
      </c>
      <c r="O648" s="1" t="n">
        <v>0.007111073</v>
      </c>
      <c r="P648" s="1" t="n">
        <v>0.007200241</v>
      </c>
      <c r="R648" s="1" t="n">
        <f aca="false">PERCENTILE(G648:P648,0.9)</f>
        <v>0.0172494647</v>
      </c>
      <c r="S648" s="5" t="n">
        <f aca="false">spmv_1!R$18/R648</f>
        <v>4.49513826362391</v>
      </c>
      <c r="T648" s="6" t="n">
        <f aca="false">S648/128</f>
        <v>0.0351182676845618</v>
      </c>
    </row>
    <row r="649" customFormat="false" ht="15" hidden="false" customHeight="false" outlineLevel="0" collapsed="false">
      <c r="A649" s="1" t="s">
        <v>19</v>
      </c>
      <c r="B649" s="1" t="n">
        <v>123</v>
      </c>
      <c r="D649" s="1" t="n">
        <v>297197</v>
      </c>
      <c r="E649" s="1" t="n">
        <v>0.05684</v>
      </c>
      <c r="G649" s="1" t="n">
        <v>0.027029991</v>
      </c>
      <c r="H649" s="1" t="n">
        <v>0.016038418</v>
      </c>
      <c r="I649" s="1" t="n">
        <v>0.013101339</v>
      </c>
      <c r="J649" s="1" t="n">
        <v>0.007608414</v>
      </c>
      <c r="K649" s="1" t="n">
        <v>0.006641388</v>
      </c>
      <c r="L649" s="1" t="n">
        <v>0.006614685</v>
      </c>
      <c r="M649" s="1" t="n">
        <v>0.006672382</v>
      </c>
      <c r="N649" s="1" t="n">
        <v>0.0068748</v>
      </c>
      <c r="O649" s="1" t="n">
        <v>0.00698328</v>
      </c>
      <c r="P649" s="1" t="n">
        <v>0.007008076</v>
      </c>
      <c r="R649" s="1" t="n">
        <f aca="false">PERCENTILE(G649:P649,0.9)</f>
        <v>0.0171375753</v>
      </c>
      <c r="S649" s="5" t="n">
        <f aca="false">spmv_1!R$18/R649</f>
        <v>4.52448654157044</v>
      </c>
      <c r="T649" s="6" t="n">
        <f aca="false">S649/128</f>
        <v>0.0353475511060191</v>
      </c>
    </row>
    <row r="650" customFormat="false" ht="15" hidden="false" customHeight="false" outlineLevel="0" collapsed="false">
      <c r="A650" s="1" t="s">
        <v>19</v>
      </c>
      <c r="B650" s="1" t="n">
        <v>124</v>
      </c>
      <c r="D650" s="1" t="n">
        <v>290308</v>
      </c>
      <c r="E650" s="1" t="n">
        <v>0.05578</v>
      </c>
      <c r="G650" s="1" t="n">
        <v>0.026550055</v>
      </c>
      <c r="H650" s="1" t="n">
        <v>0.016014814</v>
      </c>
      <c r="I650" s="1" t="n">
        <v>0.013108015</v>
      </c>
      <c r="J650" s="1" t="n">
        <v>0.007612467</v>
      </c>
      <c r="K650" s="1" t="n">
        <v>0.006629944</v>
      </c>
      <c r="L650" s="1" t="n">
        <v>0.006627083</v>
      </c>
      <c r="M650" s="1" t="n">
        <v>0.006666899</v>
      </c>
      <c r="N650" s="1" t="n">
        <v>0.006886959</v>
      </c>
      <c r="O650" s="1" t="n">
        <v>0.006983757</v>
      </c>
      <c r="P650" s="1" t="n">
        <v>0.007009745</v>
      </c>
      <c r="R650" s="1" t="n">
        <f aca="false">PERCENTILE(G650:P650,0.9)</f>
        <v>0.0170683381</v>
      </c>
      <c r="S650" s="5" t="n">
        <f aca="false">spmv_1!R$18/R650</f>
        <v>4.54283998510669</v>
      </c>
      <c r="T650" s="6" t="n">
        <f aca="false">S650/128</f>
        <v>0.035490937383646</v>
      </c>
    </row>
    <row r="651" customFormat="false" ht="15" hidden="false" customHeight="false" outlineLevel="0" collapsed="false">
      <c r="A651" s="1" t="s">
        <v>19</v>
      </c>
      <c r="B651" s="1" t="n">
        <v>125</v>
      </c>
      <c r="D651" s="1" t="n">
        <v>286855</v>
      </c>
      <c r="E651" s="1" t="n">
        <v>0.055631</v>
      </c>
      <c r="G651" s="1" t="n">
        <v>0.026193142</v>
      </c>
      <c r="H651" s="1" t="n">
        <v>0.01596427</v>
      </c>
      <c r="I651" s="1" t="n">
        <v>0.013072491</v>
      </c>
      <c r="J651" s="1" t="n">
        <v>0.007549286</v>
      </c>
      <c r="K651" s="1" t="n">
        <v>0.006540298</v>
      </c>
      <c r="L651" s="1" t="n">
        <v>0.006539345</v>
      </c>
      <c r="M651" s="1" t="n">
        <v>0.006625414</v>
      </c>
      <c r="N651" s="1" t="n">
        <v>0.006764889</v>
      </c>
      <c r="O651" s="1" t="n">
        <v>0.006917</v>
      </c>
      <c r="P651" s="1" t="n">
        <v>0.006961346</v>
      </c>
      <c r="R651" s="1" t="n">
        <f aca="false">PERCENTILE(G651:P651,0.9)</f>
        <v>0.0169871572</v>
      </c>
      <c r="S651" s="5" t="n">
        <f aca="false">spmv_1!R$18/R651</f>
        <v>4.5645500237085</v>
      </c>
      <c r="T651" s="6" t="n">
        <f aca="false">S651/128</f>
        <v>0.0356605470602227</v>
      </c>
    </row>
    <row r="652" customFormat="false" ht="15" hidden="false" customHeight="false" outlineLevel="0" collapsed="false">
      <c r="A652" s="1" t="s">
        <v>19</v>
      </c>
      <c r="B652" s="1" t="n">
        <v>126</v>
      </c>
      <c r="D652" s="1" t="n">
        <v>285657</v>
      </c>
      <c r="E652" s="1" t="n">
        <v>0.057111</v>
      </c>
      <c r="G652" s="1" t="n">
        <v>0.026089191</v>
      </c>
      <c r="H652" s="1" t="n">
        <v>0.015817881</v>
      </c>
      <c r="I652" s="1" t="n">
        <v>0.013067484</v>
      </c>
      <c r="J652" s="1" t="n">
        <v>0.007621527</v>
      </c>
      <c r="K652" s="1" t="n">
        <v>0.00598073</v>
      </c>
      <c r="L652" s="1" t="n">
        <v>0.006144762</v>
      </c>
      <c r="M652" s="1" t="n">
        <v>0.006168127</v>
      </c>
      <c r="N652" s="1" t="n">
        <v>0.006295681</v>
      </c>
      <c r="O652" s="1" t="n">
        <v>0.006434917</v>
      </c>
      <c r="P652" s="1" t="n">
        <v>0.006416082</v>
      </c>
      <c r="R652" s="1" t="n">
        <f aca="false">PERCENTILE(G652:P652,0.9)</f>
        <v>0.016845012</v>
      </c>
      <c r="S652" s="5" t="n">
        <f aca="false">spmv_1!R$18/R652</f>
        <v>4.60306759057221</v>
      </c>
      <c r="T652" s="6" t="n">
        <f aca="false">S652/128</f>
        <v>0.0359614655513454</v>
      </c>
    </row>
    <row r="653" customFormat="false" ht="15" hidden="false" customHeight="false" outlineLevel="0" collapsed="false">
      <c r="A653" s="1" t="s">
        <v>19</v>
      </c>
      <c r="B653" s="1" t="n">
        <v>127</v>
      </c>
      <c r="D653" s="1" t="n">
        <v>297697</v>
      </c>
      <c r="E653" s="1" t="n">
        <v>0.059869</v>
      </c>
      <c r="G653" s="1" t="n">
        <v>0.025664806</v>
      </c>
      <c r="H653" s="1" t="n">
        <v>0.015777349</v>
      </c>
      <c r="I653" s="1" t="n">
        <v>0.012937307</v>
      </c>
      <c r="J653" s="1" t="n">
        <v>0.007769108</v>
      </c>
      <c r="K653" s="1" t="n">
        <v>0.005931377</v>
      </c>
      <c r="L653" s="1" t="n">
        <v>0.00612092</v>
      </c>
      <c r="M653" s="1" t="n">
        <v>0.006155968</v>
      </c>
      <c r="N653" s="1" t="n">
        <v>0.006283045</v>
      </c>
      <c r="O653" s="1" t="n">
        <v>0.006406546</v>
      </c>
      <c r="P653" s="1" t="n">
        <v>0.006402254</v>
      </c>
      <c r="R653" s="1" t="n">
        <f aca="false">PERCENTILE(G653:P653,0.9)</f>
        <v>0.0167660947</v>
      </c>
      <c r="S653" s="5" t="n">
        <f aca="false">spmv_1!R$18/R653</f>
        <v>4.62473403541017</v>
      </c>
      <c r="T653" s="6" t="n">
        <f aca="false">S653/128</f>
        <v>0.0361307346516419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653"/>
  <sheetViews>
    <sheetView showFormulas="false" showGridLines="true" showRowColHeaders="true" showZeros="true" rightToLeft="false" tabSelected="false" showOutlineSymbols="true" defaultGridColor="true" view="normal" topLeftCell="A244" colorId="64" zoomScale="100" zoomScaleNormal="100" zoomScalePageLayoutView="100" workbookViewId="0">
      <selection pane="topLeft" activeCell="E261" activeCellId="0" sqref="E261"/>
    </sheetView>
  </sheetViews>
  <sheetFormatPr defaultColWidth="8.6171875" defaultRowHeight="15" customHeight="true" zeroHeight="false" outlineLevelRow="0" outlineLevelCol="0"/>
  <cols>
    <col collapsed="false" customWidth="true" hidden="false" outlineLevel="0" max="1" min="1" style="1" width="13.34"/>
    <col collapsed="false" customWidth="true" hidden="false" outlineLevel="0" max="3" min="3" style="1" width="6.25"/>
    <col collapsed="false" customWidth="true" hidden="false" outlineLevel="0" max="5" min="4" style="1" width="13.34"/>
    <col collapsed="false" customWidth="true" hidden="false" outlineLevel="0" max="6" min="6" style="1" width="6.25"/>
    <col collapsed="false" customWidth="true" hidden="false" outlineLevel="0" max="16" min="7" style="1" width="13.34"/>
    <col collapsed="false" customWidth="true" hidden="false" outlineLevel="0" max="17" min="17" style="1" width="6.25"/>
    <col collapsed="false" customWidth="true" hidden="false" outlineLevel="0" max="18" min="18" style="1" width="13.34"/>
    <col collapsed="false" customWidth="true" hidden="false" outlineLevel="0" max="19" min="19" style="5" width="13.34"/>
    <col collapsed="false" customWidth="true" hidden="false" outlineLevel="0" max="20" min="20" style="6" width="13.34"/>
    <col collapsed="false" customWidth="true" hidden="false" outlineLevel="0" max="16384" min="16384" style="1" width="10.49"/>
  </cols>
  <sheetData>
    <row r="1" customFormat="false" ht="15" hidden="false" customHeight="false" outlineLevel="0" collapsed="false">
      <c r="A1" s="2" t="s">
        <v>0</v>
      </c>
      <c r="B1" s="2" t="s">
        <v>1</v>
      </c>
      <c r="C1" s="3"/>
      <c r="D1" s="2" t="s">
        <v>2</v>
      </c>
      <c r="E1" s="2" t="s">
        <v>3</v>
      </c>
      <c r="F1" s="3"/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R1" s="4" t="s">
        <v>14</v>
      </c>
      <c r="S1" s="7" t="s">
        <v>20</v>
      </c>
      <c r="T1" s="8" t="s">
        <v>21</v>
      </c>
    </row>
    <row r="2" customFormat="false" ht="15" hidden="false" customHeight="false" outlineLevel="0" collapsed="false">
      <c r="A2" s="1" t="s">
        <v>15</v>
      </c>
      <c r="B2" s="1" t="n">
        <v>0</v>
      </c>
      <c r="D2" s="1" t="n">
        <v>84788</v>
      </c>
      <c r="E2" s="1" t="n">
        <v>0.03398</v>
      </c>
      <c r="G2" s="1" t="n">
        <v>0.005281925</v>
      </c>
      <c r="H2" s="1" t="n">
        <v>0.004791021</v>
      </c>
      <c r="I2" s="1" t="n">
        <v>0.005017281</v>
      </c>
      <c r="J2" s="1" t="n">
        <v>0.004926443</v>
      </c>
      <c r="K2" s="1" t="n">
        <v>0.004880428</v>
      </c>
      <c r="L2" s="1" t="n">
        <v>0.004829884</v>
      </c>
      <c r="M2" s="1" t="n">
        <v>0.00478673</v>
      </c>
      <c r="N2" s="1" t="n">
        <v>0.004770756</v>
      </c>
      <c r="O2" s="1" t="n">
        <v>0.004736662</v>
      </c>
      <c r="P2" s="1" t="n">
        <v>0.005883217</v>
      </c>
      <c r="R2" s="1" t="n">
        <f aca="false">PERCENTILE(G2:P2,0.9)</f>
        <v>0.0053420542</v>
      </c>
      <c r="S2" s="5" t="n">
        <f aca="false">spmv_1!R$2/R2</f>
        <v>3.26152595007366</v>
      </c>
      <c r="T2" s="6" t="n">
        <f aca="false">S2/128</f>
        <v>0.0254806714849505</v>
      </c>
    </row>
    <row r="3" customFormat="false" ht="15" hidden="false" customHeight="false" outlineLevel="0" collapsed="false">
      <c r="A3" s="1" t="s">
        <v>15</v>
      </c>
      <c r="B3" s="1" t="n">
        <v>1</v>
      </c>
      <c r="D3" s="1" t="n">
        <v>84471</v>
      </c>
      <c r="E3" s="1" t="n">
        <v>0.034505</v>
      </c>
      <c r="G3" s="1" t="n">
        <v>0.005246401</v>
      </c>
      <c r="H3" s="1" t="n">
        <v>0.004750729</v>
      </c>
      <c r="I3" s="1" t="n">
        <v>0.004831791</v>
      </c>
      <c r="J3" s="1" t="n">
        <v>0.004778862</v>
      </c>
      <c r="K3" s="1" t="n">
        <v>0.004767895</v>
      </c>
      <c r="L3" s="1" t="n">
        <v>0.004740238</v>
      </c>
      <c r="M3" s="1" t="n">
        <v>0.004703045</v>
      </c>
      <c r="N3" s="1" t="n">
        <v>0.004698038</v>
      </c>
      <c r="O3" s="1" t="n">
        <v>0.00466156</v>
      </c>
      <c r="P3" s="1" t="n">
        <v>0.005783081</v>
      </c>
      <c r="R3" s="1" t="n">
        <f aca="false">PERCENTILE(G3:P3,0.9)</f>
        <v>0.005300069</v>
      </c>
      <c r="S3" s="5" t="n">
        <f aca="false">spmv_1!R$2/R3</f>
        <v>3.28736256075157</v>
      </c>
      <c r="T3" s="6" t="n">
        <f aca="false">S3/128</f>
        <v>0.0256825200058716</v>
      </c>
    </row>
    <row r="4" customFormat="false" ht="15" hidden="false" customHeight="false" outlineLevel="0" collapsed="false">
      <c r="A4" s="1" t="s">
        <v>15</v>
      </c>
      <c r="B4" s="1" t="n">
        <v>2</v>
      </c>
      <c r="D4" s="1" t="n">
        <v>84398</v>
      </c>
      <c r="E4" s="1" t="n">
        <v>0.034682</v>
      </c>
      <c r="G4" s="1" t="n">
        <v>0.005246162</v>
      </c>
      <c r="H4" s="1" t="n">
        <v>0.004718304</v>
      </c>
      <c r="I4" s="1" t="n">
        <v>0.004798651</v>
      </c>
      <c r="J4" s="1" t="n">
        <v>0.004741192</v>
      </c>
      <c r="K4" s="1" t="n">
        <v>0.004738331</v>
      </c>
      <c r="L4" s="1" t="n">
        <v>0.004705667</v>
      </c>
      <c r="M4" s="1" t="n">
        <v>0.004673481</v>
      </c>
      <c r="N4" s="1" t="n">
        <v>0.004664898</v>
      </c>
      <c r="O4" s="1" t="n">
        <v>0.004631042</v>
      </c>
      <c r="P4" s="1" t="n">
        <v>0.005752563</v>
      </c>
      <c r="R4" s="1" t="n">
        <f aca="false">PERCENTILE(G4:P4,0.9)</f>
        <v>0.0052968021</v>
      </c>
      <c r="S4" s="5" t="n">
        <f aca="false">spmv_1!R$2/R4</f>
        <v>3.28939010200136</v>
      </c>
      <c r="T4" s="6" t="n">
        <f aca="false">S4/128</f>
        <v>0.0256983601718856</v>
      </c>
    </row>
    <row r="5" customFormat="false" ht="15" hidden="false" customHeight="false" outlineLevel="0" collapsed="false">
      <c r="A5" s="1" t="s">
        <v>15</v>
      </c>
      <c r="B5" s="1" t="n">
        <v>3</v>
      </c>
      <c r="D5" s="1" t="n">
        <v>83229</v>
      </c>
      <c r="E5" s="1" t="n">
        <v>0.034494</v>
      </c>
      <c r="G5" s="1" t="n">
        <v>0.005186796</v>
      </c>
      <c r="H5" s="1" t="n">
        <v>0.004671812</v>
      </c>
      <c r="I5" s="1" t="n">
        <v>0.004756927</v>
      </c>
      <c r="J5" s="1" t="n">
        <v>0.004704952</v>
      </c>
      <c r="K5" s="1" t="n">
        <v>0.004700899</v>
      </c>
      <c r="L5" s="1" t="n">
        <v>0.004667282</v>
      </c>
      <c r="M5" s="1" t="n">
        <v>0.004636526</v>
      </c>
      <c r="N5" s="1" t="n">
        <v>0.004629135</v>
      </c>
      <c r="O5" s="1" t="n">
        <v>0.004590034</v>
      </c>
      <c r="P5" s="1" t="n">
        <v>0.005712748</v>
      </c>
      <c r="R5" s="1" t="n">
        <f aca="false">PERCENTILE(G5:P5,0.9)</f>
        <v>0.0052393912</v>
      </c>
      <c r="S5" s="5" t="n">
        <f aca="false">spmv_1!R$2/R5</f>
        <v>3.32543376413657</v>
      </c>
      <c r="T5" s="6" t="n">
        <f aca="false">S5/128</f>
        <v>0.0259799512823169</v>
      </c>
    </row>
    <row r="6" customFormat="false" ht="15" hidden="false" customHeight="false" outlineLevel="0" collapsed="false">
      <c r="A6" s="1" t="s">
        <v>15</v>
      </c>
      <c r="B6" s="1" t="n">
        <v>4</v>
      </c>
      <c r="D6" s="1" t="n">
        <v>83097</v>
      </c>
      <c r="E6" s="1" t="n">
        <v>0.034576</v>
      </c>
      <c r="G6" s="1" t="n">
        <v>0.005162477</v>
      </c>
      <c r="H6" s="1" t="n">
        <v>0.0046556</v>
      </c>
      <c r="I6" s="1" t="n">
        <v>0.004736662</v>
      </c>
      <c r="J6" s="1" t="n">
        <v>0.004689693</v>
      </c>
      <c r="K6" s="1" t="n">
        <v>0.004681587</v>
      </c>
      <c r="L6" s="1" t="n">
        <v>0.004650831</v>
      </c>
      <c r="M6" s="1" t="n">
        <v>0.004619598</v>
      </c>
      <c r="N6" s="1" t="n">
        <v>0.004601002</v>
      </c>
      <c r="O6" s="1" t="n">
        <v>0.004571915</v>
      </c>
      <c r="P6" s="1" t="n">
        <v>0.005696535</v>
      </c>
      <c r="R6" s="1" t="n">
        <f aca="false">PERCENTILE(G6:P6,0.9)</f>
        <v>0.0052158828</v>
      </c>
      <c r="S6" s="5" t="n">
        <f aca="false">spmv_1!R$2/R6</f>
        <v>3.34042175947665</v>
      </c>
      <c r="T6" s="6" t="n">
        <f aca="false">S6/128</f>
        <v>0.0260970449959113</v>
      </c>
    </row>
    <row r="7" customFormat="false" ht="15" hidden="false" customHeight="false" outlineLevel="0" collapsed="false">
      <c r="A7" s="1" t="s">
        <v>15</v>
      </c>
      <c r="B7" s="1" t="n">
        <v>5</v>
      </c>
      <c r="D7" s="1" t="n">
        <v>83185</v>
      </c>
      <c r="E7" s="1" t="n">
        <v>0.034838</v>
      </c>
      <c r="G7" s="1" t="n">
        <v>0.005135775</v>
      </c>
      <c r="H7" s="1" t="n">
        <v>0.004624367</v>
      </c>
      <c r="I7" s="1" t="n">
        <v>0.004715443</v>
      </c>
      <c r="J7" s="1" t="n">
        <v>0.004660845</v>
      </c>
      <c r="K7" s="1" t="n">
        <v>0.004645824</v>
      </c>
      <c r="L7" s="1" t="n">
        <v>0.004617691</v>
      </c>
      <c r="M7" s="1" t="n">
        <v>0.004581213</v>
      </c>
      <c r="N7" s="1" t="n">
        <v>0.004570246</v>
      </c>
      <c r="O7" s="1" t="n">
        <v>0.00453949</v>
      </c>
      <c r="P7" s="1" t="n">
        <v>0.005663872</v>
      </c>
      <c r="R7" s="1" t="n">
        <f aca="false">PERCENTILE(G7:P7,0.9)</f>
        <v>0.0051885847</v>
      </c>
      <c r="S7" s="5" t="n">
        <f aca="false">spmv_1!R$2/R7</f>
        <v>3.35799633375938</v>
      </c>
      <c r="T7" s="6" t="n">
        <f aca="false">S7/128</f>
        <v>0.0262343463574951</v>
      </c>
    </row>
    <row r="8" customFormat="false" ht="15" hidden="false" customHeight="false" outlineLevel="0" collapsed="false">
      <c r="A8" s="1" t="s">
        <v>15</v>
      </c>
      <c r="B8" s="1" t="n">
        <v>6</v>
      </c>
      <c r="D8" s="1" t="n">
        <v>82696</v>
      </c>
      <c r="E8" s="1" t="n">
        <v>0.034932</v>
      </c>
      <c r="G8" s="1" t="n">
        <v>0.005084276</v>
      </c>
      <c r="H8" s="1" t="n">
        <v>0.00458312</v>
      </c>
      <c r="I8" s="1" t="n">
        <v>0.004670382</v>
      </c>
      <c r="J8" s="1" t="n">
        <v>0.004615307</v>
      </c>
      <c r="K8" s="1" t="n">
        <v>0.00460577</v>
      </c>
      <c r="L8" s="1" t="n">
        <v>0.004574299</v>
      </c>
      <c r="M8" s="1" t="n">
        <v>0.004547834</v>
      </c>
      <c r="N8" s="1" t="n">
        <v>0.004534721</v>
      </c>
      <c r="O8" s="1" t="n">
        <v>0.004506111</v>
      </c>
      <c r="P8" s="1" t="n">
        <v>0.005624533</v>
      </c>
      <c r="R8" s="1" t="n">
        <f aca="false">PERCENTILE(G8:P8,0.9)</f>
        <v>0.0051383017</v>
      </c>
      <c r="S8" s="5" t="n">
        <f aca="false">spmv_1!R$2/R8</f>
        <v>3.39085741111698</v>
      </c>
      <c r="T8" s="6" t="n">
        <f aca="false">S8/128</f>
        <v>0.0264910735243514</v>
      </c>
    </row>
    <row r="9" customFormat="false" ht="15" hidden="false" customHeight="false" outlineLevel="0" collapsed="false">
      <c r="A9" s="1" t="s">
        <v>15</v>
      </c>
      <c r="B9" s="1" t="n">
        <v>7</v>
      </c>
      <c r="D9" s="1" t="n">
        <v>82836</v>
      </c>
      <c r="E9" s="1" t="n">
        <v>0.035627</v>
      </c>
      <c r="G9" s="1" t="n">
        <v>0.005081654</v>
      </c>
      <c r="H9" s="1" t="n">
        <v>0.004566908</v>
      </c>
      <c r="I9" s="1" t="n">
        <v>0.004656315</v>
      </c>
      <c r="J9" s="1" t="n">
        <v>0.004596472</v>
      </c>
      <c r="K9" s="1" t="n">
        <v>0.004589558</v>
      </c>
      <c r="L9" s="1" t="n">
        <v>0.00455308</v>
      </c>
      <c r="M9" s="1" t="n">
        <v>0.004529476</v>
      </c>
      <c r="N9" s="1" t="n">
        <v>0.004518986</v>
      </c>
      <c r="O9" s="1" t="n">
        <v>0.004489422</v>
      </c>
      <c r="P9" s="1" t="n">
        <v>0.004919291</v>
      </c>
      <c r="R9" s="1" t="n">
        <f aca="false">PERCENTILE(G9:P9,0.9)</f>
        <v>0.0049355273</v>
      </c>
      <c r="S9" s="5" t="n">
        <f aca="false">spmv_1!R$2/R9</f>
        <v>3.53016959302403</v>
      </c>
      <c r="T9" s="6" t="n">
        <f aca="false">S9/128</f>
        <v>0.0275794499455002</v>
      </c>
    </row>
    <row r="10" customFormat="false" ht="15" hidden="false" customHeight="false" outlineLevel="0" collapsed="false">
      <c r="A10" s="1" t="s">
        <v>15</v>
      </c>
      <c r="B10" s="1" t="n">
        <v>8</v>
      </c>
      <c r="D10" s="1" t="n">
        <v>82791</v>
      </c>
      <c r="E10" s="1" t="n">
        <v>0.035551</v>
      </c>
      <c r="G10" s="1" t="n">
        <v>0.005194426</v>
      </c>
      <c r="H10" s="1" t="n">
        <v>0.00457859</v>
      </c>
      <c r="I10" s="1" t="n">
        <v>0.004603386</v>
      </c>
      <c r="J10" s="1" t="n">
        <v>0.004677057</v>
      </c>
      <c r="K10" s="1" t="n">
        <v>0.004567862</v>
      </c>
      <c r="L10" s="1" t="n">
        <v>0.004539251</v>
      </c>
      <c r="M10" s="1" t="n">
        <v>0.00451231</v>
      </c>
      <c r="N10" s="1" t="n">
        <v>0.004497766</v>
      </c>
      <c r="O10" s="1" t="n">
        <v>0.004501581</v>
      </c>
      <c r="P10" s="1" t="n">
        <v>0.00490427</v>
      </c>
      <c r="R10" s="1" t="n">
        <f aca="false">PERCENTILE(G10:P10,0.9)</f>
        <v>0.0049332856</v>
      </c>
      <c r="S10" s="5" t="n">
        <f aca="false">spmv_1!R$2/R10</f>
        <v>3.53177371283755</v>
      </c>
      <c r="T10" s="6" t="n">
        <f aca="false">S10/128</f>
        <v>0.0275919821315433</v>
      </c>
    </row>
    <row r="11" customFormat="false" ht="15" hidden="false" customHeight="false" outlineLevel="0" collapsed="false">
      <c r="A11" s="1" t="s">
        <v>15</v>
      </c>
      <c r="B11" s="1" t="n">
        <v>9</v>
      </c>
      <c r="D11" s="1" t="n">
        <v>82835</v>
      </c>
      <c r="E11" s="1" t="n">
        <v>0.03597</v>
      </c>
      <c r="G11" s="1" t="n">
        <v>0.005166531</v>
      </c>
      <c r="H11" s="1" t="n">
        <v>0.004520893</v>
      </c>
      <c r="I11" s="1" t="n">
        <v>0.004543066</v>
      </c>
      <c r="J11" s="1" t="n">
        <v>0.004620314</v>
      </c>
      <c r="K11" s="1" t="n">
        <v>0.004515171</v>
      </c>
      <c r="L11" s="1" t="n">
        <v>0.00449276</v>
      </c>
      <c r="M11" s="1" t="n">
        <v>0.004463196</v>
      </c>
      <c r="N11" s="1" t="n">
        <v>0.004452944</v>
      </c>
      <c r="O11" s="1" t="n">
        <v>0.00445652</v>
      </c>
      <c r="P11" s="1" t="n">
        <v>0.004826784</v>
      </c>
      <c r="R11" s="1" t="n">
        <f aca="false">PERCENTILE(G11:P11,0.9)</f>
        <v>0.0048607587</v>
      </c>
      <c r="S11" s="5" t="n">
        <f aca="false">spmv_1!R$2/R11</f>
        <v>3.58447095923523</v>
      </c>
      <c r="T11" s="6" t="n">
        <f aca="false">S11/128</f>
        <v>0.0280036793690252</v>
      </c>
    </row>
    <row r="12" customFormat="false" ht="15" hidden="false" customHeight="false" outlineLevel="0" collapsed="false">
      <c r="A12" s="1" t="s">
        <v>15</v>
      </c>
      <c r="B12" s="1" t="n">
        <v>10</v>
      </c>
      <c r="D12" s="1" t="n">
        <v>82711</v>
      </c>
      <c r="E12" s="1" t="n">
        <v>0.036043</v>
      </c>
      <c r="G12" s="1" t="n">
        <v>0.005168915</v>
      </c>
      <c r="H12" s="1" t="n">
        <v>0.004504919</v>
      </c>
      <c r="I12" s="1" t="n">
        <v>0.004532337</v>
      </c>
      <c r="J12" s="1" t="n">
        <v>0.004603386</v>
      </c>
      <c r="K12" s="1" t="n">
        <v>0.004487753</v>
      </c>
      <c r="L12" s="1" t="n">
        <v>0.004477501</v>
      </c>
      <c r="M12" s="1" t="n">
        <v>0.004449844</v>
      </c>
      <c r="N12" s="1" t="n">
        <v>0.004427195</v>
      </c>
      <c r="O12" s="1" t="n">
        <v>0.004445314</v>
      </c>
      <c r="P12" s="1" t="n">
        <v>0.004798651</v>
      </c>
      <c r="R12" s="1" t="n">
        <f aca="false">PERCENTILE(G12:P12,0.9)</f>
        <v>0.0048356774</v>
      </c>
      <c r="S12" s="5" t="n">
        <f aca="false">spmv_1!R$2/R12</f>
        <v>3.60306260297678</v>
      </c>
      <c r="T12" s="6" t="n">
        <f aca="false">S12/128</f>
        <v>0.0281489265857561</v>
      </c>
    </row>
    <row r="13" customFormat="false" ht="15" hidden="false" customHeight="false" outlineLevel="0" collapsed="false">
      <c r="A13" s="1" t="s">
        <v>15</v>
      </c>
      <c r="B13" s="1" t="n">
        <v>11</v>
      </c>
      <c r="D13" s="1" t="n">
        <v>82828</v>
      </c>
      <c r="E13" s="1" t="n">
        <v>0.036349</v>
      </c>
      <c r="G13" s="1" t="n">
        <v>0.005153894</v>
      </c>
      <c r="H13" s="1" t="n">
        <v>0.00447154</v>
      </c>
      <c r="I13" s="1" t="n">
        <v>0.004494905</v>
      </c>
      <c r="J13" s="1" t="n">
        <v>0.004574299</v>
      </c>
      <c r="K13" s="1" t="n">
        <v>0.004458666</v>
      </c>
      <c r="L13" s="1" t="n">
        <v>0.004444361</v>
      </c>
      <c r="M13" s="1" t="n">
        <v>0.004409075</v>
      </c>
      <c r="N13" s="1" t="n">
        <v>0.004392624</v>
      </c>
      <c r="O13" s="1" t="n">
        <v>0.004408121</v>
      </c>
      <c r="P13" s="1" t="n">
        <v>0.004766226</v>
      </c>
      <c r="R13" s="1" t="n">
        <f aca="false">PERCENTILE(G13:P13,0.9)</f>
        <v>0.0048049928</v>
      </c>
      <c r="S13" s="5" t="n">
        <f aca="false">spmv_1!R$2/R13</f>
        <v>3.62607169775572</v>
      </c>
      <c r="T13" s="6" t="n">
        <f aca="false">S13/128</f>
        <v>0.0283286851387165</v>
      </c>
    </row>
    <row r="14" customFormat="false" ht="15" hidden="false" customHeight="false" outlineLevel="0" collapsed="false">
      <c r="A14" s="1" t="s">
        <v>15</v>
      </c>
      <c r="B14" s="1" t="n">
        <v>12</v>
      </c>
      <c r="D14" s="1" t="n">
        <v>83382</v>
      </c>
      <c r="E14" s="1" t="n">
        <v>0.036718</v>
      </c>
      <c r="G14" s="1" t="n">
        <v>0.005154133</v>
      </c>
      <c r="H14" s="1" t="n">
        <v>0.004448891</v>
      </c>
      <c r="I14" s="1" t="n">
        <v>0.004468441</v>
      </c>
      <c r="J14" s="1" t="n">
        <v>0.00453496</v>
      </c>
      <c r="K14" s="1" t="n">
        <v>0.004426956</v>
      </c>
      <c r="L14" s="1" t="n">
        <v>0.004440069</v>
      </c>
      <c r="M14" s="1" t="n">
        <v>0.004410267</v>
      </c>
      <c r="N14" s="1" t="n">
        <v>0.004393101</v>
      </c>
      <c r="O14" s="1" t="n">
        <v>0.004408598</v>
      </c>
      <c r="P14" s="1" t="n">
        <v>0.004731894</v>
      </c>
      <c r="R14" s="1" t="n">
        <f aca="false">PERCENTILE(G14:P14,0.9)</f>
        <v>0.0047741179</v>
      </c>
      <c r="S14" s="5" t="n">
        <f aca="false">spmv_1!R$2/R14</f>
        <v>3.64952201955465</v>
      </c>
      <c r="T14" s="6" t="n">
        <f aca="false">S14/128</f>
        <v>0.0285118907777707</v>
      </c>
    </row>
    <row r="15" customFormat="false" ht="15" hidden="false" customHeight="false" outlineLevel="0" collapsed="false">
      <c r="A15" s="1" t="s">
        <v>15</v>
      </c>
      <c r="B15" s="1" t="n">
        <v>13</v>
      </c>
      <c r="D15" s="1" t="n">
        <v>83647</v>
      </c>
      <c r="E15" s="1" t="n">
        <v>0.037058</v>
      </c>
      <c r="G15" s="1" t="n">
        <v>0.005120516</v>
      </c>
      <c r="H15" s="1" t="n">
        <v>0.004411221</v>
      </c>
      <c r="I15" s="1" t="n">
        <v>0.004462481</v>
      </c>
      <c r="J15" s="1" t="n">
        <v>0.004523993</v>
      </c>
      <c r="K15" s="1" t="n">
        <v>0.00442028</v>
      </c>
      <c r="L15" s="1" t="n">
        <v>0.0043993</v>
      </c>
      <c r="M15" s="1" t="n">
        <v>0.004364252</v>
      </c>
      <c r="N15" s="1" t="n">
        <v>0.004357815</v>
      </c>
      <c r="O15" s="1" t="n">
        <v>0.004368067</v>
      </c>
      <c r="P15" s="1" t="n">
        <v>0.004715681</v>
      </c>
      <c r="R15" s="1" t="n">
        <f aca="false">PERCENTILE(G15:P15,0.9)</f>
        <v>0.0047561645</v>
      </c>
      <c r="S15" s="5" t="n">
        <f aca="false">spmv_1!R$2/R15</f>
        <v>3.66329810501718</v>
      </c>
      <c r="T15" s="6" t="n">
        <f aca="false">S15/128</f>
        <v>0.0286195164454467</v>
      </c>
    </row>
    <row r="16" customFormat="false" ht="15" hidden="false" customHeight="false" outlineLevel="0" collapsed="false">
      <c r="A16" s="1" t="s">
        <v>15</v>
      </c>
      <c r="B16" s="1" t="n">
        <v>14</v>
      </c>
      <c r="D16" s="1" t="n">
        <v>83474</v>
      </c>
      <c r="E16" s="1" t="n">
        <v>0.037079</v>
      </c>
      <c r="G16" s="1" t="n">
        <v>0.005128622</v>
      </c>
      <c r="H16" s="1" t="n">
        <v>0.004409313</v>
      </c>
      <c r="I16" s="1" t="n">
        <v>0.004420042</v>
      </c>
      <c r="J16" s="1" t="n">
        <v>0.0045228</v>
      </c>
      <c r="K16" s="1" t="n">
        <v>0.004414558</v>
      </c>
      <c r="L16" s="1" t="n">
        <v>0.00438714</v>
      </c>
      <c r="M16" s="1" t="n">
        <v>0.004346371</v>
      </c>
      <c r="N16" s="1" t="n">
        <v>0.004353762</v>
      </c>
      <c r="O16" s="1" t="n">
        <v>0.004341125</v>
      </c>
      <c r="P16" s="1" t="n">
        <v>0.004700661</v>
      </c>
      <c r="R16" s="1" t="n">
        <f aca="false">PERCENTILE(G16:P16,0.9)</f>
        <v>0.0047434571</v>
      </c>
      <c r="S16" s="5" t="n">
        <f aca="false">spmv_1!R$2/R16</f>
        <v>3.67311183229632</v>
      </c>
      <c r="T16" s="6" t="n">
        <f aca="false">S16/128</f>
        <v>0.028696186189815</v>
      </c>
    </row>
    <row r="17" customFormat="false" ht="15" hidden="false" customHeight="false" outlineLevel="0" collapsed="false">
      <c r="A17" s="1" t="s">
        <v>15</v>
      </c>
      <c r="B17" s="1" t="n">
        <v>15</v>
      </c>
      <c r="D17" s="1" t="n">
        <v>83108</v>
      </c>
      <c r="E17" s="1" t="n">
        <v>0.037192</v>
      </c>
      <c r="G17" s="1" t="n">
        <v>0.005108595</v>
      </c>
      <c r="H17" s="1" t="n">
        <v>0.004366398</v>
      </c>
      <c r="I17" s="1" t="n">
        <v>0.004371405</v>
      </c>
      <c r="J17" s="1" t="n">
        <v>0.004458189</v>
      </c>
      <c r="K17" s="1" t="n">
        <v>0.004370213</v>
      </c>
      <c r="L17" s="1" t="n">
        <v>0.004374981</v>
      </c>
      <c r="M17" s="1" t="n">
        <v>0.00433898</v>
      </c>
      <c r="N17" s="1" t="n">
        <v>0.004327774</v>
      </c>
      <c r="O17" s="1" t="n">
        <v>0.004330397</v>
      </c>
      <c r="P17" s="1" t="n">
        <v>0.004644632</v>
      </c>
      <c r="R17" s="1" t="n">
        <f aca="false">PERCENTILE(G17:P17,0.9)</f>
        <v>0.0046910283</v>
      </c>
      <c r="S17" s="5" t="n">
        <f aca="false">spmv_1!R$2/R17</f>
        <v>3.7141639925728</v>
      </c>
      <c r="T17" s="6" t="n">
        <f aca="false">S17/128</f>
        <v>0.029016906191975</v>
      </c>
    </row>
    <row r="18" customFormat="false" ht="15" hidden="false" customHeight="false" outlineLevel="0" collapsed="false">
      <c r="A18" s="1" t="s">
        <v>15</v>
      </c>
      <c r="B18" s="1" t="n">
        <v>16</v>
      </c>
      <c r="D18" s="1" t="n">
        <v>82899</v>
      </c>
      <c r="E18" s="1" t="n">
        <v>0.036762</v>
      </c>
      <c r="G18" s="1" t="n">
        <v>0.005141258</v>
      </c>
      <c r="H18" s="1" t="n">
        <v>0.004404306</v>
      </c>
      <c r="I18" s="1" t="n">
        <v>0.004477024</v>
      </c>
      <c r="J18" s="1" t="n">
        <v>0.004463911</v>
      </c>
      <c r="K18" s="1" t="n">
        <v>0.004419804</v>
      </c>
      <c r="L18" s="1" t="n">
        <v>0.004413605</v>
      </c>
      <c r="M18" s="1" t="n">
        <v>0.004389048</v>
      </c>
      <c r="N18" s="1" t="n">
        <v>0.004361629</v>
      </c>
      <c r="O18" s="1" t="n">
        <v>0.004336357</v>
      </c>
      <c r="P18" s="1" t="n">
        <v>0.004693985</v>
      </c>
      <c r="R18" s="1" t="n">
        <f aca="false">PERCENTILE(G18:P18,0.9)</f>
        <v>0.0047387123</v>
      </c>
      <c r="S18" s="5" t="n">
        <f aca="false">spmv_1!R$2/R18</f>
        <v>3.67678966287951</v>
      </c>
      <c r="T18" s="6" t="n">
        <f aca="false">S18/128</f>
        <v>0.0287249192412462</v>
      </c>
    </row>
    <row r="19" customFormat="false" ht="15" hidden="false" customHeight="false" outlineLevel="0" collapsed="false">
      <c r="A19" s="1" t="s">
        <v>15</v>
      </c>
      <c r="B19" s="1" t="n">
        <v>17</v>
      </c>
      <c r="D19" s="1" t="n">
        <v>82819</v>
      </c>
      <c r="E19" s="1" t="n">
        <v>0.037095</v>
      </c>
      <c r="G19" s="1" t="n">
        <v>0.005125046</v>
      </c>
      <c r="H19" s="1" t="n">
        <v>0.004356623</v>
      </c>
      <c r="I19" s="1" t="n">
        <v>0.004430532</v>
      </c>
      <c r="J19" s="1" t="n">
        <v>0.004419327</v>
      </c>
      <c r="K19" s="1" t="n">
        <v>0.004365921</v>
      </c>
      <c r="L19" s="1" t="n">
        <v>0.004356146</v>
      </c>
      <c r="M19" s="1" t="n">
        <v>0.00433588</v>
      </c>
      <c r="N19" s="1" t="n">
        <v>0.004327059</v>
      </c>
      <c r="O19" s="1" t="n">
        <v>0.004287004</v>
      </c>
      <c r="P19" s="1" t="n">
        <v>0.004648924</v>
      </c>
      <c r="R19" s="1" t="n">
        <f aca="false">PERCENTILE(G19:P19,0.9)</f>
        <v>0.0046965362</v>
      </c>
      <c r="S19" s="5" t="n">
        <f aca="false">spmv_1!R$2/R19</f>
        <v>3.7098081773542</v>
      </c>
      <c r="T19" s="6" t="n">
        <f aca="false">S19/128</f>
        <v>0.0289828763855797</v>
      </c>
    </row>
    <row r="20" customFormat="false" ht="15" hidden="false" customHeight="false" outlineLevel="0" collapsed="false">
      <c r="A20" s="1" t="s">
        <v>15</v>
      </c>
      <c r="B20" s="1" t="n">
        <v>18</v>
      </c>
      <c r="D20" s="1" t="n">
        <v>82915</v>
      </c>
      <c r="E20" s="1" t="n">
        <v>0.037357</v>
      </c>
      <c r="G20" s="1" t="n">
        <v>0.005103827</v>
      </c>
      <c r="H20" s="1" t="n">
        <v>0.004321337</v>
      </c>
      <c r="I20" s="1" t="n">
        <v>0.004402399</v>
      </c>
      <c r="J20" s="1" t="n">
        <v>0.004383802</v>
      </c>
      <c r="K20" s="1" t="n">
        <v>0.004346848</v>
      </c>
      <c r="L20" s="1" t="n">
        <v>0.00432682</v>
      </c>
      <c r="M20" s="1" t="n">
        <v>0.004309416</v>
      </c>
      <c r="N20" s="1" t="n">
        <v>0.004315853</v>
      </c>
      <c r="O20" s="1" t="n">
        <v>0.0042665</v>
      </c>
      <c r="P20" s="1" t="n">
        <v>0.004614353</v>
      </c>
      <c r="R20" s="1" t="n">
        <f aca="false">PERCENTILE(G20:P20,0.9)</f>
        <v>0.0046633004</v>
      </c>
      <c r="S20" s="5" t="n">
        <f aca="false">spmv_1!R$2/R20</f>
        <v>3.73624834462734</v>
      </c>
      <c r="T20" s="6" t="n">
        <f aca="false">S20/128</f>
        <v>0.0291894401924011</v>
      </c>
    </row>
    <row r="21" customFormat="false" ht="15" hidden="false" customHeight="false" outlineLevel="0" collapsed="false">
      <c r="A21" s="1" t="s">
        <v>15</v>
      </c>
      <c r="B21" s="1" t="n">
        <v>19</v>
      </c>
      <c r="D21" s="1" t="n">
        <v>82977</v>
      </c>
      <c r="E21" s="1" t="n">
        <v>0.037669</v>
      </c>
      <c r="G21" s="1" t="n">
        <v>0.005068064</v>
      </c>
      <c r="H21" s="1" t="n">
        <v>0.004279852</v>
      </c>
      <c r="I21" s="1" t="n">
        <v>0.004383802</v>
      </c>
      <c r="J21" s="1" t="n">
        <v>0.004347086</v>
      </c>
      <c r="K21" s="1" t="n">
        <v>0.004320621</v>
      </c>
      <c r="L21" s="1" t="n">
        <v>0.004297256</v>
      </c>
      <c r="M21" s="1" t="n">
        <v>0.004276276</v>
      </c>
      <c r="N21" s="1" t="n">
        <v>0.004286051</v>
      </c>
      <c r="O21" s="1" t="n">
        <v>0.004223347</v>
      </c>
      <c r="P21" s="1" t="n">
        <v>0.00457406</v>
      </c>
      <c r="R21" s="1" t="n">
        <f aca="false">PERCENTILE(G21:P21,0.9)</f>
        <v>0.0046234604</v>
      </c>
      <c r="S21" s="5" t="n">
        <f aca="false">spmv_1!R$2/R21</f>
        <v>3.76844330709527</v>
      </c>
      <c r="T21" s="6" t="n">
        <f aca="false">S21/128</f>
        <v>0.0294409633366818</v>
      </c>
    </row>
    <row r="22" customFormat="false" ht="15" hidden="false" customHeight="false" outlineLevel="0" collapsed="false">
      <c r="A22" s="1" t="s">
        <v>15</v>
      </c>
      <c r="B22" s="1" t="n">
        <v>20</v>
      </c>
      <c r="D22" s="1" t="n">
        <v>82812</v>
      </c>
      <c r="E22" s="1" t="n">
        <v>0.037701</v>
      </c>
      <c r="G22" s="1" t="n">
        <v>0.005071878</v>
      </c>
      <c r="H22" s="1" t="n">
        <v>0.004261017</v>
      </c>
      <c r="I22" s="1" t="n">
        <v>0.004365444</v>
      </c>
      <c r="J22" s="1" t="n">
        <v>0.004345655</v>
      </c>
      <c r="K22" s="1" t="n">
        <v>0.004308462</v>
      </c>
      <c r="L22" s="1" t="n">
        <v>0.004280567</v>
      </c>
      <c r="M22" s="1" t="n">
        <v>0.004268169</v>
      </c>
      <c r="N22" s="1" t="n">
        <v>0.004252434</v>
      </c>
      <c r="O22" s="1" t="n">
        <v>0.004193544</v>
      </c>
      <c r="P22" s="1" t="n">
        <v>0.004583597</v>
      </c>
      <c r="R22" s="1" t="n">
        <f aca="false">PERCENTILE(G22:P22,0.9)</f>
        <v>0.0046324251</v>
      </c>
      <c r="S22" s="5" t="n">
        <f aca="false">spmv_1!R$2/R22</f>
        <v>3.76115059043264</v>
      </c>
      <c r="T22" s="6" t="n">
        <f aca="false">S22/128</f>
        <v>0.029383988987755</v>
      </c>
    </row>
    <row r="23" customFormat="false" ht="15" hidden="false" customHeight="false" outlineLevel="0" collapsed="false">
      <c r="A23" s="1" t="s">
        <v>15</v>
      </c>
      <c r="B23" s="1" t="n">
        <v>21</v>
      </c>
      <c r="D23" s="1" t="n">
        <v>84584</v>
      </c>
      <c r="E23" s="1" t="n">
        <v>0.038641</v>
      </c>
      <c r="G23" s="1" t="n">
        <v>0.005071163</v>
      </c>
      <c r="H23" s="1" t="n">
        <v>0.004217863</v>
      </c>
      <c r="I23" s="1" t="n">
        <v>0.004347324</v>
      </c>
      <c r="J23" s="1" t="n">
        <v>0.004344702</v>
      </c>
      <c r="K23" s="1" t="n">
        <v>0.00429678</v>
      </c>
      <c r="L23" s="1" t="n">
        <v>0.004279137</v>
      </c>
      <c r="M23" s="1" t="n">
        <v>0.004224777</v>
      </c>
      <c r="N23" s="1" t="n">
        <v>0.004225016</v>
      </c>
      <c r="O23" s="1" t="n">
        <v>0.004191875</v>
      </c>
      <c r="P23" s="1" t="n">
        <v>0.004580975</v>
      </c>
      <c r="R23" s="1" t="n">
        <f aca="false">PERCENTILE(G23:P23,0.9)</f>
        <v>0.0046299938</v>
      </c>
      <c r="S23" s="5" t="n">
        <f aca="false">spmv_1!R$2/R23</f>
        <v>3.76312564392635</v>
      </c>
      <c r="T23" s="6" t="n">
        <f aca="false">S23/128</f>
        <v>0.0293994190931746</v>
      </c>
    </row>
    <row r="24" customFormat="false" ht="15" hidden="false" customHeight="false" outlineLevel="0" collapsed="false">
      <c r="A24" s="1" t="s">
        <v>15</v>
      </c>
      <c r="B24" s="1" t="n">
        <v>22</v>
      </c>
      <c r="D24" s="1" t="n">
        <v>84323</v>
      </c>
      <c r="E24" s="1" t="n">
        <v>0.038926</v>
      </c>
      <c r="G24" s="1" t="n">
        <v>0.005050421</v>
      </c>
      <c r="H24" s="1" t="n">
        <v>0.004181385</v>
      </c>
      <c r="I24" s="1" t="n">
        <v>0.004315138</v>
      </c>
      <c r="J24" s="1" t="n">
        <v>0.004297972</v>
      </c>
      <c r="K24" s="1" t="n">
        <v>0.004242659</v>
      </c>
      <c r="L24" s="1" t="n">
        <v>0.004228592</v>
      </c>
      <c r="M24" s="1" t="n">
        <v>0.004161835</v>
      </c>
      <c r="N24" s="1" t="n">
        <v>0.004171133</v>
      </c>
      <c r="O24" s="1" t="n">
        <v>0.004170656</v>
      </c>
      <c r="P24" s="1" t="n">
        <v>0.004505157</v>
      </c>
      <c r="R24" s="1" t="n">
        <f aca="false">PERCENTILE(G24:P24,0.9)</f>
        <v>0.0045596834</v>
      </c>
      <c r="S24" s="5" t="n">
        <f aca="false">spmv_1!R$2/R24</f>
        <v>3.82115310900752</v>
      </c>
      <c r="T24" s="6" t="n">
        <f aca="false">S24/128</f>
        <v>0.0298527586641213</v>
      </c>
    </row>
    <row r="25" customFormat="false" ht="15" hidden="false" customHeight="false" outlineLevel="0" collapsed="false">
      <c r="A25" s="1" t="s">
        <v>15</v>
      </c>
      <c r="B25" s="1" t="n">
        <v>23</v>
      </c>
      <c r="D25" s="1" t="n">
        <v>84700</v>
      </c>
      <c r="E25" s="1" t="n">
        <v>0.039435</v>
      </c>
      <c r="G25" s="1" t="n">
        <v>0.005045414</v>
      </c>
      <c r="H25" s="1" t="n">
        <v>0.004169464</v>
      </c>
      <c r="I25" s="1" t="n">
        <v>0.004265785</v>
      </c>
      <c r="J25" s="1" t="n">
        <v>0.004266739</v>
      </c>
      <c r="K25" s="1" t="n">
        <v>0.004200697</v>
      </c>
      <c r="L25" s="1" t="n">
        <v>0.004179955</v>
      </c>
      <c r="M25" s="1" t="n">
        <v>0.004127979</v>
      </c>
      <c r="N25" s="1" t="n">
        <v>0.004151106</v>
      </c>
      <c r="O25" s="1" t="n">
        <v>0.004105091</v>
      </c>
      <c r="P25" s="1" t="n">
        <v>0.004444599</v>
      </c>
      <c r="R25" s="1" t="n">
        <f aca="false">PERCENTILE(G25:P25,0.9)</f>
        <v>0.0045046805</v>
      </c>
      <c r="S25" s="5" t="n">
        <f aca="false">spmv_1!R$2/R25</f>
        <v>3.86781002559449</v>
      </c>
      <c r="T25" s="6" t="n">
        <f aca="false">S25/128</f>
        <v>0.030217265824957</v>
      </c>
    </row>
    <row r="26" customFormat="false" ht="15" hidden="false" customHeight="false" outlineLevel="0" collapsed="false">
      <c r="A26" s="1" t="s">
        <v>15</v>
      </c>
      <c r="B26" s="1" t="n">
        <v>24</v>
      </c>
      <c r="D26" s="1" t="n">
        <v>82685</v>
      </c>
      <c r="E26" s="1" t="n">
        <v>0.038202</v>
      </c>
      <c r="G26" s="1" t="n">
        <v>0.005361557</v>
      </c>
      <c r="H26" s="1" t="n">
        <v>0.00427556</v>
      </c>
      <c r="I26" s="1" t="n">
        <v>0.004206419</v>
      </c>
      <c r="J26" s="1" t="n">
        <v>0.004300356</v>
      </c>
      <c r="K26" s="1" t="n">
        <v>0.004185438</v>
      </c>
      <c r="L26" s="1" t="n">
        <v>0.004174948</v>
      </c>
      <c r="M26" s="1" t="n">
        <v>0.004129171</v>
      </c>
      <c r="N26" s="1" t="n">
        <v>0.004114628</v>
      </c>
      <c r="O26" s="1" t="n">
        <v>0.004126787</v>
      </c>
      <c r="P26" s="1" t="n">
        <v>0.004413605</v>
      </c>
      <c r="R26" s="1" t="n">
        <f aca="false">PERCENTILE(G26:P26,0.9)</f>
        <v>0.0045084002</v>
      </c>
      <c r="S26" s="5" t="n">
        <f aca="false">spmv_1!R$2/R26</f>
        <v>3.86461885082873</v>
      </c>
      <c r="T26" s="6" t="n">
        <f aca="false">S26/128</f>
        <v>0.0301923347720994</v>
      </c>
    </row>
    <row r="27" customFormat="false" ht="15" hidden="false" customHeight="false" outlineLevel="0" collapsed="false">
      <c r="A27" s="1" t="s">
        <v>15</v>
      </c>
      <c r="B27" s="1" t="n">
        <v>25</v>
      </c>
      <c r="D27" s="1" t="n">
        <v>83091</v>
      </c>
      <c r="E27" s="1" t="n">
        <v>0.038735</v>
      </c>
      <c r="G27" s="1" t="n">
        <v>0.005307674</v>
      </c>
      <c r="H27" s="1" t="n">
        <v>0.004232645</v>
      </c>
      <c r="I27" s="1" t="n">
        <v>0.004168987</v>
      </c>
      <c r="J27" s="1" t="n">
        <v>0.004271984</v>
      </c>
      <c r="K27" s="1" t="n">
        <v>0.004158497</v>
      </c>
      <c r="L27" s="1" t="n">
        <v>0.004142284</v>
      </c>
      <c r="M27" s="1" t="n">
        <v>0.004094362</v>
      </c>
      <c r="N27" s="1" t="n">
        <v>0.004063845</v>
      </c>
      <c r="O27" s="1" t="n">
        <v>0.00407815</v>
      </c>
      <c r="P27" s="1" t="n">
        <v>0.004383802</v>
      </c>
      <c r="R27" s="1" t="n">
        <f aca="false">PERCENTILE(G27:P27,0.9)</f>
        <v>0.0044761892</v>
      </c>
      <c r="S27" s="5" t="n">
        <f aca="false">spmv_1!R$2/R27</f>
        <v>3.89242894379889</v>
      </c>
      <c r="T27" s="6" t="n">
        <f aca="false">S27/128</f>
        <v>0.0304096011234288</v>
      </c>
    </row>
    <row r="28" customFormat="false" ht="15" hidden="false" customHeight="false" outlineLevel="0" collapsed="false">
      <c r="A28" s="1" t="s">
        <v>15</v>
      </c>
      <c r="B28" s="1" t="n">
        <v>26</v>
      </c>
      <c r="D28" s="1" t="n">
        <v>82839</v>
      </c>
      <c r="E28" s="1" t="n">
        <v>0.038954</v>
      </c>
      <c r="G28" s="1" t="n">
        <v>0.005321026</v>
      </c>
      <c r="H28" s="1" t="n">
        <v>0.004186392</v>
      </c>
      <c r="I28" s="1" t="n">
        <v>0.004134417</v>
      </c>
      <c r="J28" s="1" t="n">
        <v>0.004210472</v>
      </c>
      <c r="K28" s="1" t="n">
        <v>0.004107475</v>
      </c>
      <c r="L28" s="1" t="n">
        <v>0.004108429</v>
      </c>
      <c r="M28" s="1" t="n">
        <v>0.004059792</v>
      </c>
      <c r="N28" s="1" t="n">
        <v>0.00402236</v>
      </c>
      <c r="O28" s="1" t="n">
        <v>0.004038334</v>
      </c>
      <c r="P28" s="1" t="n">
        <v>0.004343033</v>
      </c>
      <c r="R28" s="1" t="n">
        <f aca="false">PERCENTILE(G28:P28,0.9)</f>
        <v>0.0044408323</v>
      </c>
      <c r="S28" s="5" t="n">
        <f aca="false">spmv_1!R$2/R28</f>
        <v>3.92341958060429</v>
      </c>
      <c r="T28" s="6" t="n">
        <f aca="false">S28/128</f>
        <v>0.030651715473471</v>
      </c>
    </row>
    <row r="29" customFormat="false" ht="15" hidden="false" customHeight="false" outlineLevel="0" collapsed="false">
      <c r="A29" s="1" t="s">
        <v>15</v>
      </c>
      <c r="B29" s="1" t="n">
        <v>27</v>
      </c>
      <c r="D29" s="1" t="n">
        <v>83160</v>
      </c>
      <c r="E29" s="1" t="n">
        <v>0.039403</v>
      </c>
      <c r="G29" s="1" t="n">
        <v>0.005305529</v>
      </c>
      <c r="H29" s="1" t="n">
        <v>0.004163027</v>
      </c>
      <c r="I29" s="1" t="n">
        <v>0.004107714</v>
      </c>
      <c r="J29" s="1" t="n">
        <v>0.004177094</v>
      </c>
      <c r="K29" s="1" t="n">
        <v>0.004077196</v>
      </c>
      <c r="L29" s="1" t="n">
        <v>0.004069567</v>
      </c>
      <c r="M29" s="1" t="n">
        <v>0.004025698</v>
      </c>
      <c r="N29" s="1" t="n">
        <v>0.003996134</v>
      </c>
      <c r="O29" s="1" t="n">
        <v>0.003996849</v>
      </c>
      <c r="P29" s="1" t="n">
        <v>0.004291296</v>
      </c>
      <c r="R29" s="1" t="n">
        <f aca="false">PERCENTILE(G29:P29,0.9)</f>
        <v>0.0043927193</v>
      </c>
      <c r="S29" s="5" t="n">
        <f aca="false">spmv_1!R$2/R29</f>
        <v>3.96639238933387</v>
      </c>
      <c r="T29" s="6" t="n">
        <f aca="false">S29/128</f>
        <v>0.0309874405416709</v>
      </c>
    </row>
    <row r="30" customFormat="false" ht="15" hidden="false" customHeight="false" outlineLevel="0" collapsed="false">
      <c r="A30" s="1" t="s">
        <v>15</v>
      </c>
      <c r="B30" s="1" t="n">
        <v>28</v>
      </c>
      <c r="D30" s="1" t="n">
        <v>82916</v>
      </c>
      <c r="E30" s="1" t="n">
        <v>0.039467</v>
      </c>
      <c r="G30" s="1" t="n">
        <v>0.005300999</v>
      </c>
      <c r="H30" s="1" t="n">
        <v>0.004140139</v>
      </c>
      <c r="I30" s="1" t="n">
        <v>0.004080534</v>
      </c>
      <c r="J30" s="1" t="n">
        <v>0.004159451</v>
      </c>
      <c r="K30" s="1" t="n">
        <v>0.004050016</v>
      </c>
      <c r="L30" s="1" t="n">
        <v>0.004064083</v>
      </c>
      <c r="M30" s="1" t="n">
        <v>0.003993034</v>
      </c>
      <c r="N30" s="1" t="n">
        <v>0.003968477</v>
      </c>
      <c r="O30" s="1" t="n">
        <v>0.003980398</v>
      </c>
      <c r="P30" s="1" t="n">
        <v>0.004281282</v>
      </c>
      <c r="R30" s="1" t="n">
        <f aca="false">PERCENTILE(G30:P30,0.9)</f>
        <v>0.0043832537</v>
      </c>
      <c r="S30" s="5" t="n">
        <f aca="false">spmv_1!R$2/R30</f>
        <v>3.97495778079193</v>
      </c>
      <c r="T30" s="6" t="n">
        <f aca="false">S30/128</f>
        <v>0.0310543576624369</v>
      </c>
    </row>
    <row r="31" customFormat="false" ht="15" hidden="false" customHeight="false" outlineLevel="0" collapsed="false">
      <c r="A31" s="1" t="s">
        <v>15</v>
      </c>
      <c r="B31" s="1" t="n">
        <v>29</v>
      </c>
      <c r="D31" s="1" t="n">
        <v>82921</v>
      </c>
      <c r="E31" s="1" t="n">
        <v>0.039825</v>
      </c>
      <c r="G31" s="1" t="n">
        <v>0.00526309</v>
      </c>
      <c r="H31" s="1" t="n">
        <v>0.00410223</v>
      </c>
      <c r="I31" s="1" t="n">
        <v>0.004042625</v>
      </c>
      <c r="J31" s="1" t="n">
        <v>0.004118443</v>
      </c>
      <c r="K31" s="1" t="n">
        <v>0.00400281</v>
      </c>
      <c r="L31" s="1" t="n">
        <v>0.003992558</v>
      </c>
      <c r="M31" s="1" t="n">
        <v>0.003965378</v>
      </c>
      <c r="N31" s="1" t="n">
        <v>0.003947258</v>
      </c>
      <c r="O31" s="1" t="n">
        <v>0.003945112</v>
      </c>
      <c r="P31" s="1" t="n">
        <v>0.004263639</v>
      </c>
      <c r="R31" s="1" t="n">
        <f aca="false">PERCENTILE(G31:P31,0.9)</f>
        <v>0.0043635841</v>
      </c>
      <c r="S31" s="5" t="n">
        <f aca="false">spmv_1!R$2/R31</f>
        <v>3.99287558133691</v>
      </c>
      <c r="T31" s="6" t="n">
        <f aca="false">S31/128</f>
        <v>0.0311943404791946</v>
      </c>
    </row>
    <row r="32" customFormat="false" ht="15" hidden="false" customHeight="false" outlineLevel="0" collapsed="false">
      <c r="A32" s="1" t="s">
        <v>15</v>
      </c>
      <c r="B32" s="1" t="n">
        <v>30</v>
      </c>
      <c r="D32" s="1" t="n">
        <v>82578</v>
      </c>
      <c r="E32" s="1" t="n">
        <v>0.04001</v>
      </c>
      <c r="G32" s="1" t="n">
        <v>0.005249023</v>
      </c>
      <c r="H32" s="1" t="n">
        <v>0.004049063</v>
      </c>
      <c r="I32" s="1" t="n">
        <v>0.003997087</v>
      </c>
      <c r="J32" s="1" t="n">
        <v>0.004066944</v>
      </c>
      <c r="K32" s="1" t="n">
        <v>0.00397706</v>
      </c>
      <c r="L32" s="1" t="n">
        <v>0.003943205</v>
      </c>
      <c r="M32" s="1" t="n">
        <v>0.003930569</v>
      </c>
      <c r="N32" s="1" t="n">
        <v>0.003929615</v>
      </c>
      <c r="O32" s="1" t="n">
        <v>0.003911972</v>
      </c>
      <c r="P32" s="1" t="n">
        <v>0.004223824</v>
      </c>
      <c r="R32" s="1" t="n">
        <f aca="false">PERCENTILE(G32:P32,0.9)</f>
        <v>0.0043263439</v>
      </c>
      <c r="S32" s="5" t="n">
        <f aca="false">spmv_1!R$2/R32</f>
        <v>4.02724536068434</v>
      </c>
      <c r="T32" s="6" t="n">
        <f aca="false">S32/128</f>
        <v>0.0314628543803464</v>
      </c>
    </row>
    <row r="33" customFormat="false" ht="15" hidden="false" customHeight="false" outlineLevel="0" collapsed="false">
      <c r="A33" s="1" t="s">
        <v>15</v>
      </c>
      <c r="B33" s="1" t="n">
        <v>31</v>
      </c>
      <c r="D33" s="1" t="n">
        <v>82974</v>
      </c>
      <c r="E33" s="1" t="n">
        <v>0.040524</v>
      </c>
      <c r="G33" s="1" t="n">
        <v>0.00524354</v>
      </c>
      <c r="H33" s="1" t="n">
        <v>0.004004478</v>
      </c>
      <c r="I33" s="1" t="n">
        <v>0.003954887</v>
      </c>
      <c r="J33" s="1" t="n">
        <v>0.004023314</v>
      </c>
      <c r="K33" s="1" t="n">
        <v>0.003942966</v>
      </c>
      <c r="L33" s="1" t="n">
        <v>0.003924131</v>
      </c>
      <c r="M33" s="1" t="n">
        <v>0.003901243</v>
      </c>
      <c r="N33" s="1" t="n">
        <v>0.003881216</v>
      </c>
      <c r="O33" s="1" t="n">
        <v>0.003892422</v>
      </c>
      <c r="P33" s="1" t="n">
        <v>0.004181862</v>
      </c>
      <c r="R33" s="1" t="n">
        <f aca="false">PERCENTILE(G33:P33,0.9)</f>
        <v>0.0042880298</v>
      </c>
      <c r="S33" s="5" t="n">
        <f aca="false">spmv_1!R$2/R33</f>
        <v>4.06322931804252</v>
      </c>
      <c r="T33" s="6" t="n">
        <f aca="false">S33/128</f>
        <v>0.0317439790472072</v>
      </c>
    </row>
    <row r="34" customFormat="false" ht="15" hidden="false" customHeight="false" outlineLevel="0" collapsed="false">
      <c r="A34" s="1" t="s">
        <v>15</v>
      </c>
      <c r="B34" s="1" t="n">
        <v>32</v>
      </c>
      <c r="D34" s="1" t="n">
        <v>82982</v>
      </c>
      <c r="E34" s="1" t="n">
        <v>0.039836</v>
      </c>
      <c r="G34" s="1" t="n">
        <v>0.005256891</v>
      </c>
      <c r="H34" s="1" t="n">
        <v>0.004007578</v>
      </c>
      <c r="I34" s="1" t="n">
        <v>0.004098177</v>
      </c>
      <c r="J34" s="1" t="n">
        <v>0.004059792</v>
      </c>
      <c r="K34" s="1" t="n">
        <v>0.004037619</v>
      </c>
      <c r="L34" s="1" t="n">
        <v>0.004017353</v>
      </c>
      <c r="M34" s="1" t="n">
        <v>0.003994226</v>
      </c>
      <c r="N34" s="1" t="n">
        <v>0.003958941</v>
      </c>
      <c r="O34" s="1" t="n">
        <v>0.003963947</v>
      </c>
      <c r="P34" s="1" t="n">
        <v>0.004267216</v>
      </c>
      <c r="R34" s="1" t="n">
        <f aca="false">PERCENTILE(G34:P34,0.9)</f>
        <v>0.0043661835</v>
      </c>
      <c r="S34" s="5" t="n">
        <f aca="false">spmv_1!R$2/R34</f>
        <v>3.99049842957814</v>
      </c>
      <c r="T34" s="6" t="n">
        <f aca="false">S34/128</f>
        <v>0.0311757689810792</v>
      </c>
    </row>
    <row r="35" customFormat="false" ht="15" hidden="false" customHeight="false" outlineLevel="0" collapsed="false">
      <c r="A35" s="1" t="s">
        <v>15</v>
      </c>
      <c r="B35" s="1" t="n">
        <v>33</v>
      </c>
      <c r="D35" s="1" t="n">
        <v>83811</v>
      </c>
      <c r="E35" s="1" t="n">
        <v>0.040477</v>
      </c>
      <c r="G35" s="1" t="n">
        <v>0.005158901</v>
      </c>
      <c r="H35" s="1" t="n">
        <v>0.003994226</v>
      </c>
      <c r="I35" s="1" t="n">
        <v>0.004086733</v>
      </c>
      <c r="J35" s="1" t="n">
        <v>0.004049301</v>
      </c>
      <c r="K35" s="1" t="n">
        <v>0.004024506</v>
      </c>
      <c r="L35" s="1" t="n">
        <v>0.003995657</v>
      </c>
      <c r="M35" s="1" t="n">
        <v>0.003983974</v>
      </c>
      <c r="N35" s="1" t="n">
        <v>0.003948689</v>
      </c>
      <c r="O35" s="1" t="n">
        <v>0.003917217</v>
      </c>
      <c r="P35" s="1" t="n">
        <v>0.004252195</v>
      </c>
      <c r="R35" s="1" t="n">
        <f aca="false">PERCENTILE(G35:P35,0.9)</f>
        <v>0.0043428656</v>
      </c>
      <c r="S35" s="5" t="n">
        <f aca="false">spmv_1!R$2/R35</f>
        <v>4.01192438467357</v>
      </c>
      <c r="T35" s="6" t="n">
        <f aca="false">S35/128</f>
        <v>0.0313431592552622</v>
      </c>
    </row>
    <row r="36" customFormat="false" ht="15" hidden="false" customHeight="false" outlineLevel="0" collapsed="false">
      <c r="A36" s="1" t="s">
        <v>15</v>
      </c>
      <c r="B36" s="1" t="n">
        <v>34</v>
      </c>
      <c r="D36" s="1" t="n">
        <v>83307</v>
      </c>
      <c r="E36" s="1" t="n">
        <v>0.040442</v>
      </c>
      <c r="G36" s="1" t="n">
        <v>0.005211115</v>
      </c>
      <c r="H36" s="1" t="n">
        <v>0.003947496</v>
      </c>
      <c r="I36" s="1" t="n">
        <v>0.004030466</v>
      </c>
      <c r="J36" s="1" t="n">
        <v>0.004012346</v>
      </c>
      <c r="K36" s="1" t="n">
        <v>0.004015207</v>
      </c>
      <c r="L36" s="1" t="n">
        <v>0.003981113</v>
      </c>
      <c r="M36" s="1" t="n">
        <v>0.003960133</v>
      </c>
      <c r="N36" s="1" t="n">
        <v>0.003939867</v>
      </c>
      <c r="O36" s="1" t="n">
        <v>0.003905296</v>
      </c>
      <c r="P36" s="1" t="n">
        <v>0.004194975</v>
      </c>
      <c r="R36" s="1" t="n">
        <f aca="false">PERCENTILE(G36:P36,0.9)</f>
        <v>0.004296589</v>
      </c>
      <c r="S36" s="5" t="n">
        <f aca="false">spmv_1!R$2/R36</f>
        <v>4.05513499196688</v>
      </c>
      <c r="T36" s="6" t="n">
        <f aca="false">S36/128</f>
        <v>0.0316807421247413</v>
      </c>
    </row>
    <row r="37" customFormat="false" ht="15" hidden="false" customHeight="false" outlineLevel="0" collapsed="false">
      <c r="A37" s="1" t="s">
        <v>15</v>
      </c>
      <c r="B37" s="1" t="n">
        <v>35</v>
      </c>
      <c r="D37" s="1" t="n">
        <v>83143</v>
      </c>
      <c r="E37" s="1" t="n">
        <v>0.040686</v>
      </c>
      <c r="G37" s="1" t="n">
        <v>0.005120516</v>
      </c>
      <c r="H37" s="1" t="n">
        <v>0.003937244</v>
      </c>
      <c r="I37" s="1" t="n">
        <v>0.004009962</v>
      </c>
      <c r="J37" s="1" t="n">
        <v>0.00400424</v>
      </c>
      <c r="K37" s="1" t="n">
        <v>0.003979921</v>
      </c>
      <c r="L37" s="1" t="n">
        <v>0.00397253</v>
      </c>
      <c r="M37" s="1" t="n">
        <v>0.003929615</v>
      </c>
      <c r="N37" s="1" t="n">
        <v>0.003914356</v>
      </c>
      <c r="O37" s="1" t="n">
        <v>0.003851414</v>
      </c>
      <c r="P37" s="1" t="n">
        <v>0.004151106</v>
      </c>
      <c r="R37" s="1" t="n">
        <f aca="false">PERCENTILE(G37:P37,0.9)</f>
        <v>0.004248047</v>
      </c>
      <c r="S37" s="5" t="n">
        <f aca="false">spmv_1!R$2/R37</f>
        <v>4.10147260611759</v>
      </c>
      <c r="T37" s="6" t="n">
        <f aca="false">S37/128</f>
        <v>0.0320427547352937</v>
      </c>
    </row>
    <row r="38" customFormat="false" ht="15" hidden="false" customHeight="false" outlineLevel="0" collapsed="false">
      <c r="A38" s="1" t="s">
        <v>15</v>
      </c>
      <c r="B38" s="1" t="n">
        <v>36</v>
      </c>
      <c r="D38" s="1" t="n">
        <v>82344</v>
      </c>
      <c r="E38" s="1" t="n">
        <v>0.04049</v>
      </c>
      <c r="G38" s="1" t="n">
        <v>0.005116463</v>
      </c>
      <c r="H38" s="1" t="n">
        <v>0.003930807</v>
      </c>
      <c r="I38" s="1" t="n">
        <v>0.004000902</v>
      </c>
      <c r="J38" s="1" t="n">
        <v>0.003958941</v>
      </c>
      <c r="K38" s="1" t="n">
        <v>0.003972769</v>
      </c>
      <c r="L38" s="1" t="n">
        <v>0.003929377</v>
      </c>
      <c r="M38" s="1" t="n">
        <v>0.00391984</v>
      </c>
      <c r="N38" s="1" t="n">
        <v>0.003869534</v>
      </c>
      <c r="O38" s="1" t="n">
        <v>0.003831625</v>
      </c>
      <c r="P38" s="1" t="n">
        <v>0.004143715</v>
      </c>
      <c r="R38" s="1" t="n">
        <f aca="false">PERCENTILE(G38:P38,0.9)</f>
        <v>0.0042409898</v>
      </c>
      <c r="S38" s="5" t="n">
        <f aca="false">spmv_1!R$2/R38</f>
        <v>4.10829764315868</v>
      </c>
      <c r="T38" s="6" t="n">
        <f aca="false">S38/128</f>
        <v>0.0320960753371772</v>
      </c>
    </row>
    <row r="39" customFormat="false" ht="15" hidden="false" customHeight="false" outlineLevel="0" collapsed="false">
      <c r="A39" s="1" t="s">
        <v>15</v>
      </c>
      <c r="B39" s="1" t="n">
        <v>37</v>
      </c>
      <c r="D39" s="1" t="n">
        <v>82597</v>
      </c>
      <c r="E39" s="1" t="n">
        <v>0.040981</v>
      </c>
      <c r="G39" s="1" t="n">
        <v>0.005093813</v>
      </c>
      <c r="H39" s="1" t="n">
        <v>0.003903389</v>
      </c>
      <c r="I39" s="1" t="n">
        <v>0.003986359</v>
      </c>
      <c r="J39" s="1" t="n">
        <v>0.003902674</v>
      </c>
      <c r="K39" s="1" t="n">
        <v>0.003921986</v>
      </c>
      <c r="L39" s="1" t="n">
        <v>0.003875971</v>
      </c>
      <c r="M39" s="1" t="n">
        <v>0.003863335</v>
      </c>
      <c r="N39" s="1" t="n">
        <v>0.003841162</v>
      </c>
      <c r="O39" s="1" t="n">
        <v>0.003803968</v>
      </c>
      <c r="P39" s="1" t="n">
        <v>0.004117727</v>
      </c>
      <c r="R39" s="1" t="n">
        <f aca="false">PERCENTILE(G39:P39,0.9)</f>
        <v>0.0042153356</v>
      </c>
      <c r="S39" s="5" t="n">
        <f aca="false">spmv_1!R$2/R39</f>
        <v>4.13330041859538</v>
      </c>
      <c r="T39" s="6" t="n">
        <f aca="false">S39/128</f>
        <v>0.0322914095202764</v>
      </c>
    </row>
    <row r="40" customFormat="false" ht="15" hidden="false" customHeight="false" outlineLevel="0" collapsed="false">
      <c r="A40" s="1" t="s">
        <v>15</v>
      </c>
      <c r="B40" s="1" t="n">
        <v>38</v>
      </c>
      <c r="D40" s="1" t="n">
        <v>82672</v>
      </c>
      <c r="E40" s="1" t="n">
        <v>0.041334</v>
      </c>
      <c r="G40" s="1" t="n">
        <v>0.005077362</v>
      </c>
      <c r="H40" s="1" t="n">
        <v>0.00388217</v>
      </c>
      <c r="I40" s="1" t="n">
        <v>0.003965855</v>
      </c>
      <c r="J40" s="1" t="n">
        <v>0.003883362</v>
      </c>
      <c r="K40" s="1" t="n">
        <v>0.003885269</v>
      </c>
      <c r="L40" s="1" t="n">
        <v>0.003829241</v>
      </c>
      <c r="M40" s="1" t="n">
        <v>0.003810883</v>
      </c>
      <c r="N40" s="1" t="n">
        <v>0.003816366</v>
      </c>
      <c r="O40" s="1" t="n">
        <v>0.003781557</v>
      </c>
      <c r="P40" s="1" t="n">
        <v>0.004070282</v>
      </c>
      <c r="R40" s="1" t="n">
        <f aca="false">PERCENTILE(G40:P40,0.9)</f>
        <v>0.00417099</v>
      </c>
      <c r="S40" s="5" t="n">
        <f aca="false">spmv_1!R$2/R40</f>
        <v>4.17724530627021</v>
      </c>
      <c r="T40" s="6" t="n">
        <f aca="false">S40/128</f>
        <v>0.032634728955236</v>
      </c>
    </row>
    <row r="41" customFormat="false" ht="15" hidden="false" customHeight="false" outlineLevel="0" collapsed="false">
      <c r="A41" s="1" t="s">
        <v>15</v>
      </c>
      <c r="B41" s="1" t="n">
        <v>39</v>
      </c>
      <c r="D41" s="1" t="n">
        <v>83027</v>
      </c>
      <c r="E41" s="1" t="n">
        <v>0.041775</v>
      </c>
      <c r="G41" s="1" t="n">
        <v>0.005088091</v>
      </c>
      <c r="H41" s="1" t="n">
        <v>0.003842115</v>
      </c>
      <c r="I41" s="1" t="n">
        <v>0.003920555</v>
      </c>
      <c r="J41" s="1" t="n">
        <v>0.003866911</v>
      </c>
      <c r="K41" s="1" t="n">
        <v>0.00388217</v>
      </c>
      <c r="L41" s="1" t="n">
        <v>0.003795147</v>
      </c>
      <c r="M41" s="1" t="n">
        <v>0.003792048</v>
      </c>
      <c r="N41" s="1" t="n">
        <v>0.0037992</v>
      </c>
      <c r="O41" s="1" t="n">
        <v>0.00374198</v>
      </c>
      <c r="P41" s="1" t="n">
        <v>0.004021168</v>
      </c>
      <c r="R41" s="1" t="n">
        <f aca="false">PERCENTILE(G41:P41,0.9)</f>
        <v>0.0041278603</v>
      </c>
      <c r="S41" s="5" t="n">
        <f aca="false">spmv_1!R$2/R41</f>
        <v>4.22089100253708</v>
      </c>
      <c r="T41" s="6" t="n">
        <f aca="false">S41/128</f>
        <v>0.0329757109573209</v>
      </c>
    </row>
    <row r="42" customFormat="false" ht="15" hidden="false" customHeight="false" outlineLevel="0" collapsed="false">
      <c r="A42" s="1" t="s">
        <v>15</v>
      </c>
      <c r="B42" s="1" t="n">
        <v>40</v>
      </c>
      <c r="D42" s="1" t="n">
        <v>82556</v>
      </c>
      <c r="E42" s="1" t="n">
        <v>0.041949</v>
      </c>
      <c r="G42" s="1" t="n">
        <v>0.005063295</v>
      </c>
      <c r="H42" s="1" t="n">
        <v>0.003818035</v>
      </c>
      <c r="I42" s="1" t="n">
        <v>0.003858805</v>
      </c>
      <c r="J42" s="1" t="n">
        <v>0.003851175</v>
      </c>
      <c r="K42" s="1" t="n">
        <v>0.003830671</v>
      </c>
      <c r="L42" s="1" t="n">
        <v>0.003782272</v>
      </c>
      <c r="M42" s="1" t="n">
        <v>0.003743649</v>
      </c>
      <c r="N42" s="1" t="n">
        <v>0.003744364</v>
      </c>
      <c r="O42" s="1" t="n">
        <v>0.003680229</v>
      </c>
      <c r="P42" s="1" t="n">
        <v>0.003988028</v>
      </c>
      <c r="R42" s="1" t="n">
        <f aca="false">PERCENTILE(G42:P42,0.9)</f>
        <v>0.0040955547</v>
      </c>
      <c r="S42" s="5" t="n">
        <f aca="false">spmv_1!R$2/R42</f>
        <v>4.25418525114559</v>
      </c>
      <c r="T42" s="6" t="n">
        <f aca="false">S42/128</f>
        <v>0.0332358222745749</v>
      </c>
    </row>
    <row r="43" customFormat="false" ht="15" hidden="false" customHeight="false" outlineLevel="0" collapsed="false">
      <c r="A43" s="1" t="s">
        <v>15</v>
      </c>
      <c r="B43" s="1" t="n">
        <v>41</v>
      </c>
      <c r="D43" s="1" t="n">
        <v>82760</v>
      </c>
      <c r="E43" s="1" t="n">
        <v>0.041915</v>
      </c>
      <c r="G43" s="1" t="n">
        <v>0.005046368</v>
      </c>
      <c r="H43" s="1" t="n">
        <v>0.003805161</v>
      </c>
      <c r="I43" s="1" t="n">
        <v>0.003843307</v>
      </c>
      <c r="J43" s="1" t="n">
        <v>0.003846884</v>
      </c>
      <c r="K43" s="1" t="n">
        <v>0.003790379</v>
      </c>
      <c r="L43" s="1" t="n">
        <v>0.003735781</v>
      </c>
      <c r="M43" s="1" t="n">
        <v>0.004061937</v>
      </c>
      <c r="N43" s="1" t="n">
        <v>0.003731489</v>
      </c>
      <c r="O43" s="1" t="n">
        <v>0.003666878</v>
      </c>
      <c r="P43" s="1" t="n">
        <v>0.003960848</v>
      </c>
      <c r="R43" s="1" t="n">
        <f aca="false">PERCENTILE(G43:P43,0.9)</f>
        <v>0.0041603801</v>
      </c>
      <c r="S43" s="5" t="n">
        <f aca="false">spmv_1!R$2/R43</f>
        <v>4.18789821631923</v>
      </c>
      <c r="T43" s="6" t="n">
        <f aca="false">S43/128</f>
        <v>0.032717954814994</v>
      </c>
    </row>
    <row r="44" customFormat="false" ht="15" hidden="false" customHeight="false" outlineLevel="0" collapsed="false">
      <c r="A44" s="1" t="s">
        <v>15</v>
      </c>
      <c r="B44" s="1" t="n">
        <v>42</v>
      </c>
      <c r="D44" s="1" t="n">
        <v>83967</v>
      </c>
      <c r="E44" s="1" t="n">
        <v>0.043249</v>
      </c>
      <c r="G44" s="1" t="n">
        <v>0.005000591</v>
      </c>
      <c r="H44" s="1" t="n">
        <v>0.003755093</v>
      </c>
      <c r="I44" s="1" t="n">
        <v>0.003810883</v>
      </c>
      <c r="J44" s="1" t="n">
        <v>0.003804922</v>
      </c>
      <c r="K44" s="1" t="n">
        <v>0.003786802</v>
      </c>
      <c r="L44" s="1" t="n">
        <v>0.003719091</v>
      </c>
      <c r="M44" s="1" t="n">
        <v>0.003684521</v>
      </c>
      <c r="N44" s="1" t="n">
        <v>0.003710508</v>
      </c>
      <c r="O44" s="1" t="n">
        <v>0.003646135</v>
      </c>
      <c r="P44" s="1" t="n">
        <v>0.003911257</v>
      </c>
      <c r="R44" s="1" t="n">
        <f aca="false">PERCENTILE(G44:P44,0.9)</f>
        <v>0.0040201904</v>
      </c>
      <c r="S44" s="5" t="n">
        <f aca="false">spmv_1!R$2/R44</f>
        <v>4.3339361240204</v>
      </c>
      <c r="T44" s="6" t="n">
        <f aca="false">S44/128</f>
        <v>0.0338588759689093</v>
      </c>
    </row>
    <row r="45" customFormat="false" ht="15" hidden="false" customHeight="false" outlineLevel="0" collapsed="false">
      <c r="A45" s="1" t="s">
        <v>15</v>
      </c>
      <c r="B45" s="1" t="n">
        <v>43</v>
      </c>
      <c r="D45" s="1" t="n">
        <v>84262</v>
      </c>
      <c r="E45" s="1" t="n">
        <v>0.043816</v>
      </c>
      <c r="G45" s="1" t="n">
        <v>0.004975557</v>
      </c>
      <c r="H45" s="1" t="n">
        <v>0.003709555</v>
      </c>
      <c r="I45" s="1" t="n">
        <v>0.003793716</v>
      </c>
      <c r="J45" s="1" t="n">
        <v>0.003749609</v>
      </c>
      <c r="K45" s="1" t="n">
        <v>0.003759623</v>
      </c>
      <c r="L45" s="1" t="n">
        <v>0.003670931</v>
      </c>
      <c r="M45" s="1" t="n">
        <v>0.003655672</v>
      </c>
      <c r="N45" s="1" t="n">
        <v>0.00368309</v>
      </c>
      <c r="O45" s="1" t="n">
        <v>0.00361371</v>
      </c>
      <c r="P45" s="1" t="n">
        <v>0.003850222</v>
      </c>
      <c r="R45" s="1" t="n">
        <f aca="false">PERCENTILE(G45:P45,0.9)</f>
        <v>0.0039627555</v>
      </c>
      <c r="S45" s="5" t="n">
        <f aca="false">spmv_1!R$2/R45</f>
        <v>4.39675079625781</v>
      </c>
      <c r="T45" s="6" t="n">
        <f aca="false">S45/128</f>
        <v>0.0343496155957641</v>
      </c>
    </row>
    <row r="46" customFormat="false" ht="15" hidden="false" customHeight="false" outlineLevel="0" collapsed="false">
      <c r="A46" s="1" t="s">
        <v>15</v>
      </c>
      <c r="B46" s="1" t="n">
        <v>44</v>
      </c>
      <c r="D46" s="1" t="n">
        <v>84497</v>
      </c>
      <c r="E46" s="1" t="n">
        <v>0.044208</v>
      </c>
      <c r="G46" s="1" t="n">
        <v>0.004971981</v>
      </c>
      <c r="H46" s="1" t="n">
        <v>0.003707647</v>
      </c>
      <c r="I46" s="1" t="n">
        <v>0.003752232</v>
      </c>
      <c r="J46" s="1" t="n">
        <v>0.003697157</v>
      </c>
      <c r="K46" s="1" t="n">
        <v>0.003717661</v>
      </c>
      <c r="L46" s="1" t="n">
        <v>0.003665924</v>
      </c>
      <c r="M46" s="1" t="n">
        <v>0.003638506</v>
      </c>
      <c r="N46" s="1" t="n">
        <v>0.003648758</v>
      </c>
      <c r="O46" s="1" t="n">
        <v>0.003575087</v>
      </c>
      <c r="P46" s="1" t="n">
        <v>0.003852129</v>
      </c>
      <c r="R46" s="1" t="n">
        <f aca="false">PERCENTILE(G46:P46,0.9)</f>
        <v>0.0039641142</v>
      </c>
      <c r="S46" s="5" t="n">
        <f aca="false">spmv_1!R$2/R46</f>
        <v>4.39524381007994</v>
      </c>
      <c r="T46" s="6" t="n">
        <f aca="false">S46/128</f>
        <v>0.0343378422662495</v>
      </c>
    </row>
    <row r="47" customFormat="false" ht="15" hidden="false" customHeight="false" outlineLevel="0" collapsed="false">
      <c r="A47" s="1" t="s">
        <v>15</v>
      </c>
      <c r="B47" s="1" t="n">
        <v>45</v>
      </c>
      <c r="D47" s="1" t="n">
        <v>83010</v>
      </c>
      <c r="E47" s="1" t="n">
        <v>0.043768</v>
      </c>
      <c r="G47" s="1" t="n">
        <v>0.005007744</v>
      </c>
      <c r="H47" s="1" t="n">
        <v>0.00366044</v>
      </c>
      <c r="I47" s="1" t="n">
        <v>0.003729105</v>
      </c>
      <c r="J47" s="1" t="n">
        <v>0.00367856</v>
      </c>
      <c r="K47" s="1" t="n">
        <v>0.00365591</v>
      </c>
      <c r="L47" s="1" t="n">
        <v>0.003613949</v>
      </c>
      <c r="M47" s="1" t="n">
        <v>0.003613234</v>
      </c>
      <c r="N47" s="1" t="n">
        <v>0.003641605</v>
      </c>
      <c r="O47" s="1" t="n">
        <v>0.00355792</v>
      </c>
      <c r="P47" s="1" t="n">
        <v>0.003772974</v>
      </c>
      <c r="R47" s="1" t="n">
        <f aca="false">PERCENTILE(G47:P47,0.9)</f>
        <v>0.003896451</v>
      </c>
      <c r="S47" s="5" t="n">
        <f aca="false">spmv_1!R$2/R47</f>
        <v>4.47156871727631</v>
      </c>
      <c r="T47" s="6" t="n">
        <f aca="false">S47/128</f>
        <v>0.0349341306037212</v>
      </c>
    </row>
    <row r="48" customFormat="false" ht="15" hidden="false" customHeight="false" outlineLevel="0" collapsed="false">
      <c r="A48" s="1" t="s">
        <v>15</v>
      </c>
      <c r="B48" s="1" t="n">
        <v>46</v>
      </c>
      <c r="D48" s="1" t="n">
        <v>83087</v>
      </c>
      <c r="E48" s="1" t="n">
        <v>0.044125</v>
      </c>
      <c r="G48" s="1" t="n">
        <v>0.004914999</v>
      </c>
      <c r="H48" s="1" t="n">
        <v>0.003605604</v>
      </c>
      <c r="I48" s="1" t="n">
        <v>0.003716946</v>
      </c>
      <c r="J48" s="1" t="n">
        <v>0.003656149</v>
      </c>
      <c r="K48" s="1" t="n">
        <v>0.003645897</v>
      </c>
      <c r="L48" s="1" t="n">
        <v>0.003595352</v>
      </c>
      <c r="M48" s="1" t="n">
        <v>0.003600836</v>
      </c>
      <c r="N48" s="1" t="n">
        <v>0.003634453</v>
      </c>
      <c r="O48" s="1" t="n">
        <v>0.003508091</v>
      </c>
      <c r="P48" s="1" t="n">
        <v>0.003781557</v>
      </c>
      <c r="R48" s="1" t="n">
        <f aca="false">PERCENTILE(G48:P48,0.9)</f>
        <v>0.0038949012</v>
      </c>
      <c r="S48" s="5" t="n">
        <f aca="false">spmv_1!R$2/R48</f>
        <v>4.47334797606676</v>
      </c>
      <c r="T48" s="6" t="n">
        <f aca="false">S48/128</f>
        <v>0.0349480310630216</v>
      </c>
    </row>
    <row r="49" customFormat="false" ht="15" hidden="false" customHeight="false" outlineLevel="0" collapsed="false">
      <c r="A49" s="1" t="s">
        <v>15</v>
      </c>
      <c r="B49" s="1" t="n">
        <v>47</v>
      </c>
      <c r="D49" s="1" t="n">
        <v>82982</v>
      </c>
      <c r="E49" s="1" t="n">
        <v>0.044388</v>
      </c>
      <c r="G49" s="1" t="n">
        <v>0.004897356</v>
      </c>
      <c r="H49" s="1" t="n">
        <v>0.003584385</v>
      </c>
      <c r="I49" s="1" t="n">
        <v>0.003662109</v>
      </c>
      <c r="J49" s="1" t="n">
        <v>0.003637314</v>
      </c>
      <c r="K49" s="1" t="n">
        <v>0.003633976</v>
      </c>
      <c r="L49" s="1" t="n">
        <v>0.003574848</v>
      </c>
      <c r="M49" s="1" t="n">
        <v>0.003590584</v>
      </c>
      <c r="N49" s="1" t="n">
        <v>0.00357914</v>
      </c>
      <c r="O49" s="1" t="n">
        <v>0.003484726</v>
      </c>
      <c r="P49" s="1" t="n">
        <v>0.003745079</v>
      </c>
      <c r="R49" s="1" t="n">
        <f aca="false">PERCENTILE(G49:P49,0.9)</f>
        <v>0.0038603067</v>
      </c>
      <c r="S49" s="5" t="n">
        <f aca="false">spmv_1!R$2/R49</f>
        <v>4.513436302872</v>
      </c>
      <c r="T49" s="6" t="n">
        <f aca="false">S49/128</f>
        <v>0.0352612211161875</v>
      </c>
    </row>
    <row r="50" customFormat="false" ht="15" hidden="false" customHeight="false" outlineLevel="0" collapsed="false">
      <c r="A50" s="1" t="s">
        <v>15</v>
      </c>
      <c r="B50" s="1" t="n">
        <v>48</v>
      </c>
      <c r="D50" s="1" t="n">
        <v>83123</v>
      </c>
      <c r="E50" s="1" t="n">
        <v>0.044416</v>
      </c>
      <c r="G50" s="1" t="n">
        <v>0.004895449</v>
      </c>
      <c r="H50" s="1" t="n">
        <v>0.003571272</v>
      </c>
      <c r="I50" s="1" t="n">
        <v>0.003666401</v>
      </c>
      <c r="J50" s="1" t="n">
        <v>0.00361681</v>
      </c>
      <c r="K50" s="1" t="n">
        <v>0.003625631</v>
      </c>
      <c r="L50" s="1" t="n">
        <v>0.003571272</v>
      </c>
      <c r="M50" s="1" t="n">
        <v>0.003550291</v>
      </c>
      <c r="N50" s="1" t="n">
        <v>0.003728151</v>
      </c>
      <c r="O50" s="1" t="n">
        <v>0.003465414</v>
      </c>
      <c r="P50" s="1" t="n">
        <v>0.00373888</v>
      </c>
      <c r="R50" s="1" t="n">
        <f aca="false">PERCENTILE(G50:P50,0.9)</f>
        <v>0.0038545369</v>
      </c>
      <c r="S50" s="5" t="n">
        <f aca="false">spmv_1!R$2/R50</f>
        <v>4.52019239976662</v>
      </c>
      <c r="T50" s="6" t="n">
        <f aca="false">S50/128</f>
        <v>0.0353140031231767</v>
      </c>
    </row>
    <row r="51" customFormat="false" ht="15" hidden="false" customHeight="false" outlineLevel="0" collapsed="false">
      <c r="A51" s="1" t="s">
        <v>15</v>
      </c>
      <c r="B51" s="1" t="n">
        <v>49</v>
      </c>
      <c r="D51" s="1" t="n">
        <v>83012</v>
      </c>
      <c r="E51" s="1" t="n">
        <v>0.044894</v>
      </c>
      <c r="G51" s="1" t="n">
        <v>0.004874468</v>
      </c>
      <c r="H51" s="1" t="n">
        <v>0.003565073</v>
      </c>
      <c r="I51" s="1" t="n">
        <v>0.003627062</v>
      </c>
      <c r="J51" s="1" t="n">
        <v>0.003602028</v>
      </c>
      <c r="K51" s="1" t="n">
        <v>0.003607273</v>
      </c>
      <c r="L51" s="1" t="n">
        <v>0.003563404</v>
      </c>
      <c r="M51" s="1" t="n">
        <v>0.00349474</v>
      </c>
      <c r="N51" s="1" t="n">
        <v>0.003512383</v>
      </c>
      <c r="O51" s="1" t="n">
        <v>0.003447771</v>
      </c>
      <c r="P51" s="1" t="n">
        <v>0.003686905</v>
      </c>
      <c r="R51" s="1" t="n">
        <f aca="false">PERCENTILE(G51:P51,0.9)</f>
        <v>0.0038056613</v>
      </c>
      <c r="S51" s="5" t="n">
        <f aca="false">spmv_1!R$2/R51</f>
        <v>4.57824462728725</v>
      </c>
      <c r="T51" s="6" t="n">
        <f aca="false">S51/128</f>
        <v>0.0357675361506816</v>
      </c>
    </row>
    <row r="52" customFormat="false" ht="15" hidden="false" customHeight="false" outlineLevel="0" collapsed="false">
      <c r="A52" s="1" t="s">
        <v>15</v>
      </c>
      <c r="B52" s="1" t="n">
        <v>50</v>
      </c>
      <c r="D52" s="1" t="n">
        <v>82706</v>
      </c>
      <c r="E52" s="1" t="n">
        <v>0.045101</v>
      </c>
      <c r="G52" s="1" t="n">
        <v>0.004920006</v>
      </c>
      <c r="H52" s="1" t="n">
        <v>0.003542423</v>
      </c>
      <c r="I52" s="1" t="n">
        <v>0.003590584</v>
      </c>
      <c r="J52" s="1" t="n">
        <v>0.003543615</v>
      </c>
      <c r="K52" s="1" t="n">
        <v>0.003557205</v>
      </c>
      <c r="L52" s="1" t="n">
        <v>0.003507614</v>
      </c>
      <c r="M52" s="1" t="n">
        <v>0.00346446</v>
      </c>
      <c r="N52" s="1" t="n">
        <v>0.003467083</v>
      </c>
      <c r="O52" s="1" t="n">
        <v>0.003426552</v>
      </c>
      <c r="P52" s="1" t="n">
        <v>0.003656387</v>
      </c>
      <c r="R52" s="1" t="n">
        <f aca="false">PERCENTILE(G52:P52,0.9)</f>
        <v>0.0037827489</v>
      </c>
      <c r="S52" s="5" t="n">
        <f aca="false">spmv_1!R$2/R52</f>
        <v>4.60597540587481</v>
      </c>
      <c r="T52" s="6" t="n">
        <f aca="false">S52/128</f>
        <v>0.035984182858397</v>
      </c>
    </row>
    <row r="53" customFormat="false" ht="15" hidden="false" customHeight="false" outlineLevel="0" collapsed="false">
      <c r="A53" s="1" t="s">
        <v>15</v>
      </c>
      <c r="B53" s="1" t="n">
        <v>51</v>
      </c>
      <c r="D53" s="1" t="n">
        <v>82466</v>
      </c>
      <c r="E53" s="1" t="n">
        <v>0.045494</v>
      </c>
      <c r="G53" s="1" t="n">
        <v>0.004857063</v>
      </c>
      <c r="H53" s="1" t="n">
        <v>0.003503799</v>
      </c>
      <c r="I53" s="1" t="n">
        <v>0.003536701</v>
      </c>
      <c r="J53" s="1" t="n">
        <v>0.003483534</v>
      </c>
      <c r="K53" s="1" t="n">
        <v>0.003498793</v>
      </c>
      <c r="L53" s="1" t="n">
        <v>0.003447056</v>
      </c>
      <c r="M53" s="1" t="n">
        <v>0.003441811</v>
      </c>
      <c r="N53" s="1" t="n">
        <v>0.003463507</v>
      </c>
      <c r="O53" s="1" t="n">
        <v>0.003418922</v>
      </c>
      <c r="P53" s="1" t="n">
        <v>0.003602266</v>
      </c>
      <c r="R53" s="1" t="n">
        <f aca="false">PERCENTILE(G53:P53,0.9)</f>
        <v>0.0037277457</v>
      </c>
      <c r="S53" s="5" t="n">
        <f aca="false">spmv_1!R$2/R53</f>
        <v>4.67393695873621</v>
      </c>
      <c r="T53" s="6" t="n">
        <f aca="false">S53/128</f>
        <v>0.0365151324901267</v>
      </c>
    </row>
    <row r="54" customFormat="false" ht="15" hidden="false" customHeight="false" outlineLevel="0" collapsed="false">
      <c r="A54" s="1" t="s">
        <v>15</v>
      </c>
      <c r="B54" s="1" t="n">
        <v>52</v>
      </c>
      <c r="D54" s="1" t="n">
        <v>82291</v>
      </c>
      <c r="E54" s="1" t="n">
        <v>0.045805</v>
      </c>
      <c r="G54" s="1" t="n">
        <v>0.004832268</v>
      </c>
      <c r="H54" s="1" t="n">
        <v>0.003456593</v>
      </c>
      <c r="I54" s="1" t="n">
        <v>0.003481865</v>
      </c>
      <c r="J54" s="1" t="n">
        <v>0.003476143</v>
      </c>
      <c r="K54" s="1" t="n">
        <v>0.003468752</v>
      </c>
      <c r="L54" s="1" t="n">
        <v>0.003421783</v>
      </c>
      <c r="M54" s="1" t="n">
        <v>0.003418446</v>
      </c>
      <c r="N54" s="1" t="n">
        <v>0.003409624</v>
      </c>
      <c r="O54" s="1" t="n">
        <v>0.003386021</v>
      </c>
      <c r="P54" s="1" t="n">
        <v>0.003579378</v>
      </c>
      <c r="R54" s="1" t="n">
        <f aca="false">PERCENTILE(G54:P54,0.9)</f>
        <v>0.003704667</v>
      </c>
      <c r="S54" s="5" t="n">
        <f aca="false">spmv_1!R$2/R54</f>
        <v>4.70305385072397</v>
      </c>
      <c r="T54" s="6" t="n">
        <f aca="false">S54/128</f>
        <v>0.036742608208781</v>
      </c>
    </row>
    <row r="55" customFormat="false" ht="15" hidden="false" customHeight="false" outlineLevel="0" collapsed="false">
      <c r="A55" s="1" t="s">
        <v>15</v>
      </c>
      <c r="B55" s="1" t="n">
        <v>53</v>
      </c>
      <c r="D55" s="1" t="n">
        <v>82408</v>
      </c>
      <c r="E55" s="1" t="n">
        <v>0.046156</v>
      </c>
      <c r="G55" s="1" t="n">
        <v>0.004827499</v>
      </c>
      <c r="H55" s="1" t="n">
        <v>0.003388882</v>
      </c>
      <c r="I55" s="1" t="n">
        <v>0.003461123</v>
      </c>
      <c r="J55" s="1" t="n">
        <v>0.003465414</v>
      </c>
      <c r="K55" s="1" t="n">
        <v>0.003441572</v>
      </c>
      <c r="L55" s="1" t="n">
        <v>0.003401756</v>
      </c>
      <c r="M55" s="1" t="n">
        <v>0.003382683</v>
      </c>
      <c r="N55" s="1" t="n">
        <v>0.003363371</v>
      </c>
      <c r="O55" s="1" t="n">
        <v>0.003379107</v>
      </c>
      <c r="P55" s="1" t="n">
        <v>0.003597021</v>
      </c>
      <c r="R55" s="1" t="n">
        <f aca="false">PERCENTILE(G55:P55,0.9)</f>
        <v>0.0037200688</v>
      </c>
      <c r="S55" s="5" t="n">
        <f aca="false">spmv_1!R$2/R55</f>
        <v>4.68358230363912</v>
      </c>
      <c r="T55" s="6" t="n">
        <f aca="false">S55/128</f>
        <v>0.0365904867471806</v>
      </c>
    </row>
    <row r="56" customFormat="false" ht="15" hidden="false" customHeight="false" outlineLevel="0" collapsed="false">
      <c r="A56" s="1" t="s">
        <v>15</v>
      </c>
      <c r="B56" s="1" t="n">
        <v>54</v>
      </c>
      <c r="D56" s="1" t="n">
        <v>82856</v>
      </c>
      <c r="E56" s="1" t="n">
        <v>0.04675</v>
      </c>
      <c r="G56" s="1" t="n">
        <v>0.00480938</v>
      </c>
      <c r="H56" s="1" t="n">
        <v>0.003371477</v>
      </c>
      <c r="I56" s="1" t="n">
        <v>0.003439665</v>
      </c>
      <c r="J56" s="1" t="n">
        <v>0.003413439</v>
      </c>
      <c r="K56" s="1" t="n">
        <v>0.003427744</v>
      </c>
      <c r="L56" s="1" t="n">
        <v>0.003379822</v>
      </c>
      <c r="M56" s="1" t="n">
        <v>0.003376007</v>
      </c>
      <c r="N56" s="1" t="n">
        <v>0.003341675</v>
      </c>
      <c r="O56" s="1" t="n">
        <v>0.003335953</v>
      </c>
      <c r="P56" s="1" t="n">
        <v>0.003551006</v>
      </c>
      <c r="R56" s="1" t="n">
        <f aca="false">PERCENTILE(G56:P56,0.9)</f>
        <v>0.0036768434</v>
      </c>
      <c r="S56" s="5" t="n">
        <f aca="false">spmv_1!R$2/R56</f>
        <v>4.73864304364989</v>
      </c>
      <c r="T56" s="6" t="n">
        <f aca="false">S56/128</f>
        <v>0.0370206487785147</v>
      </c>
    </row>
    <row r="57" customFormat="false" ht="15" hidden="false" customHeight="false" outlineLevel="0" collapsed="false">
      <c r="A57" s="1" t="s">
        <v>15</v>
      </c>
      <c r="B57" s="1" t="n">
        <v>55</v>
      </c>
      <c r="D57" s="1" t="n">
        <v>83120</v>
      </c>
      <c r="E57" s="1" t="n">
        <v>0.047409</v>
      </c>
      <c r="G57" s="1" t="n">
        <v>0.004788876</v>
      </c>
      <c r="H57" s="1" t="n">
        <v>0.003343582</v>
      </c>
      <c r="I57" s="1" t="n">
        <v>0.003420115</v>
      </c>
      <c r="J57" s="1" t="n">
        <v>0.003358364</v>
      </c>
      <c r="K57" s="1" t="n">
        <v>0.003382921</v>
      </c>
      <c r="L57" s="1" t="n">
        <v>0.003348112</v>
      </c>
      <c r="M57" s="1" t="n">
        <v>0.003330231</v>
      </c>
      <c r="N57" s="1" t="n">
        <v>0.003319263</v>
      </c>
      <c r="O57" s="1" t="n">
        <v>0.003279924</v>
      </c>
      <c r="P57" s="1" t="n">
        <v>0.003493547</v>
      </c>
      <c r="R57" s="1" t="n">
        <f aca="false">PERCENTILE(G57:P57,0.9)</f>
        <v>0.0036230799</v>
      </c>
      <c r="S57" s="5" t="n">
        <f aca="false">spmv_1!R$2/R57</f>
        <v>4.80896057522772</v>
      </c>
      <c r="T57" s="6" t="n">
        <f aca="false">S57/128</f>
        <v>0.0375700044939666</v>
      </c>
    </row>
    <row r="58" customFormat="false" ht="15" hidden="false" customHeight="false" outlineLevel="0" collapsed="false">
      <c r="A58" s="1" t="s">
        <v>15</v>
      </c>
      <c r="B58" s="1" t="n">
        <v>56</v>
      </c>
      <c r="D58" s="1" t="n">
        <v>82694</v>
      </c>
      <c r="E58" s="1" t="n">
        <v>0.047613</v>
      </c>
      <c r="G58" s="1" t="n">
        <v>0.00477314</v>
      </c>
      <c r="H58" s="1" t="n">
        <v>0.003297091</v>
      </c>
      <c r="I58" s="1" t="n">
        <v>0.003381491</v>
      </c>
      <c r="J58" s="1" t="n">
        <v>0.003330708</v>
      </c>
      <c r="K58" s="1" t="n">
        <v>0.003319979</v>
      </c>
      <c r="L58" s="1" t="n">
        <v>0.003338099</v>
      </c>
      <c r="M58" s="1" t="n">
        <v>0.003267765</v>
      </c>
      <c r="N58" s="1" t="n">
        <v>0.003309011</v>
      </c>
      <c r="O58" s="1" t="n">
        <v>0.003245115</v>
      </c>
      <c r="P58" s="1" t="n">
        <v>0.003473759</v>
      </c>
      <c r="R58" s="1" t="n">
        <f aca="false">PERCENTILE(G58:P58,0.9)</f>
        <v>0.0036036971</v>
      </c>
      <c r="S58" s="5" t="n">
        <f aca="false">spmv_1!R$2/R58</f>
        <v>4.83482599023098</v>
      </c>
      <c r="T58" s="6" t="n">
        <f aca="false">S58/128</f>
        <v>0.0377720780486795</v>
      </c>
    </row>
    <row r="59" customFormat="false" ht="15" hidden="false" customHeight="false" outlineLevel="0" collapsed="false">
      <c r="A59" s="1" t="s">
        <v>15</v>
      </c>
      <c r="B59" s="1" t="n">
        <v>57</v>
      </c>
      <c r="D59" s="1" t="n">
        <v>82523</v>
      </c>
      <c r="E59" s="1" t="n">
        <v>0.047673</v>
      </c>
      <c r="G59" s="1" t="n">
        <v>0.004770994</v>
      </c>
      <c r="H59" s="1" t="n">
        <v>0.003283978</v>
      </c>
      <c r="I59" s="1" t="n">
        <v>0.003383875</v>
      </c>
      <c r="J59" s="1" t="n">
        <v>0.003321886</v>
      </c>
      <c r="K59" s="1" t="n">
        <v>0.003309488</v>
      </c>
      <c r="L59" s="1" t="n">
        <v>0.003300905</v>
      </c>
      <c r="M59" s="1" t="n">
        <v>0.003259182</v>
      </c>
      <c r="N59" s="1" t="n">
        <v>0.003308296</v>
      </c>
      <c r="O59" s="1" t="n">
        <v>0.003246546</v>
      </c>
      <c r="P59" s="1" t="n">
        <v>0.003435135</v>
      </c>
      <c r="R59" s="1" t="n">
        <f aca="false">PERCENTILE(G59:P59,0.9)</f>
        <v>0.0035687209</v>
      </c>
      <c r="S59" s="5" t="n">
        <f aca="false">spmv_1!R$2/R59</f>
        <v>4.88221099049802</v>
      </c>
      <c r="T59" s="6" t="n">
        <f aca="false">S59/128</f>
        <v>0.0381422733632658</v>
      </c>
    </row>
    <row r="60" customFormat="false" ht="15" hidden="false" customHeight="false" outlineLevel="0" collapsed="false">
      <c r="A60" s="1" t="s">
        <v>15</v>
      </c>
      <c r="B60" s="1" t="n">
        <v>58</v>
      </c>
      <c r="D60" s="1" t="n">
        <v>82052</v>
      </c>
      <c r="E60" s="1" t="n">
        <v>0.047944</v>
      </c>
      <c r="G60" s="1" t="n">
        <v>0.004750013</v>
      </c>
      <c r="H60" s="1" t="n">
        <v>0.003227472</v>
      </c>
      <c r="I60" s="1" t="n">
        <v>0.003329039</v>
      </c>
      <c r="J60" s="1" t="n">
        <v>0.003292561</v>
      </c>
      <c r="K60" s="1" t="n">
        <v>0.003277302</v>
      </c>
      <c r="L60" s="1" t="n">
        <v>0.003288031</v>
      </c>
      <c r="M60" s="1" t="n">
        <v>0.00322032</v>
      </c>
      <c r="N60" s="1" t="n">
        <v>0.003265142</v>
      </c>
      <c r="O60" s="1" t="n">
        <v>0.003193855</v>
      </c>
      <c r="P60" s="1" t="n">
        <v>0.00338459</v>
      </c>
      <c r="R60" s="1" t="n">
        <f aca="false">PERCENTILE(G60:P60,0.9)</f>
        <v>0.0035211323</v>
      </c>
      <c r="S60" s="5" t="n">
        <f aca="false">spmv_1!R$2/R60</f>
        <v>4.9481947611</v>
      </c>
      <c r="T60" s="6" t="n">
        <f aca="false">S60/128</f>
        <v>0.0386577715710938</v>
      </c>
    </row>
    <row r="61" customFormat="false" ht="15" hidden="false" customHeight="false" outlineLevel="0" collapsed="false">
      <c r="A61" s="1" t="s">
        <v>15</v>
      </c>
      <c r="B61" s="1" t="n">
        <v>59</v>
      </c>
      <c r="D61" s="1" t="n">
        <v>82381</v>
      </c>
      <c r="E61" s="1" t="n">
        <v>0.048383</v>
      </c>
      <c r="G61" s="1" t="n">
        <v>0.004768133</v>
      </c>
      <c r="H61" s="1" t="n">
        <v>0.003218651</v>
      </c>
      <c r="I61" s="1" t="n">
        <v>0.003294706</v>
      </c>
      <c r="J61" s="1" t="n">
        <v>0.0032444</v>
      </c>
      <c r="K61" s="1" t="n">
        <v>0.003256321</v>
      </c>
      <c r="L61" s="1" t="n">
        <v>0.003243208</v>
      </c>
      <c r="M61" s="1" t="n">
        <v>0.003212452</v>
      </c>
      <c r="N61" s="1" t="n">
        <v>0.003258705</v>
      </c>
      <c r="O61" s="1" t="n">
        <v>0.003185987</v>
      </c>
      <c r="P61" s="1" t="n">
        <v>0.003371477</v>
      </c>
      <c r="R61" s="1" t="n">
        <f aca="false">PERCENTILE(G61:P61,0.9)</f>
        <v>0.0035111426</v>
      </c>
      <c r="S61" s="5" t="n">
        <f aca="false">spmv_1!R$2/R61</f>
        <v>4.96227307885473</v>
      </c>
      <c r="T61" s="6" t="n">
        <f aca="false">S61/128</f>
        <v>0.0387677584285526</v>
      </c>
    </row>
    <row r="62" customFormat="false" ht="15" hidden="false" customHeight="false" outlineLevel="0" collapsed="false">
      <c r="A62" s="1" t="s">
        <v>15</v>
      </c>
      <c r="B62" s="1" t="n">
        <v>60</v>
      </c>
      <c r="D62" s="1" t="n">
        <v>82111</v>
      </c>
      <c r="E62" s="1" t="n">
        <v>0.048707</v>
      </c>
      <c r="G62" s="1" t="n">
        <v>0.00470829</v>
      </c>
      <c r="H62" s="1" t="n">
        <v>0.0032022</v>
      </c>
      <c r="I62" s="1" t="n">
        <v>0.003283024</v>
      </c>
      <c r="J62" s="1" t="n">
        <v>0.003188133</v>
      </c>
      <c r="K62" s="1" t="n">
        <v>0.003209114</v>
      </c>
      <c r="L62" s="1" t="n">
        <v>0.003201008</v>
      </c>
      <c r="M62" s="1" t="n">
        <v>0.003180027</v>
      </c>
      <c r="N62" s="1" t="n">
        <v>0.003211498</v>
      </c>
      <c r="O62" s="1" t="n">
        <v>0.003167868</v>
      </c>
      <c r="P62" s="1" t="n">
        <v>0.003365278</v>
      </c>
      <c r="R62" s="1" t="n">
        <f aca="false">PERCENTILE(G62:P62,0.9)</f>
        <v>0.0034995792</v>
      </c>
      <c r="S62" s="5" t="n">
        <f aca="false">spmv_1!R$2/R62</f>
        <v>4.97866954975615</v>
      </c>
      <c r="T62" s="6" t="n">
        <f aca="false">S62/128</f>
        <v>0.03889585585747</v>
      </c>
    </row>
    <row r="63" customFormat="false" ht="15" hidden="false" customHeight="false" outlineLevel="0" collapsed="false">
      <c r="A63" s="1" t="s">
        <v>15</v>
      </c>
      <c r="B63" s="1" t="n">
        <v>61</v>
      </c>
      <c r="D63" s="1" t="n">
        <v>82190</v>
      </c>
      <c r="E63" s="1" t="n">
        <v>0.049112</v>
      </c>
      <c r="G63" s="1" t="n">
        <v>0.004710436</v>
      </c>
      <c r="H63" s="1" t="n">
        <v>0.003156424</v>
      </c>
      <c r="I63" s="1" t="n">
        <v>0.003243923</v>
      </c>
      <c r="J63" s="1" t="n">
        <v>0.003178596</v>
      </c>
      <c r="K63" s="1" t="n">
        <v>0.003198147</v>
      </c>
      <c r="L63" s="1" t="n">
        <v>0.003194571</v>
      </c>
      <c r="M63" s="1" t="n">
        <v>0.003171206</v>
      </c>
      <c r="N63" s="1" t="n">
        <v>0.003168821</v>
      </c>
      <c r="O63" s="1" t="n">
        <v>0.003122091</v>
      </c>
      <c r="P63" s="1" t="n">
        <v>0.003325939</v>
      </c>
      <c r="R63" s="1" t="n">
        <f aca="false">PERCENTILE(G63:P63,0.9)</f>
        <v>0.0034643887</v>
      </c>
      <c r="S63" s="5" t="n">
        <f aca="false">spmv_1!R$2/R63</f>
        <v>5.02924178225151</v>
      </c>
      <c r="T63" s="6" t="n">
        <f aca="false">S63/128</f>
        <v>0.0392909514238399</v>
      </c>
    </row>
    <row r="64" customFormat="false" ht="15" hidden="false" customHeight="false" outlineLevel="0" collapsed="false">
      <c r="A64" s="1" t="s">
        <v>15</v>
      </c>
      <c r="B64" s="1" t="n">
        <v>62</v>
      </c>
      <c r="D64" s="1" t="n">
        <v>82321</v>
      </c>
      <c r="E64" s="1" t="n">
        <v>0.049794</v>
      </c>
      <c r="G64" s="1" t="n">
        <v>0.004682064</v>
      </c>
      <c r="H64" s="1" t="n">
        <v>0.003103256</v>
      </c>
      <c r="I64" s="1" t="n">
        <v>0.003230572</v>
      </c>
      <c r="J64" s="1" t="n">
        <v>0.003141165</v>
      </c>
      <c r="K64" s="1" t="n">
        <v>0.003176689</v>
      </c>
      <c r="L64" s="1" t="n">
        <v>0.003167629</v>
      </c>
      <c r="M64" s="1" t="n">
        <v>0.003112078</v>
      </c>
      <c r="N64" s="1" t="n">
        <v>0.003102064</v>
      </c>
      <c r="O64" s="1" t="n">
        <v>0.003079891</v>
      </c>
      <c r="P64" s="1" t="n">
        <v>0.003268957</v>
      </c>
      <c r="R64" s="1" t="n">
        <f aca="false">PERCENTILE(G64:P64,0.9)</f>
        <v>0.0034102677</v>
      </c>
      <c r="S64" s="5" t="n">
        <f aca="false">spmv_1!R$2/R64</f>
        <v>5.10905592543366</v>
      </c>
      <c r="T64" s="6" t="n">
        <f aca="false">S64/128</f>
        <v>0.0399144994174504</v>
      </c>
    </row>
    <row r="65" customFormat="false" ht="15" hidden="false" customHeight="false" outlineLevel="0" collapsed="false">
      <c r="A65" s="1" t="s">
        <v>15</v>
      </c>
      <c r="B65" s="1" t="n">
        <v>63</v>
      </c>
      <c r="D65" s="1" t="n">
        <v>83840</v>
      </c>
      <c r="E65" s="1" t="n">
        <v>0.051125</v>
      </c>
      <c r="G65" s="1" t="n">
        <v>0.004658937</v>
      </c>
      <c r="H65" s="1" t="n">
        <v>0.003052473</v>
      </c>
      <c r="I65" s="1" t="n">
        <v>0.003211975</v>
      </c>
      <c r="J65" s="1" t="n">
        <v>0.003144503</v>
      </c>
      <c r="K65" s="1" t="n">
        <v>0.00317049</v>
      </c>
      <c r="L65" s="1" t="n">
        <v>0.003115416</v>
      </c>
      <c r="M65" s="1" t="n">
        <v>0.003063917</v>
      </c>
      <c r="N65" s="1" t="n">
        <v>0.003084183</v>
      </c>
      <c r="O65" s="1" t="n">
        <v>0.003070593</v>
      </c>
      <c r="P65" s="1" t="n">
        <v>0.003225565</v>
      </c>
      <c r="R65" s="1" t="n">
        <f aca="false">PERCENTILE(G65:P65,0.9)</f>
        <v>0.0033689022</v>
      </c>
      <c r="S65" s="5" t="n">
        <f aca="false">spmv_1!R$2/R65</f>
        <v>5.17178812730153</v>
      </c>
      <c r="T65" s="6" t="n">
        <f aca="false">S65/128</f>
        <v>0.0404045947445432</v>
      </c>
    </row>
    <row r="66" customFormat="false" ht="15" hidden="false" customHeight="false" outlineLevel="0" collapsed="false">
      <c r="A66" s="1" t="s">
        <v>15</v>
      </c>
      <c r="B66" s="1" t="n">
        <v>64</v>
      </c>
      <c r="D66" s="1" t="n">
        <v>83921</v>
      </c>
      <c r="E66" s="1" t="n">
        <v>0.04937</v>
      </c>
      <c r="G66" s="1" t="n">
        <v>0.005004406</v>
      </c>
      <c r="H66" s="1" t="n">
        <v>0.003459454</v>
      </c>
      <c r="I66" s="1" t="n">
        <v>0.003237247</v>
      </c>
      <c r="J66" s="1" t="n">
        <v>0.003267765</v>
      </c>
      <c r="K66" s="1" t="n">
        <v>0.003185034</v>
      </c>
      <c r="L66" s="1" t="n">
        <v>0.00316906</v>
      </c>
      <c r="M66" s="1" t="n">
        <v>0.003095627</v>
      </c>
      <c r="N66" s="1" t="n">
        <v>0.003107071</v>
      </c>
      <c r="O66" s="1" t="n">
        <v>0.003134489</v>
      </c>
      <c r="P66" s="1" t="n">
        <v>0.003336906</v>
      </c>
      <c r="R66" s="1" t="n">
        <f aca="false">PERCENTILE(G66:P66,0.9)</f>
        <v>0.0036139492</v>
      </c>
      <c r="S66" s="5" t="n">
        <f aca="false">spmv_1!R$2/R66</f>
        <v>4.82111049042969</v>
      </c>
      <c r="T66" s="6" t="n">
        <f aca="false">S66/128</f>
        <v>0.037664925706482</v>
      </c>
    </row>
    <row r="67" customFormat="false" ht="15" hidden="false" customHeight="false" outlineLevel="0" collapsed="false">
      <c r="A67" s="1" t="s">
        <v>15</v>
      </c>
      <c r="B67" s="1" t="n">
        <v>65</v>
      </c>
      <c r="D67" s="1" t="n">
        <v>84249</v>
      </c>
      <c r="E67" s="1" t="n">
        <v>0.050749</v>
      </c>
      <c r="G67" s="1" t="n">
        <v>0.004594803</v>
      </c>
      <c r="H67" s="1" t="n">
        <v>0.003373861</v>
      </c>
      <c r="I67" s="1" t="n">
        <v>0.003144026</v>
      </c>
      <c r="J67" s="1" t="n">
        <v>0.003208637</v>
      </c>
      <c r="K67" s="1" t="n">
        <v>0.003175735</v>
      </c>
      <c r="L67" s="1" t="n">
        <v>0.003136635</v>
      </c>
      <c r="M67" s="1" t="n">
        <v>0.003087044</v>
      </c>
      <c r="N67" s="1" t="n">
        <v>0.003082991</v>
      </c>
      <c r="O67" s="1" t="n">
        <v>0.0031178</v>
      </c>
      <c r="P67" s="1" t="n">
        <v>0.003280401</v>
      </c>
      <c r="R67" s="1" t="n">
        <f aca="false">PERCENTILE(G67:P67,0.9)</f>
        <v>0.0034959552</v>
      </c>
      <c r="S67" s="5" t="n">
        <f aca="false">spmv_1!R$2/R67</f>
        <v>4.98383057082654</v>
      </c>
      <c r="T67" s="6" t="n">
        <f aca="false">S67/128</f>
        <v>0.0389361763345823</v>
      </c>
    </row>
    <row r="68" customFormat="false" ht="15" hidden="false" customHeight="false" outlineLevel="0" collapsed="false">
      <c r="A68" s="1" t="s">
        <v>15</v>
      </c>
      <c r="B68" s="1" t="n">
        <v>66</v>
      </c>
      <c r="D68" s="1" t="n">
        <v>82763</v>
      </c>
      <c r="E68" s="1" t="n">
        <v>0.050217</v>
      </c>
      <c r="G68" s="1" t="n">
        <v>0.004867315</v>
      </c>
      <c r="H68" s="1" t="n">
        <v>0.003363609</v>
      </c>
      <c r="I68" s="1" t="n">
        <v>0.003142834</v>
      </c>
      <c r="J68" s="1" t="n">
        <v>0.003156185</v>
      </c>
      <c r="K68" s="1" t="n">
        <v>0.003069878</v>
      </c>
      <c r="L68" s="1" t="n">
        <v>0.003047943</v>
      </c>
      <c r="M68" s="1" t="n">
        <v>0.003028154</v>
      </c>
      <c r="N68" s="1" t="n">
        <v>0.003039122</v>
      </c>
      <c r="O68" s="1" t="n">
        <v>0.003034353</v>
      </c>
      <c r="P68" s="1" t="n">
        <v>0.003212452</v>
      </c>
      <c r="R68" s="1" t="n">
        <f aca="false">PERCENTILE(G68:P68,0.9)</f>
        <v>0.0035139796</v>
      </c>
      <c r="S68" s="5" t="n">
        <f aca="false">spmv_1!R$2/R68</f>
        <v>4.9582668038255</v>
      </c>
      <c r="T68" s="6" t="n">
        <f aca="false">S68/128</f>
        <v>0.0387364594048867</v>
      </c>
    </row>
    <row r="69" customFormat="false" ht="15" hidden="false" customHeight="false" outlineLevel="0" collapsed="false">
      <c r="A69" s="1" t="s">
        <v>15</v>
      </c>
      <c r="B69" s="1" t="n">
        <v>67</v>
      </c>
      <c r="D69" s="1" t="n">
        <v>83040</v>
      </c>
      <c r="E69" s="1" t="n">
        <v>0.05044</v>
      </c>
      <c r="G69" s="1" t="n">
        <v>0.004937887</v>
      </c>
      <c r="H69" s="1" t="n">
        <v>0.003388643</v>
      </c>
      <c r="I69" s="1" t="n">
        <v>0.003098011</v>
      </c>
      <c r="J69" s="1" t="n">
        <v>0.003127098</v>
      </c>
      <c r="K69" s="1" t="n">
        <v>0.003037214</v>
      </c>
      <c r="L69" s="1" t="n">
        <v>0.003041983</v>
      </c>
      <c r="M69" s="1" t="n">
        <v>0.00302124</v>
      </c>
      <c r="N69" s="1" t="n">
        <v>0.003042459</v>
      </c>
      <c r="O69" s="1" t="n">
        <v>0.002996922</v>
      </c>
      <c r="P69" s="1" t="n">
        <v>0.003234625</v>
      </c>
      <c r="R69" s="1" t="n">
        <f aca="false">PERCENTILE(G69:P69,0.9)</f>
        <v>0.0035435674</v>
      </c>
      <c r="S69" s="5" t="n">
        <f aca="false">spmv_1!R$2/R69</f>
        <v>4.91686665815923</v>
      </c>
      <c r="T69" s="6" t="n">
        <f aca="false">S69/128</f>
        <v>0.038413020766869</v>
      </c>
    </row>
    <row r="70" customFormat="false" ht="15" hidden="false" customHeight="false" outlineLevel="0" collapsed="false">
      <c r="A70" s="1" t="s">
        <v>15</v>
      </c>
      <c r="B70" s="1" t="n">
        <v>68</v>
      </c>
      <c r="D70" s="1" t="n">
        <v>82569</v>
      </c>
      <c r="E70" s="1" t="n">
        <v>0.050995</v>
      </c>
      <c r="G70" s="1" t="n">
        <v>0.004734039</v>
      </c>
      <c r="H70" s="1" t="n">
        <v>0.003347874</v>
      </c>
      <c r="I70" s="1" t="n">
        <v>0.003064632</v>
      </c>
      <c r="J70" s="1" t="n">
        <v>0.003075361</v>
      </c>
      <c r="K70" s="1" t="n">
        <v>0.003015041</v>
      </c>
      <c r="L70" s="1" t="n">
        <v>0.002993345</v>
      </c>
      <c r="M70" s="1" t="n">
        <v>0.002991199</v>
      </c>
      <c r="N70" s="1" t="n">
        <v>0.003018618</v>
      </c>
      <c r="O70" s="1" t="n">
        <v>0.002977133</v>
      </c>
      <c r="P70" s="1" t="n">
        <v>0.003166199</v>
      </c>
      <c r="R70" s="1" t="n">
        <f aca="false">PERCENTILE(G70:P70,0.9)</f>
        <v>0.0034864905</v>
      </c>
      <c r="S70" s="5" t="n">
        <f aca="false">spmv_1!R$2/R70</f>
        <v>4.99736006738008</v>
      </c>
      <c r="T70" s="6" t="n">
        <f aca="false">S70/128</f>
        <v>0.0390418755264069</v>
      </c>
    </row>
    <row r="71" customFormat="false" ht="15" hidden="false" customHeight="false" outlineLevel="0" collapsed="false">
      <c r="A71" s="1" t="s">
        <v>15</v>
      </c>
      <c r="B71" s="1" t="n">
        <v>69</v>
      </c>
      <c r="D71" s="1" t="n">
        <v>83005</v>
      </c>
      <c r="E71" s="1" t="n">
        <v>0.051442</v>
      </c>
      <c r="G71" s="1" t="n">
        <v>0.004730463</v>
      </c>
      <c r="H71" s="1" t="n">
        <v>0.003329515</v>
      </c>
      <c r="I71" s="1" t="n">
        <v>0.003024101</v>
      </c>
      <c r="J71" s="1" t="n">
        <v>0.003056526</v>
      </c>
      <c r="K71" s="1" t="n">
        <v>0.003017664</v>
      </c>
      <c r="L71" s="1" t="n">
        <v>0.002993584</v>
      </c>
      <c r="M71" s="1" t="n">
        <v>0.003060341</v>
      </c>
      <c r="N71" s="1" t="n">
        <v>0.002961397</v>
      </c>
      <c r="O71" s="1" t="n">
        <v>0.002967834</v>
      </c>
      <c r="P71" s="1" t="n">
        <v>0.003129721</v>
      </c>
      <c r="R71" s="1" t="n">
        <f aca="false">PERCENTILE(G71:P71,0.9)</f>
        <v>0.0034696098</v>
      </c>
      <c r="S71" s="5" t="n">
        <f aca="false">spmv_1!R$2/R71</f>
        <v>5.02167373403199</v>
      </c>
      <c r="T71" s="6" t="n">
        <f aca="false">S71/128</f>
        <v>0.039231826047125</v>
      </c>
    </row>
    <row r="72" customFormat="false" ht="15" hidden="false" customHeight="false" outlineLevel="0" collapsed="false">
      <c r="A72" s="1" t="s">
        <v>15</v>
      </c>
      <c r="B72" s="1" t="n">
        <v>70</v>
      </c>
      <c r="D72" s="1" t="n">
        <v>82934</v>
      </c>
      <c r="E72" s="1" t="n">
        <v>0.052016</v>
      </c>
      <c r="G72" s="1" t="n">
        <v>0.004710913</v>
      </c>
      <c r="H72" s="1" t="n">
        <v>0.003323793</v>
      </c>
      <c r="I72" s="1" t="n">
        <v>0.002934217</v>
      </c>
      <c r="J72" s="1" t="n">
        <v>0.003011942</v>
      </c>
      <c r="K72" s="1" t="n">
        <v>0.002999544</v>
      </c>
      <c r="L72" s="1" t="n">
        <v>0.002987385</v>
      </c>
      <c r="M72" s="1" t="n">
        <v>0.00300312</v>
      </c>
      <c r="N72" s="1" t="n">
        <v>0.002903223</v>
      </c>
      <c r="O72" s="1" t="n">
        <v>0.002943754</v>
      </c>
      <c r="P72" s="1" t="n">
        <v>0.003070116</v>
      </c>
      <c r="R72" s="1" t="n">
        <f aca="false">PERCENTILE(G72:P72,0.9)</f>
        <v>0.003462505</v>
      </c>
      <c r="S72" s="5" t="n">
        <f aca="false">spmv_1!R$2/R72</f>
        <v>5.03197783107895</v>
      </c>
      <c r="T72" s="6" t="n">
        <f aca="false">S72/128</f>
        <v>0.0393123268053043</v>
      </c>
    </row>
    <row r="73" customFormat="false" ht="15" hidden="false" customHeight="false" outlineLevel="0" collapsed="false">
      <c r="A73" s="1" t="s">
        <v>15</v>
      </c>
      <c r="B73" s="1" t="n">
        <v>71</v>
      </c>
      <c r="D73" s="1" t="n">
        <v>82896</v>
      </c>
      <c r="E73" s="1" t="n">
        <v>0.052348</v>
      </c>
      <c r="G73" s="1" t="n">
        <v>0.004691601</v>
      </c>
      <c r="H73" s="1" t="n">
        <v>0.003311396</v>
      </c>
      <c r="I73" s="1" t="n">
        <v>0.002917528</v>
      </c>
      <c r="J73" s="1" t="n">
        <v>0.002999067</v>
      </c>
      <c r="K73" s="1" t="n">
        <v>0.00299859</v>
      </c>
      <c r="L73" s="1" t="n">
        <v>0.002973557</v>
      </c>
      <c r="M73" s="1" t="n">
        <v>0.00296998</v>
      </c>
      <c r="N73" s="1" t="n">
        <v>0.002889156</v>
      </c>
      <c r="O73" s="1" t="n">
        <v>0.002874851</v>
      </c>
      <c r="P73" s="1" t="n">
        <v>0.003045321</v>
      </c>
      <c r="R73" s="1" t="n">
        <f aca="false">PERCENTILE(G73:P73,0.9)</f>
        <v>0.0034494165</v>
      </c>
      <c r="S73" s="5" t="n">
        <f aca="false">spmv_1!R$2/R73</f>
        <v>5.05107121740735</v>
      </c>
      <c r="T73" s="6" t="n">
        <f aca="false">S73/128</f>
        <v>0.0394614938859949</v>
      </c>
    </row>
    <row r="74" customFormat="false" ht="15" hidden="false" customHeight="false" outlineLevel="0" collapsed="false">
      <c r="A74" s="1" t="s">
        <v>15</v>
      </c>
      <c r="B74" s="1" t="n">
        <v>72</v>
      </c>
      <c r="D74" s="1" t="n">
        <v>82745</v>
      </c>
      <c r="E74" s="1" t="n">
        <v>0.053181</v>
      </c>
      <c r="G74" s="1" t="n">
        <v>0.00463295</v>
      </c>
      <c r="H74" s="1" t="n">
        <v>0.003319025</v>
      </c>
      <c r="I74" s="1" t="n">
        <v>0.002933025</v>
      </c>
      <c r="J74" s="1" t="n">
        <v>0.002978802</v>
      </c>
      <c r="K74" s="1" t="n">
        <v>0.002898216</v>
      </c>
      <c r="L74" s="1" t="n">
        <v>0.002886772</v>
      </c>
      <c r="M74" s="1" t="n">
        <v>0.002867937</v>
      </c>
      <c r="N74" s="1" t="n">
        <v>0.002847672</v>
      </c>
      <c r="O74" s="1" t="n">
        <v>0.002800465</v>
      </c>
      <c r="P74" s="1" t="n">
        <v>0.002953529</v>
      </c>
      <c r="R74" s="1" t="n">
        <f aca="false">PERCENTILE(G74:P74,0.9)</f>
        <v>0.0034504175</v>
      </c>
      <c r="S74" s="5" t="n">
        <f aca="false">spmv_1!R$2/R74</f>
        <v>5.04960585204544</v>
      </c>
      <c r="T74" s="6" t="n">
        <f aca="false">S74/128</f>
        <v>0.039450045719105</v>
      </c>
    </row>
    <row r="75" customFormat="false" ht="15" hidden="false" customHeight="false" outlineLevel="0" collapsed="false">
      <c r="A75" s="1" t="s">
        <v>15</v>
      </c>
      <c r="B75" s="1" t="n">
        <v>73</v>
      </c>
      <c r="D75" s="1" t="n">
        <v>82900</v>
      </c>
      <c r="E75" s="1" t="n">
        <v>0.054038</v>
      </c>
      <c r="G75" s="1" t="n">
        <v>0.004469156</v>
      </c>
      <c r="H75" s="1" t="n">
        <v>0.003300667</v>
      </c>
      <c r="I75" s="1" t="n">
        <v>0.002922058</v>
      </c>
      <c r="J75" s="1" t="n">
        <v>0.002933025</v>
      </c>
      <c r="K75" s="1" t="n">
        <v>0.002869606</v>
      </c>
      <c r="L75" s="1" t="n">
        <v>0.002847672</v>
      </c>
      <c r="M75" s="1" t="n">
        <v>0.002812624</v>
      </c>
      <c r="N75" s="1" t="n">
        <v>0.00283742</v>
      </c>
      <c r="O75" s="1" t="n">
        <v>0.002792835</v>
      </c>
      <c r="P75" s="1" t="n">
        <v>0.002897263</v>
      </c>
      <c r="R75" s="1" t="n">
        <f aca="false">PERCENTILE(G75:P75,0.9)</f>
        <v>0.0034175159</v>
      </c>
      <c r="S75" s="5" t="n">
        <f aca="false">spmv_1!R$2/R75</f>
        <v>5.09822014288214</v>
      </c>
      <c r="T75" s="6" t="n">
        <f aca="false">S75/128</f>
        <v>0.0398298448662668</v>
      </c>
    </row>
    <row r="76" customFormat="false" ht="15" hidden="false" customHeight="false" outlineLevel="0" collapsed="false">
      <c r="A76" s="1" t="s">
        <v>15</v>
      </c>
      <c r="B76" s="1" t="n">
        <v>74</v>
      </c>
      <c r="D76" s="1" t="n">
        <v>82872</v>
      </c>
      <c r="E76" s="1" t="n">
        <v>0.053907</v>
      </c>
      <c r="G76" s="1" t="n">
        <v>0.004640818</v>
      </c>
      <c r="H76" s="1" t="n">
        <v>0.003288031</v>
      </c>
      <c r="I76" s="1" t="n">
        <v>0.002856731</v>
      </c>
      <c r="J76" s="1" t="n">
        <v>0.002892494</v>
      </c>
      <c r="K76" s="1" t="n">
        <v>0.002915382</v>
      </c>
      <c r="L76" s="1" t="n">
        <v>0.002854586</v>
      </c>
      <c r="M76" s="1" t="n">
        <v>0.002790451</v>
      </c>
      <c r="N76" s="1" t="n">
        <v>0.002837658</v>
      </c>
      <c r="O76" s="1" t="n">
        <v>0.002777338</v>
      </c>
      <c r="P76" s="1" t="n">
        <v>0.002892971</v>
      </c>
      <c r="R76" s="1" t="n">
        <f aca="false">PERCENTILE(G76:P76,0.9)</f>
        <v>0.0034233097</v>
      </c>
      <c r="S76" s="5" t="n">
        <f aca="false">spmv_1!R$2/R76</f>
        <v>5.08959163116326</v>
      </c>
      <c r="T76" s="6" t="n">
        <f aca="false">S76/128</f>
        <v>0.039762434618463</v>
      </c>
    </row>
    <row r="77" customFormat="false" ht="15" hidden="false" customHeight="false" outlineLevel="0" collapsed="false">
      <c r="A77" s="1" t="s">
        <v>15</v>
      </c>
      <c r="B77" s="1" t="n">
        <v>75</v>
      </c>
      <c r="D77" s="1" t="n">
        <v>83221</v>
      </c>
      <c r="E77" s="1" t="n">
        <v>0.054451</v>
      </c>
      <c r="G77" s="1" t="n">
        <v>0.004708052</v>
      </c>
      <c r="H77" s="1" t="n">
        <v>0.003316402</v>
      </c>
      <c r="I77" s="1" t="n">
        <v>0.002864361</v>
      </c>
      <c r="J77" s="1" t="n">
        <v>0.002890587</v>
      </c>
      <c r="K77" s="1" t="n">
        <v>0.002829075</v>
      </c>
      <c r="L77" s="1" t="n">
        <v>0.002788544</v>
      </c>
      <c r="M77" s="1" t="n">
        <v>0.002737045</v>
      </c>
      <c r="N77" s="1" t="n">
        <v>0.002815008</v>
      </c>
      <c r="O77" s="1" t="n">
        <v>0.00273633</v>
      </c>
      <c r="P77" s="1" t="n">
        <v>0.002881765</v>
      </c>
      <c r="R77" s="1" t="n">
        <f aca="false">PERCENTILE(G77:P77,0.9)</f>
        <v>0.003455567</v>
      </c>
      <c r="S77" s="5" t="n">
        <f aca="false">spmv_1!R$2/R77</f>
        <v>5.04208090886387</v>
      </c>
      <c r="T77" s="6" t="n">
        <f aca="false">S77/128</f>
        <v>0.039391257100499</v>
      </c>
    </row>
    <row r="78" customFormat="false" ht="15" hidden="false" customHeight="false" outlineLevel="0" collapsed="false">
      <c r="A78" s="1" t="s">
        <v>15</v>
      </c>
      <c r="B78" s="1" t="n">
        <v>76</v>
      </c>
      <c r="D78" s="1" t="n">
        <v>83219</v>
      </c>
      <c r="E78" s="1" t="n">
        <v>0.054918</v>
      </c>
      <c r="G78" s="1" t="n">
        <v>0.004722595</v>
      </c>
      <c r="H78" s="1" t="n">
        <v>0.003305674</v>
      </c>
      <c r="I78" s="1" t="n">
        <v>0.002801418</v>
      </c>
      <c r="J78" s="1" t="n">
        <v>0.0028615</v>
      </c>
      <c r="K78" s="1" t="n">
        <v>0.002794743</v>
      </c>
      <c r="L78" s="1" t="n">
        <v>0.002778769</v>
      </c>
      <c r="M78" s="1" t="n">
        <v>0.002725124</v>
      </c>
      <c r="N78" s="1" t="n">
        <v>0.002760649</v>
      </c>
      <c r="O78" s="1" t="n">
        <v>0.002724648</v>
      </c>
      <c r="P78" s="1" t="n">
        <v>0.002831697</v>
      </c>
      <c r="R78" s="1" t="n">
        <f aca="false">PERCENTILE(G78:P78,0.9)</f>
        <v>0.0034473661</v>
      </c>
      <c r="S78" s="5" t="n">
        <f aca="false">spmv_1!R$2/R78</f>
        <v>5.0540754577821</v>
      </c>
      <c r="T78" s="6" t="n">
        <f aca="false">S78/128</f>
        <v>0.0394849645139227</v>
      </c>
    </row>
    <row r="79" customFormat="false" ht="15" hidden="false" customHeight="false" outlineLevel="0" collapsed="false">
      <c r="A79" s="1" t="s">
        <v>15</v>
      </c>
      <c r="B79" s="1" t="n">
        <v>77</v>
      </c>
      <c r="D79" s="1" t="n">
        <v>83473</v>
      </c>
      <c r="E79" s="1" t="n">
        <v>0.056032</v>
      </c>
      <c r="G79" s="1" t="n">
        <v>0.004539013</v>
      </c>
      <c r="H79" s="1" t="n">
        <v>0.003278971</v>
      </c>
      <c r="I79" s="1" t="n">
        <v>0.002770185</v>
      </c>
      <c r="J79" s="1" t="n">
        <v>0.002840042</v>
      </c>
      <c r="K79" s="1" t="n">
        <v>0.002766848</v>
      </c>
      <c r="L79" s="1" t="n">
        <v>0.002742767</v>
      </c>
      <c r="M79" s="1" t="n">
        <v>0.002690315</v>
      </c>
      <c r="N79" s="1" t="n">
        <v>0.002710581</v>
      </c>
      <c r="O79" s="1" t="n">
        <v>0.00268507</v>
      </c>
      <c r="P79" s="1" t="n">
        <v>0.002771139</v>
      </c>
      <c r="R79" s="1" t="n">
        <f aca="false">PERCENTILE(G79:P79,0.9)</f>
        <v>0.0034049752</v>
      </c>
      <c r="S79" s="5" t="n">
        <f aca="false">spmv_1!R$2/R79</f>
        <v>5.11699715169732</v>
      </c>
      <c r="T79" s="6" t="n">
        <f aca="false">S79/128</f>
        <v>0.0399765402476353</v>
      </c>
    </row>
    <row r="80" customFormat="false" ht="15" hidden="false" customHeight="false" outlineLevel="0" collapsed="false">
      <c r="A80" s="1" t="s">
        <v>15</v>
      </c>
      <c r="B80" s="1" t="n">
        <v>78</v>
      </c>
      <c r="D80" s="1" t="n">
        <v>82939</v>
      </c>
      <c r="E80" s="1" t="n">
        <v>0.055993</v>
      </c>
      <c r="G80" s="1" t="n">
        <v>0.004482508</v>
      </c>
      <c r="H80" s="1" t="n">
        <v>0.003239155</v>
      </c>
      <c r="I80" s="1" t="n">
        <v>0.002690315</v>
      </c>
      <c r="J80" s="1" t="n">
        <v>0.002807856</v>
      </c>
      <c r="K80" s="1" t="n">
        <v>0.002802134</v>
      </c>
      <c r="L80" s="1" t="n">
        <v>0.002735853</v>
      </c>
      <c r="M80" s="1" t="n">
        <v>0.002704382</v>
      </c>
      <c r="N80" s="1" t="n">
        <v>0.002678871</v>
      </c>
      <c r="O80" s="1" t="n">
        <v>0.002668858</v>
      </c>
      <c r="P80" s="1" t="n">
        <v>0.00281477</v>
      </c>
      <c r="R80" s="1" t="n">
        <f aca="false">PERCENTILE(G80:P80,0.9)</f>
        <v>0.0033634903</v>
      </c>
      <c r="S80" s="5" t="n">
        <f aca="false">spmv_1!R$2/R80</f>
        <v>5.18010960221886</v>
      </c>
      <c r="T80" s="6" t="n">
        <f aca="false">S80/128</f>
        <v>0.0404696062673349</v>
      </c>
    </row>
    <row r="81" customFormat="false" ht="15" hidden="false" customHeight="false" outlineLevel="0" collapsed="false">
      <c r="A81" s="1" t="s">
        <v>15</v>
      </c>
      <c r="B81" s="1" t="n">
        <v>79</v>
      </c>
      <c r="D81" s="1" t="n">
        <v>82717</v>
      </c>
      <c r="E81" s="1" t="n">
        <v>0.056108</v>
      </c>
      <c r="G81" s="1" t="n">
        <v>0.004466057</v>
      </c>
      <c r="H81" s="1" t="n">
        <v>0.003237963</v>
      </c>
      <c r="I81" s="1" t="n">
        <v>0.002704144</v>
      </c>
      <c r="J81" s="1" t="n">
        <v>0.002780437</v>
      </c>
      <c r="K81" s="1" t="n">
        <v>0.002773046</v>
      </c>
      <c r="L81" s="1" t="n">
        <v>0.002702713</v>
      </c>
      <c r="M81" s="1" t="n">
        <v>0.002728701</v>
      </c>
      <c r="N81" s="1" t="n">
        <v>0.002685308</v>
      </c>
      <c r="O81" s="1" t="n">
        <v>0.002671719</v>
      </c>
      <c r="P81" s="1" t="n">
        <v>0.0027349</v>
      </c>
      <c r="R81" s="1" t="n">
        <f aca="false">PERCENTILE(G81:P81,0.9)</f>
        <v>0.0033607724</v>
      </c>
      <c r="S81" s="5" t="n">
        <f aca="false">spmv_1!R$2/R81</f>
        <v>5.18429882368708</v>
      </c>
      <c r="T81" s="6" t="n">
        <f aca="false">S81/128</f>
        <v>0.0405023345600553</v>
      </c>
    </row>
    <row r="82" customFormat="false" ht="15" hidden="false" customHeight="false" outlineLevel="0" collapsed="false">
      <c r="A82" s="1" t="s">
        <v>15</v>
      </c>
      <c r="B82" s="1" t="n">
        <v>80</v>
      </c>
      <c r="D82" s="1" t="n">
        <v>82530</v>
      </c>
      <c r="E82" s="1" t="n">
        <v>0.056261</v>
      </c>
      <c r="G82" s="1" t="n">
        <v>0.004572153</v>
      </c>
      <c r="H82" s="1" t="n">
        <v>0.003216743</v>
      </c>
      <c r="I82" s="1" t="n">
        <v>0.002634764</v>
      </c>
      <c r="J82" s="1" t="n">
        <v>0.002773523</v>
      </c>
      <c r="K82" s="1" t="n">
        <v>0.002761364</v>
      </c>
      <c r="L82" s="1" t="n">
        <v>0.002730131</v>
      </c>
      <c r="M82" s="1" t="n">
        <v>0.002645016</v>
      </c>
      <c r="N82" s="1" t="n">
        <v>0.002672911</v>
      </c>
      <c r="O82" s="1" t="n">
        <v>0.002653837</v>
      </c>
      <c r="P82" s="1" t="n">
        <v>0.002677917</v>
      </c>
      <c r="R82" s="1" t="n">
        <f aca="false">PERCENTILE(G82:P82,0.9)</f>
        <v>0.003352284</v>
      </c>
      <c r="S82" s="5" t="n">
        <f aca="false">spmv_1!R$2/R82</f>
        <v>5.19742611306202</v>
      </c>
      <c r="T82" s="6" t="n">
        <f aca="false">S82/128</f>
        <v>0.040604891508297</v>
      </c>
    </row>
    <row r="83" customFormat="false" ht="15" hidden="false" customHeight="false" outlineLevel="0" collapsed="false">
      <c r="A83" s="1" t="s">
        <v>15</v>
      </c>
      <c r="B83" s="1" t="n">
        <v>81</v>
      </c>
      <c r="D83" s="1" t="n">
        <v>82574</v>
      </c>
      <c r="E83" s="1" t="n">
        <v>0.056685</v>
      </c>
      <c r="G83" s="1" t="n">
        <v>0.004453897</v>
      </c>
      <c r="H83" s="1" t="n">
        <v>0.003234148</v>
      </c>
      <c r="I83" s="1" t="n">
        <v>0.002627373</v>
      </c>
      <c r="J83" s="1" t="n">
        <v>0.002739668</v>
      </c>
      <c r="K83" s="1" t="n">
        <v>0.002760172</v>
      </c>
      <c r="L83" s="1" t="n">
        <v>0.002709866</v>
      </c>
      <c r="M83" s="1" t="n">
        <v>0.002635956</v>
      </c>
      <c r="N83" s="1" t="n">
        <v>0.002652645</v>
      </c>
      <c r="O83" s="1" t="n">
        <v>0.002627373</v>
      </c>
      <c r="P83" s="1" t="n">
        <v>0.002693176</v>
      </c>
      <c r="R83" s="1" t="n">
        <f aca="false">PERCENTILE(G83:P83,0.9)</f>
        <v>0.0033561229</v>
      </c>
      <c r="S83" s="5" t="n">
        <f aca="false">spmv_1!R$2/R83</f>
        <v>5.1914810390287</v>
      </c>
      <c r="T83" s="6" t="n">
        <f aca="false">S83/128</f>
        <v>0.0405584456174117</v>
      </c>
    </row>
    <row r="84" customFormat="false" ht="15" hidden="false" customHeight="false" outlineLevel="0" collapsed="false">
      <c r="A84" s="1" t="s">
        <v>15</v>
      </c>
      <c r="B84" s="1" t="n">
        <v>82</v>
      </c>
      <c r="D84" s="1" t="n">
        <v>82389</v>
      </c>
      <c r="E84" s="1" t="n">
        <v>0.05768</v>
      </c>
      <c r="G84" s="1" t="n">
        <v>0.004526615</v>
      </c>
      <c r="H84" s="1" t="n">
        <v>0.003208399</v>
      </c>
      <c r="I84" s="1" t="n">
        <v>0.002579927</v>
      </c>
      <c r="J84" s="1" t="n">
        <v>0.002683401</v>
      </c>
      <c r="K84" s="1" t="n">
        <v>0.002635479</v>
      </c>
      <c r="L84" s="1" t="n">
        <v>0.00258708</v>
      </c>
      <c r="M84" s="1" t="n">
        <v>0.002574921</v>
      </c>
      <c r="N84" s="1" t="n">
        <v>0.002571344</v>
      </c>
      <c r="O84" s="1" t="n">
        <v>0.002583265</v>
      </c>
      <c r="P84" s="1" t="n">
        <v>0.002617359</v>
      </c>
      <c r="R84" s="1" t="n">
        <f aca="false">PERCENTILE(G84:P84,0.9)</f>
        <v>0.0033402206</v>
      </c>
      <c r="S84" s="5" t="n">
        <f aca="false">spmv_1!R$2/R84</f>
        <v>5.21619691825145</v>
      </c>
      <c r="T84" s="6" t="n">
        <f aca="false">S84/128</f>
        <v>0.0407515384238394</v>
      </c>
    </row>
    <row r="85" customFormat="false" ht="15" hidden="false" customHeight="false" outlineLevel="0" collapsed="false">
      <c r="A85" s="1" t="s">
        <v>15</v>
      </c>
      <c r="B85" s="1" t="n">
        <v>83</v>
      </c>
      <c r="D85" s="1" t="n">
        <v>82401</v>
      </c>
      <c r="E85" s="1" t="n">
        <v>0.0583</v>
      </c>
      <c r="G85" s="1" t="n">
        <v>0.004361629</v>
      </c>
      <c r="H85" s="1" t="n">
        <v>0.003178835</v>
      </c>
      <c r="I85" s="1" t="n">
        <v>0.002515793</v>
      </c>
      <c r="J85" s="1" t="n">
        <v>0.002671957</v>
      </c>
      <c r="K85" s="1" t="n">
        <v>0.002619982</v>
      </c>
      <c r="L85" s="1" t="n">
        <v>0.002592087</v>
      </c>
      <c r="M85" s="1" t="n">
        <v>0.002580881</v>
      </c>
      <c r="N85" s="1" t="n">
        <v>0.00258255</v>
      </c>
      <c r="O85" s="1" t="n">
        <v>0.002571583</v>
      </c>
      <c r="P85" s="1" t="n">
        <v>0.002592802</v>
      </c>
      <c r="R85" s="1" t="n">
        <f aca="false">PERCENTILE(G85:P85,0.9)</f>
        <v>0.0032971144</v>
      </c>
      <c r="S85" s="5" t="n">
        <f aca="false">spmv_1!R$2/R85</f>
        <v>5.28439304380825</v>
      </c>
      <c r="T85" s="6" t="n">
        <f aca="false">S85/128</f>
        <v>0.0412843206547519</v>
      </c>
    </row>
    <row r="86" customFormat="false" ht="15" hidden="false" customHeight="false" outlineLevel="0" collapsed="false">
      <c r="A86" s="1" t="s">
        <v>15</v>
      </c>
      <c r="B86" s="1" t="n">
        <v>84</v>
      </c>
      <c r="D86" s="1" t="n">
        <v>83624</v>
      </c>
      <c r="E86" s="1" t="n">
        <v>0.059338</v>
      </c>
      <c r="G86" s="1" t="n">
        <v>0.004455566</v>
      </c>
      <c r="H86" s="1" t="n">
        <v>0.003185511</v>
      </c>
      <c r="I86" s="1" t="n">
        <v>0.00248313</v>
      </c>
      <c r="J86" s="1" t="n">
        <v>0.002649069</v>
      </c>
      <c r="K86" s="1" t="n">
        <v>0.002553463</v>
      </c>
      <c r="L86" s="1" t="n">
        <v>0.002536297</v>
      </c>
      <c r="M86" s="1" t="n">
        <v>0.002592325</v>
      </c>
      <c r="N86" s="1" t="n">
        <v>0.002567053</v>
      </c>
      <c r="O86" s="1" t="n">
        <v>0.002540588</v>
      </c>
      <c r="P86" s="1" t="n">
        <v>0.002622843</v>
      </c>
      <c r="R86" s="1" t="n">
        <f aca="false">PERCENTILE(G86:P86,0.9)</f>
        <v>0.0033125165</v>
      </c>
      <c r="S86" s="5" t="n">
        <f aca="false">spmv_1!R$2/R86</f>
        <v>5.25982237371497</v>
      </c>
      <c r="T86" s="6" t="n">
        <f aca="false">S86/128</f>
        <v>0.0410923622946482</v>
      </c>
    </row>
    <row r="87" customFormat="false" ht="15" hidden="false" customHeight="false" outlineLevel="0" collapsed="false">
      <c r="A87" s="1" t="s">
        <v>15</v>
      </c>
      <c r="B87" s="1" t="n">
        <v>85</v>
      </c>
      <c r="D87" s="1" t="n">
        <v>83877</v>
      </c>
      <c r="E87" s="1" t="n">
        <v>0.06049</v>
      </c>
      <c r="G87" s="1" t="n">
        <v>0.004375935</v>
      </c>
      <c r="H87" s="1" t="n">
        <v>0.003165007</v>
      </c>
      <c r="I87" s="1" t="n">
        <v>0.002456665</v>
      </c>
      <c r="J87" s="1" t="n">
        <v>0.002620459</v>
      </c>
      <c r="K87" s="1" t="n">
        <v>0.002519608</v>
      </c>
      <c r="L87" s="1" t="n">
        <v>0.002487183</v>
      </c>
      <c r="M87" s="1" t="n">
        <v>0.002526999</v>
      </c>
      <c r="N87" s="1" t="n">
        <v>0.002500772</v>
      </c>
      <c r="O87" s="1" t="n">
        <v>0.002481937</v>
      </c>
      <c r="P87" s="1" t="n">
        <v>0.002597809</v>
      </c>
      <c r="R87" s="1" t="n">
        <f aca="false">PERCENTILE(G87:P87,0.9)</f>
        <v>0.0032860998</v>
      </c>
      <c r="S87" s="5" t="n">
        <f aca="false">spmv_1!R$2/R87</f>
        <v>5.30210567554887</v>
      </c>
      <c r="T87" s="6" t="n">
        <f aca="false">S87/128</f>
        <v>0.0414227005902255</v>
      </c>
    </row>
    <row r="88" customFormat="false" ht="15" hidden="false" customHeight="false" outlineLevel="0" collapsed="false">
      <c r="A88" s="1" t="s">
        <v>15</v>
      </c>
      <c r="B88" s="1" t="n">
        <v>86</v>
      </c>
      <c r="D88" s="1" t="n">
        <v>84609</v>
      </c>
      <c r="E88" s="1" t="n">
        <v>0.061431</v>
      </c>
      <c r="G88" s="1" t="n">
        <v>0.004446983</v>
      </c>
      <c r="H88" s="1" t="n">
        <v>0.003157139</v>
      </c>
      <c r="I88" s="1" t="n">
        <v>0.00241375</v>
      </c>
      <c r="J88" s="1" t="n">
        <v>0.002585649</v>
      </c>
      <c r="K88" s="1" t="n">
        <v>0.002503633</v>
      </c>
      <c r="L88" s="1" t="n">
        <v>0.002471685</v>
      </c>
      <c r="M88" s="1" t="n">
        <v>0.002488613</v>
      </c>
      <c r="N88" s="1" t="n">
        <v>0.002475739</v>
      </c>
      <c r="O88" s="1" t="n">
        <v>0.002474308</v>
      </c>
      <c r="P88" s="1" t="n">
        <v>0.002528667</v>
      </c>
      <c r="R88" s="1" t="n">
        <f aca="false">PERCENTILE(G88:P88,0.9)</f>
        <v>0.0032861234</v>
      </c>
      <c r="S88" s="5" t="n">
        <f aca="false">spmv_1!R$2/R88</f>
        <v>5.30206759733977</v>
      </c>
      <c r="T88" s="6" t="n">
        <f aca="false">S88/128</f>
        <v>0.041422403104217</v>
      </c>
    </row>
    <row r="89" customFormat="false" ht="15" hidden="false" customHeight="false" outlineLevel="0" collapsed="false">
      <c r="A89" s="1" t="s">
        <v>15</v>
      </c>
      <c r="B89" s="1" t="n">
        <v>87</v>
      </c>
      <c r="D89" s="1" t="n">
        <v>83735</v>
      </c>
      <c r="E89" s="1" t="n">
        <v>0.062273</v>
      </c>
      <c r="G89" s="1" t="n">
        <v>0.004262924</v>
      </c>
      <c r="H89" s="1" t="n">
        <v>0.003152132</v>
      </c>
      <c r="I89" s="1" t="n">
        <v>0.002390146</v>
      </c>
      <c r="J89" s="1" t="n">
        <v>0.002551794</v>
      </c>
      <c r="K89" s="1" t="n">
        <v>0.002434731</v>
      </c>
      <c r="L89" s="1" t="n">
        <v>0.002411366</v>
      </c>
      <c r="M89" s="1" t="n">
        <v>0.002413511</v>
      </c>
      <c r="N89" s="1" t="n">
        <v>0.002436399</v>
      </c>
      <c r="O89" s="1" t="n">
        <v>0.00242424</v>
      </c>
      <c r="P89" s="1" t="n">
        <v>0.002415657</v>
      </c>
      <c r="R89" s="1" t="n">
        <f aca="false">PERCENTILE(G89:P89,0.9)</f>
        <v>0.0032632112</v>
      </c>
      <c r="S89" s="5" t="n">
        <f aca="false">spmv_1!R$2/R89</f>
        <v>5.33929535422041</v>
      </c>
      <c r="T89" s="6" t="n">
        <f aca="false">S89/128</f>
        <v>0.0417132449548469</v>
      </c>
    </row>
    <row r="90" customFormat="false" ht="15" hidden="false" customHeight="false" outlineLevel="0" collapsed="false">
      <c r="A90" s="1" t="s">
        <v>15</v>
      </c>
      <c r="B90" s="1" t="n">
        <v>88</v>
      </c>
      <c r="D90" s="1" t="n">
        <v>83636</v>
      </c>
      <c r="E90" s="1" t="n">
        <v>0.061647</v>
      </c>
      <c r="G90" s="1" t="n">
        <v>0.004436493</v>
      </c>
      <c r="H90" s="1" t="n">
        <v>0.003120899</v>
      </c>
      <c r="I90" s="1" t="n">
        <v>0.002321959</v>
      </c>
      <c r="J90" s="1" t="n">
        <v>0.002601385</v>
      </c>
      <c r="K90" s="1" t="n">
        <v>0.002421856</v>
      </c>
      <c r="L90" s="1" t="n">
        <v>0.002438068</v>
      </c>
      <c r="M90" s="1" t="n">
        <v>0.002417803</v>
      </c>
      <c r="N90" s="1" t="n">
        <v>0.002407551</v>
      </c>
      <c r="O90" s="1" t="n">
        <v>0.002401114</v>
      </c>
      <c r="P90" s="1" t="n">
        <v>0.002566576</v>
      </c>
      <c r="R90" s="1" t="n">
        <f aca="false">PERCENTILE(G90:P90,0.9)</f>
        <v>0.0032524584</v>
      </c>
      <c r="S90" s="5" t="n">
        <f aca="false">spmv_1!R$2/R90</f>
        <v>5.35694734788922</v>
      </c>
      <c r="T90" s="6" t="n">
        <f aca="false">S90/128</f>
        <v>0.0418511511553845</v>
      </c>
    </row>
    <row r="91" customFormat="false" ht="15" hidden="false" customHeight="false" outlineLevel="0" collapsed="false">
      <c r="A91" s="1" t="s">
        <v>15</v>
      </c>
      <c r="B91" s="1" t="n">
        <v>89</v>
      </c>
      <c r="D91" s="1" t="n">
        <v>83024</v>
      </c>
      <c r="E91" s="1" t="n">
        <v>0.063049</v>
      </c>
      <c r="G91" s="1" t="n">
        <v>0.004225254</v>
      </c>
      <c r="H91" s="1" t="n">
        <v>0.002980947</v>
      </c>
      <c r="I91" s="1" t="n">
        <v>0.002340078</v>
      </c>
      <c r="J91" s="1" t="n">
        <v>0.002465725</v>
      </c>
      <c r="K91" s="1" t="n">
        <v>0.002377272</v>
      </c>
      <c r="L91" s="1" t="n">
        <v>0.002381563</v>
      </c>
      <c r="M91" s="1" t="n">
        <v>0.002399921</v>
      </c>
      <c r="N91" s="1" t="n">
        <v>0.002383471</v>
      </c>
      <c r="O91" s="1" t="n">
        <v>0.00236702</v>
      </c>
      <c r="P91" s="1" t="n">
        <v>0.00241518</v>
      </c>
      <c r="R91" s="1" t="n">
        <f aca="false">PERCENTILE(G91:P91,0.9)</f>
        <v>0.0031053777</v>
      </c>
      <c r="S91" s="5" t="n">
        <f aca="false">spmv_1!R$2/R91</f>
        <v>5.61066964575678</v>
      </c>
      <c r="T91" s="6" t="n">
        <f aca="false">S91/128</f>
        <v>0.0438333566074748</v>
      </c>
    </row>
    <row r="92" customFormat="false" ht="15" hidden="false" customHeight="false" outlineLevel="0" collapsed="false">
      <c r="A92" s="1" t="s">
        <v>15</v>
      </c>
      <c r="B92" s="1" t="n">
        <v>90</v>
      </c>
      <c r="D92" s="1" t="n">
        <v>83145</v>
      </c>
      <c r="E92" s="1" t="n">
        <v>0.063976</v>
      </c>
      <c r="G92" s="1" t="n">
        <v>0.00429678</v>
      </c>
      <c r="H92" s="1" t="n">
        <v>0.002928734</v>
      </c>
      <c r="I92" s="1" t="n">
        <v>0.002313375</v>
      </c>
      <c r="J92" s="1" t="n">
        <v>0.002444744</v>
      </c>
      <c r="K92" s="1" t="n">
        <v>0.002334595</v>
      </c>
      <c r="L92" s="1" t="n">
        <v>0.002321005</v>
      </c>
      <c r="M92" s="1" t="n">
        <v>0.0023489</v>
      </c>
      <c r="N92" s="1" t="n">
        <v>0.002333879</v>
      </c>
      <c r="O92" s="1" t="n">
        <v>0.002319336</v>
      </c>
      <c r="P92" s="1" t="n">
        <v>0.002351284</v>
      </c>
      <c r="R92" s="1" t="n">
        <f aca="false">PERCENTILE(G92:P92,0.9)</f>
        <v>0.0030655386</v>
      </c>
      <c r="S92" s="5" t="n">
        <f aca="false">spmv_1!R$2/R92</f>
        <v>5.68358473776843</v>
      </c>
      <c r="T92" s="6" t="n">
        <f aca="false">S92/128</f>
        <v>0.0444030057638159</v>
      </c>
    </row>
    <row r="93" customFormat="false" ht="15" hidden="false" customHeight="false" outlineLevel="0" collapsed="false">
      <c r="A93" s="1" t="s">
        <v>15</v>
      </c>
      <c r="B93" s="1" t="n">
        <v>91</v>
      </c>
      <c r="D93" s="1" t="n">
        <v>83437</v>
      </c>
      <c r="E93" s="1" t="n">
        <v>0.064682</v>
      </c>
      <c r="G93" s="1" t="n">
        <v>0.004447699</v>
      </c>
      <c r="H93" s="1" t="n">
        <v>0.00297761</v>
      </c>
      <c r="I93" s="1" t="n">
        <v>0.002374172</v>
      </c>
      <c r="J93" s="1" t="n">
        <v>0.00239706</v>
      </c>
      <c r="K93" s="1" t="n">
        <v>0.002268553</v>
      </c>
      <c r="L93" s="1" t="n">
        <v>0.002260447</v>
      </c>
      <c r="M93" s="1" t="n">
        <v>0.002265692</v>
      </c>
      <c r="N93" s="1" t="n">
        <v>0.002280235</v>
      </c>
      <c r="O93" s="1" t="n">
        <v>0.002254009</v>
      </c>
      <c r="P93" s="1" t="n">
        <v>0.002273798</v>
      </c>
      <c r="R93" s="1" t="n">
        <f aca="false">PERCENTILE(G93:P93,0.9)</f>
        <v>0.0031246189</v>
      </c>
      <c r="S93" s="5" t="n">
        <f aca="false">spmv_1!R$2/R93</f>
        <v>5.57611950692611</v>
      </c>
      <c r="T93" s="6" t="n">
        <f aca="false">S93/128</f>
        <v>0.0435634336478602</v>
      </c>
    </row>
    <row r="94" customFormat="false" ht="15" hidden="false" customHeight="false" outlineLevel="0" collapsed="false">
      <c r="A94" s="1" t="s">
        <v>15</v>
      </c>
      <c r="B94" s="1" t="n">
        <v>92</v>
      </c>
      <c r="D94" s="1" t="n">
        <v>83286</v>
      </c>
      <c r="E94" s="1" t="n">
        <v>0.065813</v>
      </c>
      <c r="G94" s="1" t="n">
        <v>0.004318476</v>
      </c>
      <c r="H94" s="1" t="n">
        <v>0.002937317</v>
      </c>
      <c r="I94" s="1" t="n">
        <v>0.00229764</v>
      </c>
      <c r="J94" s="1" t="n">
        <v>0.002392769</v>
      </c>
      <c r="K94" s="1" t="n">
        <v>0.002227068</v>
      </c>
      <c r="L94" s="1" t="n">
        <v>0.002199411</v>
      </c>
      <c r="M94" s="1" t="n">
        <v>0.002243996</v>
      </c>
      <c r="N94" s="1" t="n">
        <v>0.002236843</v>
      </c>
      <c r="O94" s="1" t="n">
        <v>0.002219439</v>
      </c>
      <c r="P94" s="1" t="n">
        <v>0.002237082</v>
      </c>
      <c r="R94" s="1" t="n">
        <f aca="false">PERCENTILE(G94:P94,0.9)</f>
        <v>0.0030754329</v>
      </c>
      <c r="S94" s="5" t="n">
        <f aca="false">spmv_1!R$2/R94</f>
        <v>5.66529947702647</v>
      </c>
      <c r="T94" s="6" t="n">
        <f aca="false">S94/128</f>
        <v>0.0442601521642693</v>
      </c>
    </row>
    <row r="95" customFormat="false" ht="15" hidden="false" customHeight="false" outlineLevel="0" collapsed="false">
      <c r="A95" s="1" t="s">
        <v>15</v>
      </c>
      <c r="B95" s="1" t="n">
        <v>93</v>
      </c>
      <c r="D95" s="1" t="n">
        <v>83166</v>
      </c>
      <c r="E95" s="1" t="n">
        <v>0.065657</v>
      </c>
      <c r="G95" s="1" t="n">
        <v>0.004267931</v>
      </c>
      <c r="H95" s="1" t="n">
        <v>0.002964497</v>
      </c>
      <c r="I95" s="1" t="n">
        <v>0.002354622</v>
      </c>
      <c r="J95" s="1" t="n">
        <v>0.002394915</v>
      </c>
      <c r="K95" s="1" t="n">
        <v>0.002232552</v>
      </c>
      <c r="L95" s="1" t="n">
        <v>0.002172232</v>
      </c>
      <c r="M95" s="1" t="n">
        <v>0.002251148</v>
      </c>
      <c r="N95" s="1" t="n">
        <v>0.002241611</v>
      </c>
      <c r="O95" s="1" t="n">
        <v>0.002217531</v>
      </c>
      <c r="P95" s="1" t="n">
        <v>0.002236366</v>
      </c>
      <c r="R95" s="1" t="n">
        <f aca="false">PERCENTILE(G95:P95,0.9)</f>
        <v>0.0030948404</v>
      </c>
      <c r="S95" s="5" t="n">
        <f aca="false">spmv_1!R$2/R95</f>
        <v>5.629772830935</v>
      </c>
      <c r="T95" s="6" t="n">
        <f aca="false">S95/128</f>
        <v>0.0439826002416797</v>
      </c>
    </row>
    <row r="96" customFormat="false" ht="15" hidden="false" customHeight="false" outlineLevel="0" collapsed="false">
      <c r="A96" s="1" t="s">
        <v>15</v>
      </c>
      <c r="B96" s="1" t="n">
        <v>94</v>
      </c>
      <c r="D96" s="1" t="n">
        <v>82888</v>
      </c>
      <c r="E96" s="1" t="n">
        <v>0.066302</v>
      </c>
      <c r="G96" s="1" t="n">
        <v>0.004392862</v>
      </c>
      <c r="H96" s="1" t="n">
        <v>0.002945662</v>
      </c>
      <c r="I96" s="1" t="n">
        <v>0.002343893</v>
      </c>
      <c r="J96" s="1" t="n">
        <v>0.002307892</v>
      </c>
      <c r="K96" s="1" t="n">
        <v>0.002177477</v>
      </c>
      <c r="L96" s="1" t="n">
        <v>0.002130508</v>
      </c>
      <c r="M96" s="1" t="n">
        <v>0.002177</v>
      </c>
      <c r="N96" s="1" t="n">
        <v>0.002197981</v>
      </c>
      <c r="O96" s="1" t="n">
        <v>0.002176285</v>
      </c>
      <c r="P96" s="1" t="n">
        <v>0.002153635</v>
      </c>
      <c r="R96" s="1" t="n">
        <f aca="false">PERCENTILE(G96:P96,0.9)</f>
        <v>0.003090382</v>
      </c>
      <c r="S96" s="5" t="n">
        <f aca="false">spmv_1!R$2/R96</f>
        <v>5.63789473275472</v>
      </c>
      <c r="T96" s="6" t="n">
        <f aca="false">S96/128</f>
        <v>0.0440460525996463</v>
      </c>
    </row>
    <row r="97" customFormat="false" ht="15" hidden="false" customHeight="false" outlineLevel="0" collapsed="false">
      <c r="A97" s="1" t="s">
        <v>15</v>
      </c>
      <c r="B97" s="1" t="n">
        <v>95</v>
      </c>
      <c r="D97" s="1" t="n">
        <v>82854</v>
      </c>
      <c r="E97" s="1" t="n">
        <v>0.066825</v>
      </c>
      <c r="G97" s="1" t="n">
        <v>0.00448513</v>
      </c>
      <c r="H97" s="1" t="n">
        <v>0.002960682</v>
      </c>
      <c r="I97" s="1" t="n">
        <v>0.002355337</v>
      </c>
      <c r="J97" s="1" t="n">
        <v>0.002223969</v>
      </c>
      <c r="K97" s="1" t="n">
        <v>0.002132893</v>
      </c>
      <c r="L97" s="1" t="n">
        <v>0.002099991</v>
      </c>
      <c r="M97" s="1" t="n">
        <v>0.002132416</v>
      </c>
      <c r="N97" s="1" t="n">
        <v>0.002140045</v>
      </c>
      <c r="O97" s="1" t="n">
        <v>0.002131462</v>
      </c>
      <c r="P97" s="1" t="n">
        <v>0.002135515</v>
      </c>
      <c r="R97" s="1" t="n">
        <f aca="false">PERCENTILE(G97:P97,0.9)</f>
        <v>0.0031131268</v>
      </c>
      <c r="S97" s="5" t="n">
        <f aca="false">spmv_1!R$2/R97</f>
        <v>5.59670373850497</v>
      </c>
      <c r="T97" s="6" t="n">
        <f aca="false">S97/128</f>
        <v>0.04372424795707</v>
      </c>
    </row>
    <row r="98" customFormat="false" ht="15" hidden="false" customHeight="false" outlineLevel="0" collapsed="false">
      <c r="A98" s="1" t="s">
        <v>15</v>
      </c>
      <c r="B98" s="1" t="n">
        <v>96</v>
      </c>
      <c r="D98" s="1" t="n">
        <v>83076</v>
      </c>
      <c r="E98" s="1" t="n">
        <v>0.063466</v>
      </c>
      <c r="G98" s="1" t="n">
        <v>0.004455328</v>
      </c>
      <c r="H98" s="1" t="n">
        <v>0.003164053</v>
      </c>
      <c r="I98" s="1" t="n">
        <v>0.002830982</v>
      </c>
      <c r="J98" s="1" t="n">
        <v>0.002321243</v>
      </c>
      <c r="K98" s="1" t="n">
        <v>0.002229929</v>
      </c>
      <c r="L98" s="1" t="n">
        <v>0.00221777</v>
      </c>
      <c r="M98" s="1" t="n">
        <v>0.002235413</v>
      </c>
      <c r="N98" s="1" t="n">
        <v>0.002225876</v>
      </c>
      <c r="O98" s="1" t="n">
        <v>0.002195835</v>
      </c>
      <c r="P98" s="1" t="n">
        <v>0.002303362</v>
      </c>
      <c r="R98" s="1" t="n">
        <f aca="false">PERCENTILE(G98:P98,0.9)</f>
        <v>0.0032931805</v>
      </c>
      <c r="S98" s="5" t="n">
        <f aca="false">spmv_1!R$2/R98</f>
        <v>5.29070556563784</v>
      </c>
      <c r="T98" s="6" t="n">
        <f aca="false">S98/128</f>
        <v>0.0413336372315456</v>
      </c>
    </row>
    <row r="99" customFormat="false" ht="15" hidden="false" customHeight="false" outlineLevel="0" collapsed="false">
      <c r="A99" s="1" t="s">
        <v>15</v>
      </c>
      <c r="B99" s="1" t="n">
        <v>97</v>
      </c>
      <c r="D99" s="1" t="n">
        <v>83246</v>
      </c>
      <c r="E99" s="1" t="n">
        <v>0.064965</v>
      </c>
      <c r="G99" s="1" t="n">
        <v>0.004412889</v>
      </c>
      <c r="H99" s="1" t="n">
        <v>0.003118277</v>
      </c>
      <c r="I99" s="1" t="n">
        <v>0.002802849</v>
      </c>
      <c r="J99" s="1" t="n">
        <v>0.002257109</v>
      </c>
      <c r="K99" s="1" t="n">
        <v>0.002194405</v>
      </c>
      <c r="L99" s="1" t="n">
        <v>0.002171993</v>
      </c>
      <c r="M99" s="1" t="n">
        <v>0.002175093</v>
      </c>
      <c r="N99" s="1" t="n">
        <v>0.002157927</v>
      </c>
      <c r="O99" s="1" t="n">
        <v>0.002150774</v>
      </c>
      <c r="P99" s="1" t="n">
        <v>0.002186537</v>
      </c>
      <c r="R99" s="1" t="n">
        <f aca="false">PERCENTILE(G99:P99,0.9)</f>
        <v>0.0032477382</v>
      </c>
      <c r="S99" s="5" t="n">
        <f aca="false">spmv_1!R$2/R99</f>
        <v>5.36473303174499</v>
      </c>
      <c r="T99" s="6" t="n">
        <f aca="false">S99/128</f>
        <v>0.0419119768105077</v>
      </c>
    </row>
    <row r="100" customFormat="false" ht="15" hidden="false" customHeight="false" outlineLevel="0" collapsed="false">
      <c r="A100" s="1" t="s">
        <v>15</v>
      </c>
      <c r="B100" s="1" t="n">
        <v>98</v>
      </c>
      <c r="D100" s="1" t="n">
        <v>83753</v>
      </c>
      <c r="E100" s="1" t="n">
        <v>0.066757</v>
      </c>
      <c r="G100" s="1" t="n">
        <v>0.004273176</v>
      </c>
      <c r="H100" s="1" t="n">
        <v>0.003107548</v>
      </c>
      <c r="I100" s="1" t="n">
        <v>0.002811193</v>
      </c>
      <c r="J100" s="1" t="n">
        <v>0.00216341</v>
      </c>
      <c r="K100" s="1" t="n">
        <v>0.002132416</v>
      </c>
      <c r="L100" s="1" t="n">
        <v>0.002093315</v>
      </c>
      <c r="M100" s="1" t="n">
        <v>0.002157688</v>
      </c>
      <c r="N100" s="1" t="n">
        <v>0.002097368</v>
      </c>
      <c r="O100" s="1" t="n">
        <v>0.002117634</v>
      </c>
      <c r="P100" s="1" t="n">
        <v>0.002138138</v>
      </c>
      <c r="R100" s="1" t="n">
        <f aca="false">PERCENTILE(G100:P100,0.9)</f>
        <v>0.0032241108</v>
      </c>
      <c r="S100" s="5" t="n">
        <f aca="false">spmv_1!R$2/R100</f>
        <v>5.40404765245661</v>
      </c>
      <c r="T100" s="6" t="n">
        <f aca="false">S100/128</f>
        <v>0.0422191222848173</v>
      </c>
    </row>
    <row r="101" customFormat="false" ht="15" hidden="false" customHeight="false" outlineLevel="0" collapsed="false">
      <c r="A101" s="1" t="s">
        <v>15</v>
      </c>
      <c r="B101" s="1" t="n">
        <v>99</v>
      </c>
      <c r="D101" s="1" t="n">
        <v>83424</v>
      </c>
      <c r="E101" s="1" t="n">
        <v>0.064609</v>
      </c>
      <c r="G101" s="1" t="n">
        <v>0.004399538</v>
      </c>
      <c r="H101" s="1" t="n">
        <v>0.003215313</v>
      </c>
      <c r="I101" s="1" t="n">
        <v>0.002927065</v>
      </c>
      <c r="J101" s="1" t="n">
        <v>0.002272367</v>
      </c>
      <c r="K101" s="1" t="n">
        <v>0.002210379</v>
      </c>
      <c r="L101" s="1" t="n">
        <v>0.002150774</v>
      </c>
      <c r="M101" s="1" t="n">
        <v>0.002208471</v>
      </c>
      <c r="N101" s="1" t="n">
        <v>0.002140284</v>
      </c>
      <c r="O101" s="1" t="n">
        <v>0.002150536</v>
      </c>
      <c r="P101" s="1" t="n">
        <v>0.002149343</v>
      </c>
      <c r="R101" s="1" t="n">
        <f aca="false">PERCENTILE(G101:P101,0.9)</f>
        <v>0.0033337355</v>
      </c>
      <c r="S101" s="5" t="n">
        <f aca="false">spmv_1!R$2/R101</f>
        <v>5.22634396160103</v>
      </c>
      <c r="T101" s="6" t="n">
        <f aca="false">S101/128</f>
        <v>0.0408308122000081</v>
      </c>
    </row>
    <row r="102" customFormat="false" ht="15" hidden="false" customHeight="false" outlineLevel="0" collapsed="false">
      <c r="A102" s="1" t="s">
        <v>15</v>
      </c>
      <c r="B102" s="1" t="n">
        <v>100</v>
      </c>
      <c r="D102" s="1" t="n">
        <v>83425</v>
      </c>
      <c r="E102" s="1" t="n">
        <v>0.06767</v>
      </c>
      <c r="G102" s="1" t="n">
        <v>0.004326105</v>
      </c>
      <c r="H102" s="1" t="n">
        <v>0.003093243</v>
      </c>
      <c r="I102" s="1" t="n">
        <v>0.002813339</v>
      </c>
      <c r="J102" s="1" t="n">
        <v>0.002127171</v>
      </c>
      <c r="K102" s="1" t="n">
        <v>0.002063513</v>
      </c>
      <c r="L102" s="1" t="n">
        <v>0.00205183</v>
      </c>
      <c r="M102" s="1" t="n">
        <v>0.002061844</v>
      </c>
      <c r="N102" s="1" t="n">
        <v>0.002028227</v>
      </c>
      <c r="O102" s="1" t="n">
        <v>0.002043486</v>
      </c>
      <c r="P102" s="1" t="n">
        <v>0.002047539</v>
      </c>
      <c r="R102" s="1" t="n">
        <f aca="false">PERCENTILE(G102:P102,0.9)</f>
        <v>0.0032165292</v>
      </c>
      <c r="S102" s="5" t="n">
        <f aca="false">spmv_1!R$2/R102</f>
        <v>5.4167853971293</v>
      </c>
      <c r="T102" s="6" t="n">
        <f aca="false">S102/128</f>
        <v>0.0423186359150727</v>
      </c>
    </row>
    <row r="103" customFormat="false" ht="15" hidden="false" customHeight="false" outlineLevel="0" collapsed="false">
      <c r="A103" s="1" t="s">
        <v>15</v>
      </c>
      <c r="B103" s="1" t="n">
        <v>101</v>
      </c>
      <c r="D103" s="1" t="n">
        <v>83001</v>
      </c>
      <c r="E103" s="1" t="n">
        <v>0.068407</v>
      </c>
      <c r="G103" s="1" t="n">
        <v>0.004165888</v>
      </c>
      <c r="H103" s="1" t="n">
        <v>0.003094912</v>
      </c>
      <c r="I103" s="1" t="n">
        <v>0.0028193</v>
      </c>
      <c r="J103" s="1" t="n">
        <v>0.002090931</v>
      </c>
      <c r="K103" s="1" t="n">
        <v>0.002052307</v>
      </c>
      <c r="L103" s="1" t="n">
        <v>0.002023458</v>
      </c>
      <c r="M103" s="1" t="n">
        <v>0.002048254</v>
      </c>
      <c r="N103" s="1" t="n">
        <v>0.001978159</v>
      </c>
      <c r="O103" s="1" t="n">
        <v>0.001971722</v>
      </c>
      <c r="P103" s="1" t="n">
        <v>0.002022028</v>
      </c>
      <c r="R103" s="1" t="n">
        <f aca="false">PERCENTILE(G103:P103,0.9)</f>
        <v>0.0032020096</v>
      </c>
      <c r="S103" s="5" t="n">
        <f aca="false">spmv_1!R$2/R103</f>
        <v>5.44134795848207</v>
      </c>
      <c r="T103" s="6" t="n">
        <f aca="false">S103/128</f>
        <v>0.0425105309256412</v>
      </c>
    </row>
    <row r="104" customFormat="false" ht="15" hidden="false" customHeight="false" outlineLevel="0" collapsed="false">
      <c r="A104" s="1" t="s">
        <v>15</v>
      </c>
      <c r="B104" s="1" t="n">
        <v>102</v>
      </c>
      <c r="D104" s="1" t="n">
        <v>82913</v>
      </c>
      <c r="E104" s="1" t="n">
        <v>0.066128</v>
      </c>
      <c r="G104" s="1" t="n">
        <v>0.004284382</v>
      </c>
      <c r="H104" s="1" t="n">
        <v>0.003198624</v>
      </c>
      <c r="I104" s="1" t="n">
        <v>0.002925873</v>
      </c>
      <c r="J104" s="1" t="n">
        <v>0.002191067</v>
      </c>
      <c r="K104" s="1" t="n">
        <v>0.002120972</v>
      </c>
      <c r="L104" s="1" t="n">
        <v>0.002076626</v>
      </c>
      <c r="M104" s="1" t="n">
        <v>0.002062559</v>
      </c>
      <c r="N104" s="1" t="n">
        <v>0.002061605</v>
      </c>
      <c r="O104" s="1" t="n">
        <v>0.00206399</v>
      </c>
      <c r="P104" s="1" t="n">
        <v>0.002090931</v>
      </c>
      <c r="R104" s="1" t="n">
        <f aca="false">PERCENTILE(G104:P104,0.9)</f>
        <v>0.0033071998</v>
      </c>
      <c r="S104" s="5" t="n">
        <f aca="false">spmv_1!R$2/R104</f>
        <v>5.26827813668832</v>
      </c>
      <c r="T104" s="6" t="n">
        <f aca="false">S104/128</f>
        <v>0.0411584229428775</v>
      </c>
    </row>
    <row r="105" customFormat="false" ht="15" hidden="false" customHeight="false" outlineLevel="0" collapsed="false">
      <c r="A105" s="1" t="s">
        <v>15</v>
      </c>
      <c r="B105" s="1" t="n">
        <v>103</v>
      </c>
      <c r="D105" s="1" t="n">
        <v>82747</v>
      </c>
      <c r="E105" s="1" t="n">
        <v>0.069181</v>
      </c>
      <c r="G105" s="1" t="n">
        <v>0.00423193</v>
      </c>
      <c r="H105" s="1" t="n">
        <v>0.003075838</v>
      </c>
      <c r="I105" s="1" t="n">
        <v>0.002818584</v>
      </c>
      <c r="J105" s="1" t="n">
        <v>0.002064943</v>
      </c>
      <c r="K105" s="1" t="n">
        <v>0.002001524</v>
      </c>
      <c r="L105" s="1" t="n">
        <v>0.001964569</v>
      </c>
      <c r="M105" s="1" t="n">
        <v>0.001931429</v>
      </c>
      <c r="N105" s="1" t="n">
        <v>0.00195694</v>
      </c>
      <c r="O105" s="1" t="n">
        <v>0.001943827</v>
      </c>
      <c r="P105" s="1" t="n">
        <v>0.001932144</v>
      </c>
      <c r="R105" s="1" t="n">
        <f aca="false">PERCENTILE(G105:P105,0.9)</f>
        <v>0.0031914472</v>
      </c>
      <c r="S105" s="5" t="n">
        <f aca="false">spmv_1!R$2/R105</f>
        <v>5.45935662040719</v>
      </c>
      <c r="T105" s="6" t="n">
        <f aca="false">S105/128</f>
        <v>0.0426512235969312</v>
      </c>
    </row>
    <row r="106" customFormat="false" ht="15" hidden="false" customHeight="false" outlineLevel="0" collapsed="false">
      <c r="A106" s="1" t="s">
        <v>15</v>
      </c>
      <c r="B106" s="1" t="n">
        <v>104</v>
      </c>
      <c r="D106" s="1" t="n">
        <v>82784</v>
      </c>
      <c r="E106" s="1" t="n">
        <v>0.069261</v>
      </c>
      <c r="G106" s="1" t="n">
        <v>0.004199743</v>
      </c>
      <c r="H106" s="1" t="n">
        <v>0.003097534</v>
      </c>
      <c r="I106" s="1" t="n">
        <v>0.002823114</v>
      </c>
      <c r="J106" s="1" t="n">
        <v>0.002069235</v>
      </c>
      <c r="K106" s="1" t="n">
        <v>0.002000093</v>
      </c>
      <c r="L106" s="1" t="n">
        <v>0.001972437</v>
      </c>
      <c r="M106" s="1" t="n">
        <v>0.001924515</v>
      </c>
      <c r="N106" s="1" t="n">
        <v>0.001940489</v>
      </c>
      <c r="O106" s="1" t="n">
        <v>0.001943111</v>
      </c>
      <c r="P106" s="1" t="n">
        <v>0.001934767</v>
      </c>
      <c r="R106" s="1" t="n">
        <f aca="false">PERCENTILE(G106:P106,0.9)</f>
        <v>0.0032077549</v>
      </c>
      <c r="S106" s="5" t="n">
        <f aca="false">spmv_1!R$2/R106</f>
        <v>5.43160214641087</v>
      </c>
      <c r="T106" s="6" t="n">
        <f aca="false">S106/128</f>
        <v>0.042434391768835</v>
      </c>
    </row>
    <row r="107" customFormat="false" ht="15" hidden="false" customHeight="false" outlineLevel="0" collapsed="false">
      <c r="A107" s="1" t="s">
        <v>15</v>
      </c>
      <c r="B107" s="1" t="n">
        <v>105</v>
      </c>
      <c r="D107" s="1" t="n">
        <v>83824</v>
      </c>
      <c r="E107" s="1" t="n">
        <v>0.071001</v>
      </c>
      <c r="G107" s="1" t="n">
        <v>0.004155636</v>
      </c>
      <c r="H107" s="1" t="n">
        <v>0.003073692</v>
      </c>
      <c r="I107" s="1" t="n">
        <v>0.002797604</v>
      </c>
      <c r="J107" s="1" t="n">
        <v>0.002050161</v>
      </c>
      <c r="K107" s="1" t="n">
        <v>0.001968145</v>
      </c>
      <c r="L107" s="1" t="n">
        <v>0.001947165</v>
      </c>
      <c r="M107" s="1" t="n">
        <v>0.001886606</v>
      </c>
      <c r="N107" s="1" t="n">
        <v>0.001921415</v>
      </c>
      <c r="O107" s="1" t="n">
        <v>0.001922131</v>
      </c>
      <c r="P107" s="1" t="n">
        <v>0.001889467</v>
      </c>
      <c r="R107" s="1" t="n">
        <f aca="false">PERCENTILE(G107:P107,0.9)</f>
        <v>0.0031818864</v>
      </c>
      <c r="S107" s="5" t="n">
        <f aca="false">spmv_1!R$2/R107</f>
        <v>5.4757606682627</v>
      </c>
      <c r="T107" s="6" t="n">
        <f aca="false">S107/128</f>
        <v>0.0427793802208024</v>
      </c>
    </row>
    <row r="108" customFormat="false" ht="15" hidden="false" customHeight="false" outlineLevel="0" collapsed="false">
      <c r="A108" s="1" t="s">
        <v>15</v>
      </c>
      <c r="B108" s="1" t="n">
        <v>106</v>
      </c>
      <c r="D108" s="1" t="n">
        <v>83804</v>
      </c>
      <c r="E108" s="1" t="n">
        <v>0.070788</v>
      </c>
      <c r="G108" s="1" t="n">
        <v>0.004167318</v>
      </c>
      <c r="H108" s="1" t="n">
        <v>0.003082514</v>
      </c>
      <c r="I108" s="1" t="n">
        <v>0.002805471</v>
      </c>
      <c r="J108" s="1" t="n">
        <v>0.00205183</v>
      </c>
      <c r="K108" s="1" t="n">
        <v>0.001981497</v>
      </c>
      <c r="L108" s="1" t="n">
        <v>0.001956463</v>
      </c>
      <c r="M108" s="1" t="n">
        <v>0.00189805</v>
      </c>
      <c r="N108" s="1" t="n">
        <v>0.001919508</v>
      </c>
      <c r="O108" s="1" t="n">
        <v>0.00191927</v>
      </c>
      <c r="P108" s="1" t="n">
        <v>0.001895428</v>
      </c>
      <c r="R108" s="1" t="n">
        <f aca="false">PERCENTILE(G108:P108,0.9)</f>
        <v>0.0031909944</v>
      </c>
      <c r="S108" s="5" t="n">
        <f aca="false">spmv_1!R$2/R108</f>
        <v>5.46013129950965</v>
      </c>
      <c r="T108" s="6" t="n">
        <f aca="false">S108/128</f>
        <v>0.0426572757774191</v>
      </c>
    </row>
    <row r="109" customFormat="false" ht="15" hidden="false" customHeight="false" outlineLevel="0" collapsed="false">
      <c r="A109" s="1" t="s">
        <v>15</v>
      </c>
      <c r="B109" s="1" t="n">
        <v>107</v>
      </c>
      <c r="D109" s="1" t="n">
        <v>85017</v>
      </c>
      <c r="E109" s="1" t="n">
        <v>0.072453</v>
      </c>
      <c r="G109" s="1" t="n">
        <v>0.004042864</v>
      </c>
      <c r="H109" s="1" t="n">
        <v>0.003058434</v>
      </c>
      <c r="I109" s="1" t="n">
        <v>0.002813578</v>
      </c>
      <c r="J109" s="1" t="n">
        <v>0.002030373</v>
      </c>
      <c r="K109" s="1" t="n">
        <v>0.001968861</v>
      </c>
      <c r="L109" s="1" t="n">
        <v>0.00193429</v>
      </c>
      <c r="M109" s="1" t="n">
        <v>0.001893282</v>
      </c>
      <c r="N109" s="1" t="n">
        <v>0.001911402</v>
      </c>
      <c r="O109" s="1" t="n">
        <v>0.001919508</v>
      </c>
      <c r="P109" s="1" t="n">
        <v>0.001895428</v>
      </c>
      <c r="R109" s="1" t="n">
        <f aca="false">PERCENTILE(G109:P109,0.9)</f>
        <v>0.003156877</v>
      </c>
      <c r="S109" s="5" t="n">
        <f aca="false">spmv_1!R$2/R109</f>
        <v>5.51914072040184</v>
      </c>
      <c r="T109" s="6" t="n">
        <f aca="false">S109/128</f>
        <v>0.0431182868781394</v>
      </c>
    </row>
    <row r="110" customFormat="false" ht="15" hidden="false" customHeight="false" outlineLevel="0" collapsed="false">
      <c r="A110" s="1" t="s">
        <v>15</v>
      </c>
      <c r="B110" s="1" t="n">
        <v>108</v>
      </c>
      <c r="D110" s="1" t="n">
        <v>84107</v>
      </c>
      <c r="E110" s="1" t="n">
        <v>0.072572</v>
      </c>
      <c r="G110" s="1" t="n">
        <v>0.003975391</v>
      </c>
      <c r="H110" s="1" t="n">
        <v>0.003037453</v>
      </c>
      <c r="I110" s="1" t="n">
        <v>0.002806425</v>
      </c>
      <c r="J110" s="1" t="n">
        <v>0.002010584</v>
      </c>
      <c r="K110" s="1" t="n">
        <v>0.001928329</v>
      </c>
      <c r="L110" s="1" t="n">
        <v>0.001910448</v>
      </c>
      <c r="M110" s="1" t="n">
        <v>0.001871586</v>
      </c>
      <c r="N110" s="1" t="n">
        <v>0.001893282</v>
      </c>
      <c r="O110" s="1" t="n">
        <v>0.001899481</v>
      </c>
      <c r="P110" s="1" t="n">
        <v>0.001846075</v>
      </c>
      <c r="R110" s="1" t="n">
        <f aca="false">PERCENTILE(G110:P110,0.9)</f>
        <v>0.0031312468</v>
      </c>
      <c r="S110" s="5" t="n">
        <f aca="false">spmv_1!R$2/R110</f>
        <v>5.56431655275464</v>
      </c>
      <c r="T110" s="6" t="n">
        <f aca="false">S110/128</f>
        <v>0.0434712230683956</v>
      </c>
    </row>
    <row r="111" customFormat="false" ht="15" hidden="false" customHeight="false" outlineLevel="0" collapsed="false">
      <c r="A111" s="1" t="s">
        <v>15</v>
      </c>
      <c r="B111" s="1" t="n">
        <v>109</v>
      </c>
      <c r="D111" s="1" t="n">
        <v>84217</v>
      </c>
      <c r="E111" s="1" t="n">
        <v>0.069424</v>
      </c>
      <c r="G111" s="1" t="n">
        <v>0.004104376</v>
      </c>
      <c r="H111" s="1" t="n">
        <v>0.003166914</v>
      </c>
      <c r="I111" s="1" t="n">
        <v>0.002920389</v>
      </c>
      <c r="J111" s="1" t="n">
        <v>0.002106667</v>
      </c>
      <c r="K111" s="1" t="n">
        <v>0.002031088</v>
      </c>
      <c r="L111" s="1" t="n">
        <v>0.002004147</v>
      </c>
      <c r="M111" s="1" t="n">
        <v>0.001968622</v>
      </c>
      <c r="N111" s="1" t="n">
        <v>0.001995802</v>
      </c>
      <c r="O111" s="1" t="n">
        <v>0.002018929</v>
      </c>
      <c r="P111" s="1" t="n">
        <v>0.001944542</v>
      </c>
      <c r="R111" s="1" t="n">
        <f aca="false">PERCENTILE(G111:P111,0.9)</f>
        <v>0.0032606602</v>
      </c>
      <c r="S111" s="5" t="n">
        <f aca="false">spmv_1!R$2/R111</f>
        <v>5.34347258877205</v>
      </c>
      <c r="T111" s="6" t="n">
        <f aca="false">S111/128</f>
        <v>0.0417458795997817</v>
      </c>
    </row>
    <row r="112" customFormat="false" ht="15" hidden="false" customHeight="false" outlineLevel="0" collapsed="false">
      <c r="A112" s="1" t="s">
        <v>15</v>
      </c>
      <c r="B112" s="1" t="n">
        <v>110</v>
      </c>
      <c r="D112" s="1" t="n">
        <v>82926</v>
      </c>
      <c r="E112" s="1" t="n">
        <v>0.072342</v>
      </c>
      <c r="G112" s="1" t="n">
        <v>0.003815174</v>
      </c>
      <c r="H112" s="1" t="n">
        <v>0.003022909</v>
      </c>
      <c r="I112" s="1" t="n">
        <v>0.00280118</v>
      </c>
      <c r="J112" s="1" t="n">
        <v>0.001996279</v>
      </c>
      <c r="K112" s="1" t="n">
        <v>0.001918554</v>
      </c>
      <c r="L112" s="1" t="n">
        <v>0.001904964</v>
      </c>
      <c r="M112" s="1" t="n">
        <v>0.00186038</v>
      </c>
      <c r="N112" s="1" t="n">
        <v>0.001889467</v>
      </c>
      <c r="O112" s="1" t="n">
        <v>0.00188899</v>
      </c>
      <c r="P112" s="1" t="n">
        <v>0.001828194</v>
      </c>
      <c r="R112" s="1" t="n">
        <f aca="false">PERCENTILE(G112:P112,0.9)</f>
        <v>0.0031021355</v>
      </c>
      <c r="S112" s="5" t="n">
        <f aca="false">spmv_1!R$2/R112</f>
        <v>5.61653364271161</v>
      </c>
      <c r="T112" s="6" t="n">
        <f aca="false">S112/128</f>
        <v>0.0438791690836845</v>
      </c>
    </row>
    <row r="113" customFormat="false" ht="15" hidden="false" customHeight="false" outlineLevel="0" collapsed="false">
      <c r="A113" s="1" t="s">
        <v>15</v>
      </c>
      <c r="B113" s="1" t="n">
        <v>111</v>
      </c>
      <c r="D113" s="1" t="n">
        <v>83137</v>
      </c>
      <c r="E113" s="1" t="n">
        <v>0.072239</v>
      </c>
      <c r="G113" s="1" t="n">
        <v>0.003865957</v>
      </c>
      <c r="H113" s="1" t="n">
        <v>0.003025293</v>
      </c>
      <c r="I113" s="1" t="n">
        <v>0.002798319</v>
      </c>
      <c r="J113" s="1" t="n">
        <v>0.002002001</v>
      </c>
      <c r="K113" s="1" t="n">
        <v>0.001937866</v>
      </c>
      <c r="L113" s="1" t="n">
        <v>0.001922131</v>
      </c>
      <c r="M113" s="1" t="n">
        <v>0.001887321</v>
      </c>
      <c r="N113" s="1" t="n">
        <v>0.001883268</v>
      </c>
      <c r="O113" s="1" t="n">
        <v>0.001867294</v>
      </c>
      <c r="P113" s="1" t="n">
        <v>0.001827717</v>
      </c>
      <c r="R113" s="1" t="n">
        <f aca="false">PERCENTILE(G113:P113,0.9)</f>
        <v>0.0031093594</v>
      </c>
      <c r="S113" s="5" t="n">
        <f aca="false">spmv_1!R$2/R113</f>
        <v>5.60348488502165</v>
      </c>
      <c r="T113" s="6" t="n">
        <f aca="false">S113/128</f>
        <v>0.0437772256642317</v>
      </c>
    </row>
    <row r="114" customFormat="false" ht="15" hidden="false" customHeight="false" outlineLevel="0" collapsed="false">
      <c r="A114" s="1" t="s">
        <v>15</v>
      </c>
      <c r="B114" s="1" t="n">
        <v>112</v>
      </c>
      <c r="D114" s="1" t="n">
        <v>83133</v>
      </c>
      <c r="E114" s="1" t="n">
        <v>0.070341</v>
      </c>
      <c r="G114" s="1" t="n">
        <v>0.003969908</v>
      </c>
      <c r="H114" s="1" t="n">
        <v>0.003155231</v>
      </c>
      <c r="I114" s="1" t="n">
        <v>0.002797842</v>
      </c>
      <c r="J114" s="1" t="n">
        <v>0.002110243</v>
      </c>
      <c r="K114" s="1" t="n">
        <v>0.001982212</v>
      </c>
      <c r="L114" s="1" t="n">
        <v>0.001955748</v>
      </c>
      <c r="M114" s="1" t="n">
        <v>0.001921892</v>
      </c>
      <c r="N114" s="1" t="n">
        <v>0.001912117</v>
      </c>
      <c r="O114" s="1" t="n">
        <v>0.001955032</v>
      </c>
      <c r="P114" s="1" t="n">
        <v>0.001877069</v>
      </c>
      <c r="R114" s="1" t="n">
        <f aca="false">PERCENTILE(G114:P114,0.9)</f>
        <v>0.0032366987</v>
      </c>
      <c r="S114" s="5" t="n">
        <f aca="false">spmv_1!R$2/R114</f>
        <v>5.38303067875919</v>
      </c>
      <c r="T114" s="6" t="n">
        <f aca="false">S114/128</f>
        <v>0.0420549271778062</v>
      </c>
    </row>
    <row r="115" customFormat="false" ht="15" hidden="false" customHeight="false" outlineLevel="0" collapsed="false">
      <c r="A115" s="1" t="s">
        <v>15</v>
      </c>
      <c r="B115" s="1" t="n">
        <v>113</v>
      </c>
      <c r="D115" s="1" t="n">
        <v>83164</v>
      </c>
      <c r="E115" s="1" t="n">
        <v>0.072356</v>
      </c>
      <c r="G115" s="1" t="n">
        <v>0.003793716</v>
      </c>
      <c r="H115" s="1" t="n">
        <v>0.003105879</v>
      </c>
      <c r="I115" s="1" t="n">
        <v>0.002748489</v>
      </c>
      <c r="J115" s="1" t="n">
        <v>0.002046824</v>
      </c>
      <c r="K115" s="1" t="n">
        <v>0.001935959</v>
      </c>
      <c r="L115" s="1" t="n">
        <v>0.001903057</v>
      </c>
      <c r="M115" s="1" t="n">
        <v>0.001871109</v>
      </c>
      <c r="N115" s="1" t="n">
        <v>0.001857996</v>
      </c>
      <c r="O115" s="1" t="n">
        <v>0.001903534</v>
      </c>
      <c r="P115" s="1" t="n">
        <v>0.001821041</v>
      </c>
      <c r="R115" s="1" t="n">
        <f aca="false">PERCENTILE(G115:P115,0.9)</f>
        <v>0.0031746627</v>
      </c>
      <c r="S115" s="5" t="n">
        <f aca="false">spmv_1!R$2/R115</f>
        <v>5.48822033912453</v>
      </c>
      <c r="T115" s="6" t="n">
        <f aca="false">S115/128</f>
        <v>0.0428767213994104</v>
      </c>
    </row>
    <row r="116" customFormat="false" ht="15" hidden="false" customHeight="false" outlineLevel="0" collapsed="false">
      <c r="A116" s="1" t="s">
        <v>15</v>
      </c>
      <c r="B116" s="1" t="n">
        <v>114</v>
      </c>
      <c r="D116" s="1" t="n">
        <v>82857</v>
      </c>
      <c r="E116" s="1" t="n">
        <v>0.07255</v>
      </c>
      <c r="G116" s="1" t="n">
        <v>0.003787756</v>
      </c>
      <c r="H116" s="1" t="n">
        <v>0.003050566</v>
      </c>
      <c r="I116" s="1" t="n">
        <v>0.002747059</v>
      </c>
      <c r="J116" s="1" t="n">
        <v>0.002034426</v>
      </c>
      <c r="K116" s="1" t="n">
        <v>0.001924038</v>
      </c>
      <c r="L116" s="1" t="n">
        <v>0.001880407</v>
      </c>
      <c r="M116" s="1" t="n">
        <v>0.00185895</v>
      </c>
      <c r="N116" s="1" t="n">
        <v>0.001852274</v>
      </c>
      <c r="O116" s="1" t="n">
        <v>0.001884699</v>
      </c>
      <c r="P116" s="1" t="n">
        <v>0.001821041</v>
      </c>
      <c r="R116" s="1" t="n">
        <f aca="false">PERCENTILE(G116:P116,0.9)</f>
        <v>0.003124285</v>
      </c>
      <c r="S116" s="5" t="n">
        <f aca="false">spmv_1!R$2/R116</f>
        <v>5.57671544049278</v>
      </c>
      <c r="T116" s="6" t="n">
        <f aca="false">S116/128</f>
        <v>0.0435680893788499</v>
      </c>
    </row>
    <row r="117" customFormat="false" ht="15" hidden="false" customHeight="false" outlineLevel="0" collapsed="false">
      <c r="A117" s="1" t="s">
        <v>15</v>
      </c>
      <c r="B117" s="1" t="n">
        <v>115</v>
      </c>
      <c r="D117" s="1" t="n">
        <v>82695</v>
      </c>
      <c r="E117" s="1" t="n">
        <v>0.073079</v>
      </c>
      <c r="G117" s="1" t="n">
        <v>0.003708839</v>
      </c>
      <c r="H117" s="1" t="n">
        <v>0.003025532</v>
      </c>
      <c r="I117" s="1" t="n">
        <v>0.002747774</v>
      </c>
      <c r="J117" s="1" t="n">
        <v>0.00201869</v>
      </c>
      <c r="K117" s="1" t="n">
        <v>0.001903057</v>
      </c>
      <c r="L117" s="1" t="n">
        <v>0.001866102</v>
      </c>
      <c r="M117" s="1" t="n">
        <v>0.00184679</v>
      </c>
      <c r="N117" s="1" t="n">
        <v>0.001831293</v>
      </c>
      <c r="O117" s="1" t="n">
        <v>0.001868963</v>
      </c>
      <c r="P117" s="1" t="n">
        <v>0.001814604</v>
      </c>
      <c r="R117" s="1" t="n">
        <f aca="false">PERCENTILE(G117:P117,0.9)</f>
        <v>0.0030938627</v>
      </c>
      <c r="S117" s="5" t="n">
        <f aca="false">spmv_1!R$2/R117</f>
        <v>5.63155191082009</v>
      </c>
      <c r="T117" s="6" t="n">
        <f aca="false">S117/128</f>
        <v>0.0439964993032819</v>
      </c>
    </row>
    <row r="118" customFormat="false" ht="15" hidden="false" customHeight="false" outlineLevel="0" collapsed="false">
      <c r="A118" s="1" t="s">
        <v>15</v>
      </c>
      <c r="B118" s="1" t="n">
        <v>116</v>
      </c>
      <c r="D118" s="1" t="n">
        <v>82536</v>
      </c>
      <c r="E118" s="1" t="n">
        <v>0.072626</v>
      </c>
      <c r="G118" s="1" t="n">
        <v>0.003779173</v>
      </c>
      <c r="H118" s="1" t="n">
        <v>0.003039837</v>
      </c>
      <c r="I118" s="1" t="n">
        <v>0.002720356</v>
      </c>
      <c r="J118" s="1" t="n">
        <v>0.002030373</v>
      </c>
      <c r="K118" s="1" t="n">
        <v>0.001914263</v>
      </c>
      <c r="L118" s="1" t="n">
        <v>0.00186491</v>
      </c>
      <c r="M118" s="1" t="n">
        <v>0.00185132</v>
      </c>
      <c r="N118" s="1" t="n">
        <v>0.001846552</v>
      </c>
      <c r="O118" s="1" t="n">
        <v>0.001870155</v>
      </c>
      <c r="P118" s="1" t="n">
        <v>0.001811981</v>
      </c>
      <c r="R118" s="1" t="n">
        <f aca="false">PERCENTILE(G118:P118,0.9)</f>
        <v>0.0031137706</v>
      </c>
      <c r="S118" s="5" t="n">
        <f aca="false">spmv_1!R$2/R118</f>
        <v>5.59554656980832</v>
      </c>
      <c r="T118" s="6" t="n">
        <f aca="false">S118/128</f>
        <v>0.0437152075766275</v>
      </c>
    </row>
    <row r="119" customFormat="false" ht="15" hidden="false" customHeight="false" outlineLevel="0" collapsed="false">
      <c r="A119" s="1" t="s">
        <v>15</v>
      </c>
      <c r="B119" s="1" t="n">
        <v>117</v>
      </c>
      <c r="D119" s="1" t="n">
        <v>82937</v>
      </c>
      <c r="E119" s="1" t="n">
        <v>0.073725</v>
      </c>
      <c r="G119" s="1" t="n">
        <v>0.003709316</v>
      </c>
      <c r="H119" s="1" t="n">
        <v>0.003022909</v>
      </c>
      <c r="I119" s="1" t="n">
        <v>0.002712011</v>
      </c>
      <c r="J119" s="1" t="n">
        <v>0.002015114</v>
      </c>
      <c r="K119" s="1" t="n">
        <v>0.001895189</v>
      </c>
      <c r="L119" s="1" t="n">
        <v>0.001858473</v>
      </c>
      <c r="M119" s="1" t="n">
        <v>0.001824141</v>
      </c>
      <c r="N119" s="1" t="n">
        <v>0.001824856</v>
      </c>
      <c r="O119" s="1" t="n">
        <v>0.001859188</v>
      </c>
      <c r="P119" s="1" t="n">
        <v>0.001777887</v>
      </c>
      <c r="R119" s="1" t="n">
        <f aca="false">PERCENTILE(G119:P119,0.9)</f>
        <v>0.0030915497</v>
      </c>
      <c r="S119" s="5" t="n">
        <f aca="false">spmv_1!R$2/R119</f>
        <v>5.63576526038058</v>
      </c>
      <c r="T119" s="6" t="n">
        <f aca="false">S119/128</f>
        <v>0.0440294160967233</v>
      </c>
    </row>
    <row r="120" customFormat="false" ht="15" hidden="false" customHeight="false" outlineLevel="0" collapsed="false">
      <c r="A120" s="1" t="s">
        <v>15</v>
      </c>
      <c r="B120" s="1" t="n">
        <v>118</v>
      </c>
      <c r="D120" s="1" t="n">
        <v>82709</v>
      </c>
      <c r="E120" s="1" t="n">
        <v>0.073457</v>
      </c>
      <c r="G120" s="1" t="n">
        <v>0.003758907</v>
      </c>
      <c r="H120" s="1" t="n">
        <v>0.003022432</v>
      </c>
      <c r="I120" s="1" t="n">
        <v>0.002696276</v>
      </c>
      <c r="J120" s="1" t="n">
        <v>0.00201416</v>
      </c>
      <c r="K120" s="1" t="n">
        <v>0.001901388</v>
      </c>
      <c r="L120" s="1" t="n">
        <v>0.001844883</v>
      </c>
      <c r="M120" s="1" t="n">
        <v>0.001824856</v>
      </c>
      <c r="N120" s="1" t="n">
        <v>0.001828671</v>
      </c>
      <c r="O120" s="1" t="n">
        <v>0.001848936</v>
      </c>
      <c r="P120" s="1" t="n">
        <v>0.001778364</v>
      </c>
      <c r="R120" s="1" t="n">
        <f aca="false">PERCENTILE(G120:P120,0.9)</f>
        <v>0.0030960795</v>
      </c>
      <c r="S120" s="5" t="n">
        <f aca="false">spmv_1!R$2/R120</f>
        <v>5.62751970677756</v>
      </c>
      <c r="T120" s="6" t="n">
        <f aca="false">S120/128</f>
        <v>0.0439649977091997</v>
      </c>
    </row>
    <row r="121" customFormat="false" ht="15" hidden="false" customHeight="false" outlineLevel="0" collapsed="false">
      <c r="A121" s="1" t="s">
        <v>15</v>
      </c>
      <c r="B121" s="1" t="n">
        <v>119</v>
      </c>
      <c r="D121" s="1" t="n">
        <v>83504</v>
      </c>
      <c r="E121" s="1" t="n">
        <v>0.074828</v>
      </c>
      <c r="G121" s="1" t="n">
        <v>0.003704548</v>
      </c>
      <c r="H121" s="1" t="n">
        <v>0.003005743</v>
      </c>
      <c r="I121" s="1" t="n">
        <v>0.002676725</v>
      </c>
      <c r="J121" s="1" t="n">
        <v>0.001998663</v>
      </c>
      <c r="K121" s="1" t="n">
        <v>0.001883745</v>
      </c>
      <c r="L121" s="1" t="n">
        <v>0.001821518</v>
      </c>
      <c r="M121" s="1" t="n">
        <v>0.001817703</v>
      </c>
      <c r="N121" s="1" t="n">
        <v>0.001817226</v>
      </c>
      <c r="O121" s="1" t="n">
        <v>0.001834631</v>
      </c>
      <c r="P121" s="1" t="n">
        <v>0.001758337</v>
      </c>
      <c r="R121" s="1" t="n">
        <f aca="false">PERCENTILE(G121:P121,0.9)</f>
        <v>0.0030756235</v>
      </c>
      <c r="S121" s="5" t="n">
        <f aca="false">spmv_1!R$2/R121</f>
        <v>5.66494839176512</v>
      </c>
      <c r="T121" s="6" t="n">
        <f aca="false">S121/128</f>
        <v>0.044257409310665</v>
      </c>
    </row>
    <row r="122" customFormat="false" ht="15" hidden="false" customHeight="false" outlineLevel="0" collapsed="false">
      <c r="A122" s="1" t="s">
        <v>15</v>
      </c>
      <c r="B122" s="1" t="n">
        <v>120</v>
      </c>
      <c r="D122" s="1" t="n">
        <v>83301</v>
      </c>
      <c r="E122" s="1" t="n">
        <v>0.07631</v>
      </c>
      <c r="G122" s="1" t="n">
        <v>0.003667116</v>
      </c>
      <c r="H122" s="1" t="n">
        <v>0.002963781</v>
      </c>
      <c r="I122" s="1" t="n">
        <v>0.002637863</v>
      </c>
      <c r="J122" s="1" t="n">
        <v>0.001948833</v>
      </c>
      <c r="K122" s="1" t="n">
        <v>0.001832724</v>
      </c>
      <c r="L122" s="1" t="n">
        <v>0.001778364</v>
      </c>
      <c r="M122" s="1" t="n">
        <v>0.001754999</v>
      </c>
      <c r="N122" s="1" t="n">
        <v>0.001763821</v>
      </c>
      <c r="O122" s="1" t="n">
        <v>0.00179553</v>
      </c>
      <c r="P122" s="1" t="n">
        <v>0.001689196</v>
      </c>
      <c r="R122" s="1" t="n">
        <f aca="false">PERCENTILE(G122:P122,0.9)</f>
        <v>0.0030341145</v>
      </c>
      <c r="S122" s="5" t="n">
        <f aca="false">spmv_1!R$2/R122</f>
        <v>5.74244920552603</v>
      </c>
      <c r="T122" s="6" t="n">
        <f aca="false">S122/128</f>
        <v>0.0448628844181721</v>
      </c>
    </row>
    <row r="123" customFormat="false" ht="15" hidden="false" customHeight="false" outlineLevel="0" collapsed="false">
      <c r="A123" s="1" t="s">
        <v>15</v>
      </c>
      <c r="B123" s="1" t="n">
        <v>121</v>
      </c>
      <c r="D123" s="1" t="n">
        <v>83781</v>
      </c>
      <c r="E123" s="1" t="n">
        <v>0.07713</v>
      </c>
      <c r="G123" s="1" t="n">
        <v>0.003647804</v>
      </c>
      <c r="H123" s="1" t="n">
        <v>0.002965212</v>
      </c>
      <c r="I123" s="1" t="n">
        <v>0.002616644</v>
      </c>
      <c r="J123" s="1" t="n">
        <v>0.00194478</v>
      </c>
      <c r="K123" s="1" t="n">
        <v>0.001823902</v>
      </c>
      <c r="L123" s="1" t="n">
        <v>0.001769066</v>
      </c>
      <c r="M123" s="1" t="n">
        <v>0.001747131</v>
      </c>
      <c r="N123" s="1" t="n">
        <v>0.001758575</v>
      </c>
      <c r="O123" s="1" t="n">
        <v>0.001765728</v>
      </c>
      <c r="P123" s="1" t="n">
        <v>0.001685858</v>
      </c>
      <c r="R123" s="1" t="n">
        <f aca="false">PERCENTILE(G123:P123,0.9)</f>
        <v>0.0030334712</v>
      </c>
      <c r="S123" s="5" t="n">
        <f aca="false">spmv_1!R$2/R123</f>
        <v>5.74366699113544</v>
      </c>
      <c r="T123" s="6" t="n">
        <f aca="false">S123/128</f>
        <v>0.0448723983682456</v>
      </c>
    </row>
    <row r="124" customFormat="false" ht="15" hidden="false" customHeight="false" outlineLevel="0" collapsed="false">
      <c r="A124" s="1" t="s">
        <v>15</v>
      </c>
      <c r="B124" s="1" t="n">
        <v>122</v>
      </c>
      <c r="D124" s="1" t="n">
        <v>83201</v>
      </c>
      <c r="E124" s="1" t="n">
        <v>0.07732</v>
      </c>
      <c r="G124" s="1" t="n">
        <v>0.003632784</v>
      </c>
      <c r="H124" s="1" t="n">
        <v>0.002946854</v>
      </c>
      <c r="I124" s="1" t="n">
        <v>0.002594233</v>
      </c>
      <c r="J124" s="1" t="n">
        <v>0.001914978</v>
      </c>
      <c r="K124" s="1" t="n">
        <v>0.00180912</v>
      </c>
      <c r="L124" s="1" t="n">
        <v>0.001759291</v>
      </c>
      <c r="M124" s="1" t="n">
        <v>0.001741171</v>
      </c>
      <c r="N124" s="1" t="n">
        <v>0.001708508</v>
      </c>
      <c r="O124" s="1" t="n">
        <v>0.001745701</v>
      </c>
      <c r="P124" s="1" t="n">
        <v>0.001668453</v>
      </c>
      <c r="R124" s="1" t="n">
        <f aca="false">PERCENTILE(G124:P124,0.9)</f>
        <v>0.003015447</v>
      </c>
      <c r="S124" s="5" t="n">
        <f aca="false">spmv_1!R$2/R124</f>
        <v>5.77799855212179</v>
      </c>
      <c r="T124" s="6" t="n">
        <f aca="false">S124/128</f>
        <v>0.0451406136884515</v>
      </c>
    </row>
    <row r="125" customFormat="false" ht="15" hidden="false" customHeight="false" outlineLevel="0" collapsed="false">
      <c r="A125" s="1" t="s">
        <v>15</v>
      </c>
      <c r="B125" s="1" t="n">
        <v>123</v>
      </c>
      <c r="D125" s="1" t="n">
        <v>83379</v>
      </c>
      <c r="E125" s="1" t="n">
        <v>0.076931</v>
      </c>
      <c r="G125" s="1" t="n">
        <v>0.00363636</v>
      </c>
      <c r="H125" s="1" t="n">
        <v>0.002962589</v>
      </c>
      <c r="I125" s="1" t="n">
        <v>0.002593994</v>
      </c>
      <c r="J125" s="1" t="n">
        <v>0.00193882</v>
      </c>
      <c r="K125" s="1" t="n">
        <v>0.001829386</v>
      </c>
      <c r="L125" s="1" t="n">
        <v>0.001775026</v>
      </c>
      <c r="M125" s="1" t="n">
        <v>0.001754761</v>
      </c>
      <c r="N125" s="1" t="n">
        <v>0.001727343</v>
      </c>
      <c r="O125" s="1" t="n">
        <v>0.001764774</v>
      </c>
      <c r="P125" s="1" t="n">
        <v>0.001693249</v>
      </c>
      <c r="R125" s="1" t="n">
        <f aca="false">PERCENTILE(G125:P125,0.9)</f>
        <v>0.0030299661</v>
      </c>
      <c r="S125" s="5" t="n">
        <f aca="false">spmv_1!R$2/R125</f>
        <v>5.75031133186606</v>
      </c>
      <c r="T125" s="6" t="n">
        <f aca="false">S125/128</f>
        <v>0.0449243072802036</v>
      </c>
    </row>
    <row r="126" customFormat="false" ht="15" hidden="false" customHeight="false" outlineLevel="0" collapsed="false">
      <c r="A126" s="1" t="s">
        <v>15</v>
      </c>
      <c r="B126" s="1" t="n">
        <v>124</v>
      </c>
      <c r="D126" s="1" t="n">
        <v>82939</v>
      </c>
      <c r="E126" s="1" t="n">
        <v>0.077411</v>
      </c>
      <c r="G126" s="1" t="n">
        <v>0.0036695</v>
      </c>
      <c r="H126" s="1" t="n">
        <v>0.0029459</v>
      </c>
      <c r="I126" s="1" t="n">
        <v>0.002550364</v>
      </c>
      <c r="J126" s="1" t="n">
        <v>0.001904488</v>
      </c>
      <c r="K126" s="1" t="n">
        <v>0.001801252</v>
      </c>
      <c r="L126" s="1" t="n">
        <v>0.001740694</v>
      </c>
      <c r="M126" s="1" t="n">
        <v>0.001722097</v>
      </c>
      <c r="N126" s="1" t="n">
        <v>0.001698494</v>
      </c>
      <c r="O126" s="1" t="n">
        <v>0.001734734</v>
      </c>
      <c r="P126" s="1" t="n">
        <v>0.001660585</v>
      </c>
      <c r="R126" s="1" t="n">
        <f aca="false">PERCENTILE(G126:P126,0.9)</f>
        <v>0.00301826</v>
      </c>
      <c r="S126" s="5" t="n">
        <f aca="false">spmv_1!R$2/R126</f>
        <v>5.77261349254206</v>
      </c>
      <c r="T126" s="6" t="n">
        <f aca="false">S126/128</f>
        <v>0.0450985429104848</v>
      </c>
    </row>
    <row r="127" customFormat="false" ht="15" hidden="false" customHeight="false" outlineLevel="0" collapsed="false">
      <c r="A127" s="1" t="s">
        <v>15</v>
      </c>
      <c r="B127" s="1" t="n">
        <v>125</v>
      </c>
      <c r="D127" s="1" t="n">
        <v>83202</v>
      </c>
      <c r="E127" s="1" t="n">
        <v>0.076956</v>
      </c>
      <c r="G127" s="1" t="n">
        <v>0.003651619</v>
      </c>
      <c r="H127" s="1" t="n">
        <v>0.002962589</v>
      </c>
      <c r="I127" s="1" t="n">
        <v>0.002565861</v>
      </c>
      <c r="J127" s="1" t="n">
        <v>0.001938105</v>
      </c>
      <c r="K127" s="1" t="n">
        <v>0.001822948</v>
      </c>
      <c r="L127" s="1" t="n">
        <v>0.001768112</v>
      </c>
      <c r="M127" s="1" t="n">
        <v>0.001748323</v>
      </c>
      <c r="N127" s="1" t="n">
        <v>0.001714945</v>
      </c>
      <c r="O127" s="1" t="n">
        <v>0.001758575</v>
      </c>
      <c r="P127" s="1" t="n">
        <v>0.001692057</v>
      </c>
      <c r="R127" s="1" t="n">
        <f aca="false">PERCENTILE(G127:P127,0.9)</f>
        <v>0.003031492</v>
      </c>
      <c r="S127" s="5" t="n">
        <f aca="false">spmv_1!R$2/R127</f>
        <v>5.74741691549903</v>
      </c>
      <c r="T127" s="6" t="n">
        <f aca="false">S127/128</f>
        <v>0.0449016946523362</v>
      </c>
    </row>
    <row r="128" customFormat="false" ht="15" hidden="false" customHeight="false" outlineLevel="0" collapsed="false">
      <c r="A128" s="1" t="s">
        <v>15</v>
      </c>
      <c r="B128" s="1" t="n">
        <v>126</v>
      </c>
      <c r="D128" s="1" t="n">
        <v>83449</v>
      </c>
      <c r="E128" s="1" t="n">
        <v>0.077753</v>
      </c>
      <c r="G128" s="1" t="n">
        <v>0.003606319</v>
      </c>
      <c r="H128" s="1" t="n">
        <v>0.002953768</v>
      </c>
      <c r="I128" s="1" t="n">
        <v>0.002555132</v>
      </c>
      <c r="J128" s="1" t="n">
        <v>0.001901388</v>
      </c>
      <c r="K128" s="1" t="n">
        <v>0.001811981</v>
      </c>
      <c r="L128" s="1" t="n">
        <v>0.001759291</v>
      </c>
      <c r="M128" s="1" t="n">
        <v>0.001745224</v>
      </c>
      <c r="N128" s="1" t="n">
        <v>0.001708984</v>
      </c>
      <c r="O128" s="1" t="n">
        <v>0.001752615</v>
      </c>
      <c r="P128" s="1" t="n">
        <v>0.001670361</v>
      </c>
      <c r="R128" s="1" t="n">
        <f aca="false">PERCENTILE(G128:P128,0.9)</f>
        <v>0.0030190231</v>
      </c>
      <c r="S128" s="5" t="n">
        <f aca="false">spmv_1!R$2/R128</f>
        <v>5.77115438434373</v>
      </c>
      <c r="T128" s="6" t="n">
        <f aca="false">S128/128</f>
        <v>0.0450871436276854</v>
      </c>
    </row>
    <row r="129" customFormat="false" ht="15" hidden="false" customHeight="false" outlineLevel="0" collapsed="false">
      <c r="A129" s="1" t="s">
        <v>15</v>
      </c>
      <c r="B129" s="1" t="n">
        <v>127</v>
      </c>
      <c r="D129" s="1" t="n">
        <v>83409</v>
      </c>
      <c r="E129" s="1" t="n">
        <v>0.078065</v>
      </c>
      <c r="G129" s="1" t="n">
        <v>0.00358963</v>
      </c>
      <c r="H129" s="1" t="n">
        <v>0.002938509</v>
      </c>
      <c r="I129" s="1" t="n">
        <v>0.002541304</v>
      </c>
      <c r="J129" s="1" t="n">
        <v>0.001893282</v>
      </c>
      <c r="K129" s="1" t="n">
        <v>0.001798868</v>
      </c>
      <c r="L129" s="1" t="n">
        <v>0.001741648</v>
      </c>
      <c r="M129" s="1" t="n">
        <v>0.001738787</v>
      </c>
      <c r="N129" s="1" t="n">
        <v>0.001709938</v>
      </c>
      <c r="O129" s="1" t="n">
        <v>0.001747847</v>
      </c>
      <c r="P129" s="1" t="n">
        <v>0.001669168</v>
      </c>
      <c r="R129" s="1" t="n">
        <f aca="false">PERCENTILE(G129:P129,0.9)</f>
        <v>0.0030036211</v>
      </c>
      <c r="S129" s="5" t="n">
        <f aca="false">spmv_1!R$2/R129</f>
        <v>5.80074777074911</v>
      </c>
      <c r="T129" s="6" t="n">
        <f aca="false">S129/128</f>
        <v>0.0453183419589774</v>
      </c>
    </row>
    <row r="132" customFormat="false" ht="15" hidden="false" customHeight="false" outlineLevel="0" collapsed="false">
      <c r="A132" s="2" t="s">
        <v>0</v>
      </c>
      <c r="B132" s="2" t="s">
        <v>1</v>
      </c>
      <c r="C132" s="3"/>
      <c r="D132" s="2" t="s">
        <v>2</v>
      </c>
      <c r="E132" s="2" t="s">
        <v>3</v>
      </c>
      <c r="F132" s="3"/>
      <c r="G132" s="2" t="s">
        <v>4</v>
      </c>
      <c r="H132" s="2" t="s">
        <v>5</v>
      </c>
      <c r="I132" s="2" t="s">
        <v>6</v>
      </c>
      <c r="J132" s="2" t="s">
        <v>7</v>
      </c>
      <c r="K132" s="2" t="s">
        <v>8</v>
      </c>
      <c r="L132" s="2" t="s">
        <v>9</v>
      </c>
      <c r="M132" s="2" t="s">
        <v>10</v>
      </c>
      <c r="N132" s="2" t="s">
        <v>11</v>
      </c>
      <c r="O132" s="2" t="s">
        <v>12</v>
      </c>
      <c r="P132" s="2" t="s">
        <v>13</v>
      </c>
      <c r="R132" s="4" t="s">
        <v>14</v>
      </c>
      <c r="S132" s="7" t="s">
        <v>20</v>
      </c>
      <c r="T132" s="8" t="s">
        <v>21</v>
      </c>
    </row>
    <row r="133" customFormat="false" ht="15" hidden="false" customHeight="false" outlineLevel="0" collapsed="false">
      <c r="A133" s="1" t="s">
        <v>16</v>
      </c>
      <c r="B133" s="1" t="n">
        <v>0</v>
      </c>
      <c r="D133" s="1" t="n">
        <v>866294</v>
      </c>
      <c r="E133" s="1" t="n">
        <v>0.110702</v>
      </c>
      <c r="G133" s="1" t="n">
        <v>0.022189617</v>
      </c>
      <c r="H133" s="1" t="n">
        <v>0.013631344</v>
      </c>
      <c r="I133" s="1" t="n">
        <v>0.015067577</v>
      </c>
      <c r="J133" s="1" t="n">
        <v>0.016376495</v>
      </c>
      <c r="K133" s="1" t="n">
        <v>0.013364077</v>
      </c>
      <c r="L133" s="1" t="n">
        <v>0.016680241</v>
      </c>
      <c r="M133" s="1" t="n">
        <v>0.014253616</v>
      </c>
      <c r="N133" s="1" t="n">
        <v>0.016741037</v>
      </c>
      <c r="O133" s="1" t="n">
        <v>0.014457703</v>
      </c>
      <c r="P133" s="1" t="n">
        <v>0.013747215</v>
      </c>
      <c r="R133" s="1" t="n">
        <f aca="false">PERCENTILE(G133:P133,0.9)</f>
        <v>0.017285895</v>
      </c>
      <c r="S133" s="5" t="n">
        <f aca="false">spmv_1!R$6/R133</f>
        <v>9.73247902986799</v>
      </c>
      <c r="T133" s="6" t="n">
        <f aca="false">S133/128</f>
        <v>0.0760349924208437</v>
      </c>
    </row>
    <row r="134" customFormat="false" ht="15" hidden="false" customHeight="false" outlineLevel="0" collapsed="false">
      <c r="A134" s="1" t="s">
        <v>16</v>
      </c>
      <c r="B134" s="1" t="n">
        <v>1</v>
      </c>
      <c r="D134" s="1" t="n">
        <v>866312</v>
      </c>
      <c r="E134" s="1" t="n">
        <v>0.11033</v>
      </c>
      <c r="G134" s="1" t="n">
        <v>0.021827698</v>
      </c>
      <c r="H134" s="1" t="n">
        <v>0.013303518</v>
      </c>
      <c r="I134" s="1" t="n">
        <v>0.014663696</v>
      </c>
      <c r="J134" s="1" t="n">
        <v>0.016488552</v>
      </c>
      <c r="K134" s="1" t="n">
        <v>0.013591528</v>
      </c>
      <c r="L134" s="1" t="n">
        <v>0.016911983</v>
      </c>
      <c r="M134" s="1" t="n">
        <v>0.014474869</v>
      </c>
      <c r="N134" s="1" t="n">
        <v>0.017085314</v>
      </c>
      <c r="O134" s="1" t="n">
        <v>0.014734268</v>
      </c>
      <c r="P134" s="1" t="n">
        <v>0.013959408</v>
      </c>
      <c r="R134" s="1" t="n">
        <f aca="false">PERCENTILE(G134:P134,0.9)</f>
        <v>0.0175595524</v>
      </c>
      <c r="S134" s="5" t="n">
        <f aca="false">spmv_1!R$6/R134</f>
        <v>9.58080290247034</v>
      </c>
      <c r="T134" s="6" t="n">
        <f aca="false">S134/128</f>
        <v>0.0748500226755495</v>
      </c>
    </row>
    <row r="135" customFormat="false" ht="15" hidden="false" customHeight="false" outlineLevel="0" collapsed="false">
      <c r="A135" s="1" t="s">
        <v>16</v>
      </c>
      <c r="B135" s="1" t="n">
        <v>2</v>
      </c>
      <c r="D135" s="1" t="n">
        <v>866138</v>
      </c>
      <c r="E135" s="1" t="n">
        <v>0.110078</v>
      </c>
      <c r="G135" s="1" t="n">
        <v>0.022203445</v>
      </c>
      <c r="H135" s="1" t="n">
        <v>0.013717413</v>
      </c>
      <c r="I135" s="1" t="n">
        <v>0.015152693</v>
      </c>
      <c r="J135" s="1" t="n">
        <v>0.016493082</v>
      </c>
      <c r="K135" s="1" t="n">
        <v>0.01346612</v>
      </c>
      <c r="L135" s="1" t="n">
        <v>0.016776562</v>
      </c>
      <c r="M135" s="1" t="n">
        <v>0.014336586</v>
      </c>
      <c r="N135" s="1" t="n">
        <v>0.016853809</v>
      </c>
      <c r="O135" s="1" t="n">
        <v>0.014536142</v>
      </c>
      <c r="P135" s="1" t="n">
        <v>0.013832331</v>
      </c>
      <c r="R135" s="1" t="n">
        <f aca="false">PERCENTILE(G135:P135,0.9)</f>
        <v>0.0173887726</v>
      </c>
      <c r="S135" s="5" t="n">
        <f aca="false">spmv_1!R$6/R135</f>
        <v>9.67489853769208</v>
      </c>
      <c r="T135" s="6" t="n">
        <f aca="false">S135/128</f>
        <v>0.0755851448257193</v>
      </c>
    </row>
    <row r="136" customFormat="false" ht="15" hidden="false" customHeight="false" outlineLevel="0" collapsed="false">
      <c r="A136" s="1" t="s">
        <v>16</v>
      </c>
      <c r="B136" s="1" t="n">
        <v>3</v>
      </c>
      <c r="D136" s="1" t="n">
        <v>866152</v>
      </c>
      <c r="E136" s="1" t="n">
        <v>0.111567</v>
      </c>
      <c r="G136" s="1" t="n">
        <v>0.021646738</v>
      </c>
      <c r="H136" s="1" t="n">
        <v>0.013190985</v>
      </c>
      <c r="I136" s="1" t="n">
        <v>0.014461517</v>
      </c>
      <c r="J136" s="1" t="n">
        <v>0.01630497</v>
      </c>
      <c r="K136" s="1" t="n">
        <v>0.013409853</v>
      </c>
      <c r="L136" s="1" t="n">
        <v>0.016753912</v>
      </c>
      <c r="M136" s="1" t="n">
        <v>0.014345169</v>
      </c>
      <c r="N136" s="1" t="n">
        <v>0.016807795</v>
      </c>
      <c r="O136" s="1" t="n">
        <v>0.014524937</v>
      </c>
      <c r="P136" s="1" t="n">
        <v>0.013824224</v>
      </c>
      <c r="R136" s="1" t="n">
        <f aca="false">PERCENTILE(G136:P136,0.9)</f>
        <v>0.0172916893</v>
      </c>
      <c r="S136" s="5" t="n">
        <f aca="false">spmv_1!R$6/R136</f>
        <v>9.72921775780461</v>
      </c>
      <c r="T136" s="6" t="n">
        <f aca="false">S136/128</f>
        <v>0.0760095137328485</v>
      </c>
    </row>
    <row r="137" customFormat="false" ht="15" hidden="false" customHeight="false" outlineLevel="0" collapsed="false">
      <c r="A137" s="1" t="s">
        <v>16</v>
      </c>
      <c r="B137" s="1" t="n">
        <v>4</v>
      </c>
      <c r="D137" s="1" t="n">
        <v>865948</v>
      </c>
      <c r="E137" s="1" t="n">
        <v>0.108298</v>
      </c>
      <c r="G137" s="1" t="n">
        <v>0.021719456</v>
      </c>
      <c r="H137" s="1" t="n">
        <v>0.013201475</v>
      </c>
      <c r="I137" s="1" t="n">
        <v>0.014324427</v>
      </c>
      <c r="J137" s="1" t="n">
        <v>0.016448975</v>
      </c>
      <c r="K137" s="1" t="n">
        <v>0.013534546</v>
      </c>
      <c r="L137" s="1" t="n">
        <v>0.019151688</v>
      </c>
      <c r="M137" s="1" t="n">
        <v>0.01603508</v>
      </c>
      <c r="N137" s="1" t="n">
        <v>0.016968012</v>
      </c>
      <c r="O137" s="1" t="n">
        <v>0.014654398</v>
      </c>
      <c r="P137" s="1" t="n">
        <v>0.013881922</v>
      </c>
      <c r="R137" s="1" t="n">
        <f aca="false">PERCENTILE(G137:P137,0.9)</f>
        <v>0.0194084648</v>
      </c>
      <c r="S137" s="5" t="n">
        <f aca="false">spmv_1!R$6/R137</f>
        <v>8.6681049909728</v>
      </c>
      <c r="T137" s="6" t="n">
        <f aca="false">S137/128</f>
        <v>0.067719570241975</v>
      </c>
    </row>
    <row r="138" customFormat="false" ht="15" hidden="false" customHeight="false" outlineLevel="0" collapsed="false">
      <c r="A138" s="1" t="s">
        <v>16</v>
      </c>
      <c r="B138" s="1" t="n">
        <v>5</v>
      </c>
      <c r="D138" s="1" t="n">
        <v>865930</v>
      </c>
      <c r="E138" s="1" t="n">
        <v>0.110775</v>
      </c>
      <c r="G138" s="1" t="n">
        <v>0.022047997</v>
      </c>
      <c r="H138" s="1" t="n">
        <v>0.013605833</v>
      </c>
      <c r="I138" s="1" t="n">
        <v>0.014845848</v>
      </c>
      <c r="J138" s="1" t="n">
        <v>0.016563654</v>
      </c>
      <c r="K138" s="1" t="n">
        <v>0.013299465</v>
      </c>
      <c r="L138" s="1" t="n">
        <v>0.016704559</v>
      </c>
      <c r="M138" s="1" t="n">
        <v>0.014285803</v>
      </c>
      <c r="N138" s="1" t="n">
        <v>0.016812325</v>
      </c>
      <c r="O138" s="1" t="n">
        <v>0.014497042</v>
      </c>
      <c r="P138" s="1" t="n">
        <v>0.013678312</v>
      </c>
      <c r="R138" s="1" t="n">
        <f aca="false">PERCENTILE(G138:P138,0.9)</f>
        <v>0.0173358922</v>
      </c>
      <c r="S138" s="5" t="n">
        <f aca="false">spmv_1!R$6/R138</f>
        <v>9.70441028699982</v>
      </c>
      <c r="T138" s="6" t="n">
        <f aca="false">S138/128</f>
        <v>0.0758157053671861</v>
      </c>
    </row>
    <row r="139" customFormat="false" ht="15" hidden="false" customHeight="false" outlineLevel="0" collapsed="false">
      <c r="A139" s="1" t="s">
        <v>16</v>
      </c>
      <c r="B139" s="1" t="n">
        <v>6</v>
      </c>
      <c r="D139" s="1" t="n">
        <v>866424</v>
      </c>
      <c r="E139" s="1" t="n">
        <v>0.114995</v>
      </c>
      <c r="G139" s="1" t="n">
        <v>0.021416426</v>
      </c>
      <c r="H139" s="1" t="n">
        <v>0.012548685</v>
      </c>
      <c r="I139" s="1" t="n">
        <v>0.013518095</v>
      </c>
      <c r="J139" s="1" t="n">
        <v>0.016085148</v>
      </c>
      <c r="K139" s="1" t="n">
        <v>0.013047457</v>
      </c>
      <c r="L139" s="1" t="n">
        <v>0.016224861</v>
      </c>
      <c r="M139" s="1" t="n">
        <v>0.013975143</v>
      </c>
      <c r="N139" s="1" t="n">
        <v>0.016316891</v>
      </c>
      <c r="O139" s="1" t="n">
        <v>0.014349699</v>
      </c>
      <c r="P139" s="1" t="n">
        <v>0.01320672</v>
      </c>
      <c r="R139" s="1" t="n">
        <f aca="false">PERCENTILE(G139:P139,0.9)</f>
        <v>0.0168268445</v>
      </c>
      <c r="S139" s="5" t="n">
        <f aca="false">spmv_1!R$6/R139</f>
        <v>9.99798926055328</v>
      </c>
      <c r="T139" s="6" t="n">
        <f aca="false">S139/128</f>
        <v>0.0781092910980725</v>
      </c>
    </row>
    <row r="140" customFormat="false" ht="15" hidden="false" customHeight="false" outlineLevel="0" collapsed="false">
      <c r="A140" s="1" t="s">
        <v>16</v>
      </c>
      <c r="B140" s="1" t="n">
        <v>7</v>
      </c>
      <c r="D140" s="1" t="n">
        <v>866436</v>
      </c>
      <c r="E140" s="1" t="n">
        <v>0.10851</v>
      </c>
      <c r="G140" s="1" t="n">
        <v>0.021872044</v>
      </c>
      <c r="H140" s="1" t="n">
        <v>0.013144016</v>
      </c>
      <c r="I140" s="1" t="n">
        <v>0.014132738</v>
      </c>
      <c r="J140" s="1" t="n">
        <v>0.017334223</v>
      </c>
      <c r="K140" s="1" t="n">
        <v>0.014124393</v>
      </c>
      <c r="L140" s="1" t="n">
        <v>0.017264843</v>
      </c>
      <c r="M140" s="1" t="n">
        <v>0.014994144</v>
      </c>
      <c r="N140" s="1" t="n">
        <v>0.01715827</v>
      </c>
      <c r="O140" s="1" t="n">
        <v>0.015477657</v>
      </c>
      <c r="P140" s="1" t="n">
        <v>0.014195204</v>
      </c>
      <c r="R140" s="1" t="n">
        <f aca="false">PERCENTILE(G140:P140,0.9)</f>
        <v>0.0177880051</v>
      </c>
      <c r="S140" s="5" t="n">
        <f aca="false">spmv_1!R$6/R140</f>
        <v>9.45775592340032</v>
      </c>
      <c r="T140" s="6" t="n">
        <f aca="false">S140/128</f>
        <v>0.073888718151565</v>
      </c>
    </row>
    <row r="141" customFormat="false" ht="15" hidden="false" customHeight="false" outlineLevel="0" collapsed="false">
      <c r="A141" s="1" t="s">
        <v>16</v>
      </c>
      <c r="B141" s="1" t="n">
        <v>8</v>
      </c>
      <c r="D141" s="1" t="n">
        <v>866362</v>
      </c>
      <c r="E141" s="1" t="n">
        <v>0.108604</v>
      </c>
      <c r="G141" s="1" t="n">
        <v>0.022360086</v>
      </c>
      <c r="H141" s="1" t="n">
        <v>0.013813496</v>
      </c>
      <c r="I141" s="1" t="n">
        <v>0.014730692</v>
      </c>
      <c r="J141" s="1" t="n">
        <v>0.016737461</v>
      </c>
      <c r="K141" s="1" t="n">
        <v>0.013944149</v>
      </c>
      <c r="L141" s="1" t="n">
        <v>0.017008066</v>
      </c>
      <c r="M141" s="1" t="n">
        <v>0.01473546</v>
      </c>
      <c r="N141" s="1" t="n">
        <v>0.016846895</v>
      </c>
      <c r="O141" s="1" t="n">
        <v>0.015278339</v>
      </c>
      <c r="P141" s="1" t="n">
        <v>0.014090538</v>
      </c>
      <c r="R141" s="1" t="n">
        <f aca="false">PERCENTILE(G141:P141,0.9)</f>
        <v>0.017543268</v>
      </c>
      <c r="S141" s="5" t="n">
        <f aca="false">spmv_1!R$6/R141</f>
        <v>9.58969620711489</v>
      </c>
      <c r="T141" s="6" t="n">
        <f aca="false">S141/128</f>
        <v>0.0749195016180851</v>
      </c>
    </row>
    <row r="142" customFormat="false" ht="15" hidden="false" customHeight="false" outlineLevel="0" collapsed="false">
      <c r="A142" s="1" t="s">
        <v>16</v>
      </c>
      <c r="B142" s="1" t="n">
        <v>9</v>
      </c>
      <c r="D142" s="1" t="n">
        <v>866372</v>
      </c>
      <c r="E142" s="1" t="n">
        <v>0.109046</v>
      </c>
      <c r="G142" s="1" t="n">
        <v>0.022476912</v>
      </c>
      <c r="H142" s="1" t="n">
        <v>0.013722658</v>
      </c>
      <c r="I142" s="1" t="n">
        <v>0.014708281</v>
      </c>
      <c r="J142" s="1" t="n">
        <v>0.016608238</v>
      </c>
      <c r="K142" s="1" t="n">
        <v>0.013878107</v>
      </c>
      <c r="L142" s="1" t="n">
        <v>0.016899347</v>
      </c>
      <c r="M142" s="1" t="n">
        <v>0.014655352</v>
      </c>
      <c r="N142" s="1" t="n">
        <v>0.01672411</v>
      </c>
      <c r="O142" s="1" t="n">
        <v>0.015238047</v>
      </c>
      <c r="P142" s="1" t="n">
        <v>0.013989925</v>
      </c>
      <c r="R142" s="1" t="n">
        <f aca="false">PERCENTILE(G142:P142,0.9)</f>
        <v>0.0174571035</v>
      </c>
      <c r="S142" s="5" t="n">
        <f aca="false">spmv_1!R$6/R142</f>
        <v>9.63702888053565</v>
      </c>
      <c r="T142" s="6" t="n">
        <f aca="false">S142/128</f>
        <v>0.0752892881291848</v>
      </c>
    </row>
    <row r="143" customFormat="false" ht="15" hidden="false" customHeight="false" outlineLevel="0" collapsed="false">
      <c r="A143" s="1" t="s">
        <v>16</v>
      </c>
      <c r="B143" s="1" t="n">
        <v>10</v>
      </c>
      <c r="D143" s="1" t="n">
        <v>866434</v>
      </c>
      <c r="E143" s="1" t="n">
        <v>0.108443</v>
      </c>
      <c r="G143" s="1" t="n">
        <v>0.022382736</v>
      </c>
      <c r="H143" s="1" t="n">
        <v>0.013825655</v>
      </c>
      <c r="I143" s="1" t="n">
        <v>0.014753342</v>
      </c>
      <c r="J143" s="1" t="n">
        <v>0.016721249</v>
      </c>
      <c r="K143" s="1" t="n">
        <v>0.013972282</v>
      </c>
      <c r="L143" s="1" t="n">
        <v>0.017050982</v>
      </c>
      <c r="M143" s="1" t="n">
        <v>0.014757872</v>
      </c>
      <c r="N143" s="1" t="n">
        <v>0.016873121</v>
      </c>
      <c r="O143" s="1" t="n">
        <v>0.015331268</v>
      </c>
      <c r="P143" s="1" t="n">
        <v>0.014127493</v>
      </c>
      <c r="R143" s="1" t="n">
        <f aca="false">PERCENTILE(G143:P143,0.9)</f>
        <v>0.0175841574</v>
      </c>
      <c r="S143" s="5" t="n">
        <f aca="false">spmv_1!R$6/R143</f>
        <v>9.56739676363452</v>
      </c>
      <c r="T143" s="6" t="n">
        <f aca="false">S143/128</f>
        <v>0.0747452872158947</v>
      </c>
    </row>
    <row r="144" customFormat="false" ht="15" hidden="false" customHeight="false" outlineLevel="0" collapsed="false">
      <c r="A144" s="1" t="s">
        <v>16</v>
      </c>
      <c r="B144" s="1" t="n">
        <v>11</v>
      </c>
      <c r="D144" s="1" t="n">
        <v>866406</v>
      </c>
      <c r="E144" s="1" t="n">
        <v>0.110684</v>
      </c>
      <c r="G144" s="1" t="n">
        <v>0.022164822</v>
      </c>
      <c r="H144" s="1" t="n">
        <v>0.013429165</v>
      </c>
      <c r="I144" s="1" t="n">
        <v>0.014351845</v>
      </c>
      <c r="J144" s="1" t="n">
        <v>0.016329288</v>
      </c>
      <c r="K144" s="1" t="n">
        <v>0.013893843</v>
      </c>
      <c r="L144" s="1" t="n">
        <v>0.016667366</v>
      </c>
      <c r="M144" s="1" t="n">
        <v>0.014178514</v>
      </c>
      <c r="N144" s="1" t="n">
        <v>0.016381979</v>
      </c>
      <c r="O144" s="1" t="n">
        <v>0.015253305</v>
      </c>
      <c r="P144" s="1" t="n">
        <v>0.013904095</v>
      </c>
      <c r="R144" s="1" t="n">
        <f aca="false">PERCENTILE(G144:P144,0.9)</f>
        <v>0.0172171116</v>
      </c>
      <c r="S144" s="5" t="n">
        <f aca="false">spmv_1!R$6/R144</f>
        <v>9.77136087100696</v>
      </c>
      <c r="T144" s="6" t="n">
        <f aca="false">S144/128</f>
        <v>0.0763387568047419</v>
      </c>
    </row>
    <row r="145" customFormat="false" ht="15" hidden="false" customHeight="false" outlineLevel="0" collapsed="false">
      <c r="A145" s="1" t="s">
        <v>16</v>
      </c>
      <c r="B145" s="1" t="n">
        <v>12</v>
      </c>
      <c r="D145" s="1" t="n">
        <v>866428</v>
      </c>
      <c r="E145" s="1" t="n">
        <v>0.111731</v>
      </c>
      <c r="G145" s="1" t="n">
        <v>0.022217751</v>
      </c>
      <c r="H145" s="1" t="n">
        <v>0.013292789</v>
      </c>
      <c r="I145" s="1" t="n">
        <v>0.014190912</v>
      </c>
      <c r="J145" s="1" t="n">
        <v>0.016128778</v>
      </c>
      <c r="K145" s="1" t="n">
        <v>0.013711214</v>
      </c>
      <c r="L145" s="1" t="n">
        <v>0.016488552</v>
      </c>
      <c r="M145" s="1" t="n">
        <v>0.014071703</v>
      </c>
      <c r="N145" s="1" t="n">
        <v>0.016175747</v>
      </c>
      <c r="O145" s="1" t="n">
        <v>0.015072584</v>
      </c>
      <c r="P145" s="1" t="n">
        <v>0.013741493</v>
      </c>
      <c r="R145" s="1" t="n">
        <f aca="false">PERCENTILE(G145:P145,0.9)</f>
        <v>0.0170614719</v>
      </c>
      <c r="S145" s="5" t="n">
        <f aca="false">spmv_1!R$6/R145</f>
        <v>9.86049806171764</v>
      </c>
      <c r="T145" s="6" t="n">
        <f aca="false">S145/128</f>
        <v>0.0770351411071691</v>
      </c>
    </row>
    <row r="146" customFormat="false" ht="15" hidden="false" customHeight="false" outlineLevel="0" collapsed="false">
      <c r="A146" s="1" t="s">
        <v>16</v>
      </c>
      <c r="B146" s="1" t="n">
        <v>13</v>
      </c>
      <c r="D146" s="1" t="n">
        <v>866438</v>
      </c>
      <c r="E146" s="1" t="n">
        <v>0.112936</v>
      </c>
      <c r="G146" s="1" t="n">
        <v>0.021958351</v>
      </c>
      <c r="H146" s="1" t="n">
        <v>0.013181686</v>
      </c>
      <c r="I146" s="1" t="n">
        <v>0.01397562</v>
      </c>
      <c r="J146" s="1" t="n">
        <v>0.015898943</v>
      </c>
      <c r="K146" s="1" t="n">
        <v>0.013715506</v>
      </c>
      <c r="L146" s="1" t="n">
        <v>0.01615119</v>
      </c>
      <c r="M146" s="1" t="n">
        <v>0.013938427</v>
      </c>
      <c r="N146" s="1" t="n">
        <v>0.015841961</v>
      </c>
      <c r="O146" s="1" t="n">
        <v>0.015088081</v>
      </c>
      <c r="P146" s="1" t="n">
        <v>0.013688564</v>
      </c>
      <c r="R146" s="1" t="n">
        <f aca="false">PERCENTILE(G146:P146,0.9)</f>
        <v>0.0167319061</v>
      </c>
      <c r="S146" s="5" t="n">
        <f aca="false">spmv_1!R$6/R146</f>
        <v>10.054718786642</v>
      </c>
      <c r="T146" s="6" t="n">
        <f aca="false">S146/128</f>
        <v>0.0785524905206407</v>
      </c>
    </row>
    <row r="147" customFormat="false" ht="15" hidden="false" customHeight="false" outlineLevel="0" collapsed="false">
      <c r="A147" s="1" t="s">
        <v>16</v>
      </c>
      <c r="B147" s="1" t="n">
        <v>14</v>
      </c>
      <c r="D147" s="1" t="n">
        <v>866448</v>
      </c>
      <c r="E147" s="1" t="n">
        <v>0.112989</v>
      </c>
      <c r="G147" s="1" t="n">
        <v>0.022128105</v>
      </c>
      <c r="H147" s="1" t="n">
        <v>0.01317668</v>
      </c>
      <c r="I147" s="1" t="n">
        <v>0.014049053</v>
      </c>
      <c r="J147" s="1" t="n">
        <v>0.015878439</v>
      </c>
      <c r="K147" s="1" t="n">
        <v>0.013620377</v>
      </c>
      <c r="L147" s="1" t="n">
        <v>0.016115665</v>
      </c>
      <c r="M147" s="1" t="n">
        <v>0.013945103</v>
      </c>
      <c r="N147" s="1" t="n">
        <v>0.01584959</v>
      </c>
      <c r="O147" s="1" t="n">
        <v>0.014987946</v>
      </c>
      <c r="P147" s="1" t="n">
        <v>0.013617277</v>
      </c>
      <c r="R147" s="1" t="n">
        <f aca="false">PERCENTILE(G147:P147,0.9)</f>
        <v>0.016716909</v>
      </c>
      <c r="S147" s="5" t="n">
        <f aca="false">spmv_1!R$6/R147</f>
        <v>10.0637390919577</v>
      </c>
      <c r="T147" s="6" t="n">
        <f aca="false">S147/128</f>
        <v>0.0786229616559198</v>
      </c>
    </row>
    <row r="148" customFormat="false" ht="15" hidden="false" customHeight="false" outlineLevel="0" collapsed="false">
      <c r="A148" s="1" t="s">
        <v>16</v>
      </c>
      <c r="B148" s="1" t="n">
        <v>15</v>
      </c>
      <c r="D148" s="1" t="n">
        <v>866456</v>
      </c>
      <c r="E148" s="1" t="n">
        <v>0.113669</v>
      </c>
      <c r="G148" s="1" t="n">
        <v>0.022062063</v>
      </c>
      <c r="H148" s="1" t="n">
        <v>0.01309371</v>
      </c>
      <c r="I148" s="1" t="n">
        <v>0.013919592</v>
      </c>
      <c r="J148" s="1" t="n">
        <v>0.015699625</v>
      </c>
      <c r="K148" s="1" t="n">
        <v>0.013539314</v>
      </c>
      <c r="L148" s="1" t="n">
        <v>0.016017675</v>
      </c>
      <c r="M148" s="1" t="n">
        <v>0.013880491</v>
      </c>
      <c r="N148" s="1" t="n">
        <v>0.015781641</v>
      </c>
      <c r="O148" s="1" t="n">
        <v>0.014925957</v>
      </c>
      <c r="P148" s="1" t="n">
        <v>0.0135324</v>
      </c>
      <c r="R148" s="1" t="n">
        <f aca="false">PERCENTILE(G148:P148,0.9)</f>
        <v>0.0166221138</v>
      </c>
      <c r="S148" s="5" t="n">
        <f aca="false">spmv_1!R$6/R148</f>
        <v>10.1211321631067</v>
      </c>
      <c r="T148" s="6" t="n">
        <f aca="false">S148/128</f>
        <v>0.0790713450242712</v>
      </c>
    </row>
    <row r="149" customFormat="false" ht="15" hidden="false" customHeight="false" outlineLevel="0" collapsed="false">
      <c r="A149" s="1" t="s">
        <v>16</v>
      </c>
      <c r="B149" s="1" t="n">
        <v>16</v>
      </c>
      <c r="D149" s="1" t="n">
        <v>866352</v>
      </c>
      <c r="E149" s="1" t="n">
        <v>0.113663</v>
      </c>
      <c r="G149" s="1" t="n">
        <v>0.022049427</v>
      </c>
      <c r="H149" s="1" t="n">
        <v>0.01317668</v>
      </c>
      <c r="I149" s="1" t="n">
        <v>0.014014482</v>
      </c>
      <c r="J149" s="1" t="n">
        <v>0.015696049</v>
      </c>
      <c r="K149" s="1" t="n">
        <v>0.013606787</v>
      </c>
      <c r="L149" s="1" t="n">
        <v>0.016066313</v>
      </c>
      <c r="M149" s="1" t="n">
        <v>0.013637066</v>
      </c>
      <c r="N149" s="1" t="n">
        <v>0.015782356</v>
      </c>
      <c r="O149" s="1" t="n">
        <v>0.01493001</v>
      </c>
      <c r="P149" s="1" t="n">
        <v>0.013483524</v>
      </c>
      <c r="R149" s="1" t="n">
        <f aca="false">PERCENTILE(G149:P149,0.9)</f>
        <v>0.0166646244</v>
      </c>
      <c r="S149" s="5" t="n">
        <f aca="false">spmv_1!R$6/R149</f>
        <v>10.0953136753565</v>
      </c>
      <c r="T149" s="6" t="n">
        <f aca="false">S149/128</f>
        <v>0.0788696380887229</v>
      </c>
    </row>
    <row r="150" customFormat="false" ht="15" hidden="false" customHeight="false" outlineLevel="0" collapsed="false">
      <c r="A150" s="1" t="s">
        <v>16</v>
      </c>
      <c r="B150" s="1" t="n">
        <v>17</v>
      </c>
      <c r="D150" s="1" t="n">
        <v>866358</v>
      </c>
      <c r="E150" s="1" t="n">
        <v>0.11413</v>
      </c>
      <c r="G150" s="1" t="n">
        <v>0.021919727</v>
      </c>
      <c r="H150" s="1" t="n">
        <v>0.013118029</v>
      </c>
      <c r="I150" s="1" t="n">
        <v>0.013978958</v>
      </c>
      <c r="J150" s="1" t="n">
        <v>0.015512466</v>
      </c>
      <c r="K150" s="1" t="n">
        <v>0.01358676</v>
      </c>
      <c r="L150" s="1" t="n">
        <v>0.015920877</v>
      </c>
      <c r="M150" s="1" t="n">
        <v>0.013569593</v>
      </c>
      <c r="N150" s="1" t="n">
        <v>0.015621185</v>
      </c>
      <c r="O150" s="1" t="n">
        <v>0.014895678</v>
      </c>
      <c r="P150" s="1" t="n">
        <v>0.013696194</v>
      </c>
      <c r="R150" s="1" t="n">
        <f aca="false">PERCENTILE(G150:P150,0.9)</f>
        <v>0.016520762</v>
      </c>
      <c r="S150" s="5" t="n">
        <f aca="false">spmv_1!R$6/R150</f>
        <v>10.1832234251665</v>
      </c>
      <c r="T150" s="6" t="n">
        <f aca="false">S150/128</f>
        <v>0.079556433009113</v>
      </c>
    </row>
    <row r="151" customFormat="false" ht="15" hidden="false" customHeight="false" outlineLevel="0" collapsed="false">
      <c r="A151" s="1" t="s">
        <v>16</v>
      </c>
      <c r="B151" s="1" t="n">
        <v>18</v>
      </c>
      <c r="D151" s="1" t="n">
        <v>866262</v>
      </c>
      <c r="E151" s="1" t="n">
        <v>0.11528</v>
      </c>
      <c r="G151" s="1" t="n">
        <v>0.021834373</v>
      </c>
      <c r="H151" s="1" t="n">
        <v>0.013032675</v>
      </c>
      <c r="I151" s="1" t="n">
        <v>0.01390934</v>
      </c>
      <c r="J151" s="1" t="n">
        <v>0.015153646</v>
      </c>
      <c r="K151" s="1" t="n">
        <v>0.013473511</v>
      </c>
      <c r="L151" s="1" t="n">
        <v>0.01559186</v>
      </c>
      <c r="M151" s="1" t="n">
        <v>0.013473988</v>
      </c>
      <c r="N151" s="1" t="n">
        <v>0.015519619</v>
      </c>
      <c r="O151" s="1" t="n">
        <v>0.014885426</v>
      </c>
      <c r="P151" s="1" t="n">
        <v>0.013414383</v>
      </c>
      <c r="R151" s="1" t="n">
        <f aca="false">PERCENTILE(G151:P151,0.9)</f>
        <v>0.0162161113</v>
      </c>
      <c r="S151" s="5" t="n">
        <f aca="false">spmv_1!R$6/R151</f>
        <v>10.3745347751776</v>
      </c>
      <c r="T151" s="6" t="n">
        <f aca="false">S151/128</f>
        <v>0.0810510529310748</v>
      </c>
    </row>
    <row r="152" customFormat="false" ht="15" hidden="false" customHeight="false" outlineLevel="0" collapsed="false">
      <c r="A152" s="1" t="s">
        <v>16</v>
      </c>
      <c r="B152" s="1" t="n">
        <v>19</v>
      </c>
      <c r="D152" s="1" t="n">
        <v>866230</v>
      </c>
      <c r="E152" s="1" t="n">
        <v>0.116327</v>
      </c>
      <c r="G152" s="1" t="n">
        <v>0.02162385</v>
      </c>
      <c r="H152" s="1" t="n">
        <v>0.013069153</v>
      </c>
      <c r="I152" s="1" t="n">
        <v>0.01364398</v>
      </c>
      <c r="J152" s="1" t="n">
        <v>0.015017033</v>
      </c>
      <c r="K152" s="1" t="n">
        <v>0.013161182</v>
      </c>
      <c r="L152" s="1" t="n">
        <v>0.015527248</v>
      </c>
      <c r="M152" s="1" t="n">
        <v>0.013442755</v>
      </c>
      <c r="N152" s="1" t="n">
        <v>0.015411377</v>
      </c>
      <c r="O152" s="1" t="n">
        <v>0.014766455</v>
      </c>
      <c r="P152" s="1" t="n">
        <v>0.013266802</v>
      </c>
      <c r="R152" s="1" t="n">
        <f aca="false">PERCENTILE(G152:P152,0.9)</f>
        <v>0.0161369082</v>
      </c>
      <c r="S152" s="5" t="n">
        <f aca="false">spmv_1!R$6/R152</f>
        <v>10.4254550199399</v>
      </c>
      <c r="T152" s="6" t="n">
        <f aca="false">S152/128</f>
        <v>0.0814488673432808</v>
      </c>
    </row>
    <row r="153" customFormat="false" ht="15" hidden="false" customHeight="false" outlineLevel="0" collapsed="false">
      <c r="A153" s="1" t="s">
        <v>16</v>
      </c>
      <c r="B153" s="1" t="n">
        <v>20</v>
      </c>
      <c r="D153" s="1" t="n">
        <v>866186</v>
      </c>
      <c r="E153" s="1" t="n">
        <v>0.116362</v>
      </c>
      <c r="G153" s="1" t="n">
        <v>0.02164197</v>
      </c>
      <c r="H153" s="1" t="n">
        <v>0.01302743</v>
      </c>
      <c r="I153" s="1" t="n">
        <v>0.01362896</v>
      </c>
      <c r="J153" s="1" t="n">
        <v>0.015004396</v>
      </c>
      <c r="K153" s="1" t="n">
        <v>0.013176203</v>
      </c>
      <c r="L153" s="1" t="n">
        <v>0.015539169</v>
      </c>
      <c r="M153" s="1" t="n">
        <v>0.013437748</v>
      </c>
      <c r="N153" s="1" t="n">
        <v>0.015424967</v>
      </c>
      <c r="O153" s="1" t="n">
        <v>0.014763117</v>
      </c>
      <c r="P153" s="1" t="n">
        <v>0.013234138</v>
      </c>
      <c r="R153" s="1" t="n">
        <f aca="false">PERCENTILE(G153:P153,0.9)</f>
        <v>0.0161494491</v>
      </c>
      <c r="S153" s="5" t="n">
        <f aca="false">spmv_1!R$6/R153</f>
        <v>10.4173591035994</v>
      </c>
      <c r="T153" s="6" t="n">
        <f aca="false">S153/128</f>
        <v>0.0813856179968703</v>
      </c>
    </row>
    <row r="154" customFormat="false" ht="15" hidden="false" customHeight="false" outlineLevel="0" collapsed="false">
      <c r="A154" s="1" t="s">
        <v>16</v>
      </c>
      <c r="B154" s="1" t="n">
        <v>21</v>
      </c>
      <c r="D154" s="1" t="n">
        <v>866186</v>
      </c>
      <c r="E154" s="1" t="n">
        <v>0.116944</v>
      </c>
      <c r="G154" s="1" t="n">
        <v>0.021531582</v>
      </c>
      <c r="H154" s="1" t="n">
        <v>0.012963057</v>
      </c>
      <c r="I154" s="1" t="n">
        <v>0.013597727</v>
      </c>
      <c r="J154" s="1" t="n">
        <v>0.014955759</v>
      </c>
      <c r="K154" s="1" t="n">
        <v>0.013114452</v>
      </c>
      <c r="L154" s="1" t="n">
        <v>0.015444279</v>
      </c>
      <c r="M154" s="1" t="n">
        <v>0.013373852</v>
      </c>
      <c r="N154" s="1" t="n">
        <v>0.015357018</v>
      </c>
      <c r="O154" s="1" t="n">
        <v>0.014637947</v>
      </c>
      <c r="P154" s="1" t="n">
        <v>0.013161421</v>
      </c>
      <c r="R154" s="1" t="n">
        <f aca="false">PERCENTILE(G154:P154,0.9)</f>
        <v>0.0160530093</v>
      </c>
      <c r="S154" s="5" t="n">
        <f aca="false">spmv_1!R$6/R154</f>
        <v>10.4799422622897</v>
      </c>
      <c r="T154" s="6" t="n">
        <f aca="false">S154/128</f>
        <v>0.0818745489241385</v>
      </c>
    </row>
    <row r="155" customFormat="false" ht="15" hidden="false" customHeight="false" outlineLevel="0" collapsed="false">
      <c r="A155" s="1" t="s">
        <v>16</v>
      </c>
      <c r="B155" s="1" t="n">
        <v>22</v>
      </c>
      <c r="D155" s="1" t="n">
        <v>866394</v>
      </c>
      <c r="E155" s="1" t="n">
        <v>0.119509</v>
      </c>
      <c r="G155" s="1" t="n">
        <v>0.021437883</v>
      </c>
      <c r="H155" s="1" t="n">
        <v>0.012662888</v>
      </c>
      <c r="I155" s="1" t="n">
        <v>0.01328516</v>
      </c>
      <c r="J155" s="1" t="n">
        <v>0.014427423</v>
      </c>
      <c r="K155" s="1" t="n">
        <v>0.012967587</v>
      </c>
      <c r="L155" s="1" t="n">
        <v>0.015027285</v>
      </c>
      <c r="M155" s="1" t="n">
        <v>0.012834311</v>
      </c>
      <c r="N155" s="1" t="n">
        <v>0.014871359</v>
      </c>
      <c r="O155" s="1" t="n">
        <v>0.014559984</v>
      </c>
      <c r="P155" s="1" t="n">
        <v>0.012918711</v>
      </c>
      <c r="R155" s="1" t="n">
        <f aca="false">PERCENTILE(G155:P155,0.9)</f>
        <v>0.0156683448</v>
      </c>
      <c r="S155" s="5" t="n">
        <f aca="false">spmv_1!R$6/R155</f>
        <v>10.7372292828276</v>
      </c>
      <c r="T155" s="6" t="n">
        <f aca="false">S155/128</f>
        <v>0.0838846037720909</v>
      </c>
    </row>
    <row r="156" customFormat="false" ht="15" hidden="false" customHeight="false" outlineLevel="0" collapsed="false">
      <c r="A156" s="1" t="s">
        <v>16</v>
      </c>
      <c r="B156" s="1" t="n">
        <v>23</v>
      </c>
      <c r="D156" s="1" t="n">
        <v>866394</v>
      </c>
      <c r="E156" s="1" t="n">
        <v>0.118624</v>
      </c>
      <c r="G156" s="1" t="n">
        <v>0.023656368</v>
      </c>
      <c r="H156" s="1" t="n">
        <v>0.012714863</v>
      </c>
      <c r="I156" s="1" t="n">
        <v>0.013009071</v>
      </c>
      <c r="J156" s="1" t="n">
        <v>0.014275789</v>
      </c>
      <c r="K156" s="1" t="n">
        <v>0.012834549</v>
      </c>
      <c r="L156" s="1" t="n">
        <v>0.014832497</v>
      </c>
      <c r="M156" s="1" t="n">
        <v>0.012853861</v>
      </c>
      <c r="N156" s="1" t="n">
        <v>0.014503956</v>
      </c>
      <c r="O156" s="1" t="n">
        <v>0.014556885</v>
      </c>
      <c r="P156" s="1" t="n">
        <v>0.012836218</v>
      </c>
      <c r="R156" s="1" t="n">
        <f aca="false">PERCENTILE(G156:P156,0.9)</f>
        <v>0.0157148841</v>
      </c>
      <c r="S156" s="5" t="n">
        <f aca="false">spmv_1!R$6/R156</f>
        <v>10.7054312032756</v>
      </c>
      <c r="T156" s="6" t="n">
        <f aca="false">S156/128</f>
        <v>0.0836361812755909</v>
      </c>
    </row>
    <row r="157" customFormat="false" ht="15" hidden="false" customHeight="false" outlineLevel="0" collapsed="false">
      <c r="A157" s="1" t="s">
        <v>16</v>
      </c>
      <c r="B157" s="1" t="n">
        <v>24</v>
      </c>
      <c r="D157" s="1" t="n">
        <v>866494</v>
      </c>
      <c r="E157" s="1" t="n">
        <v>0.11044</v>
      </c>
      <c r="G157" s="1" t="n">
        <v>0.022042751</v>
      </c>
      <c r="H157" s="1" t="n">
        <v>0.013641596</v>
      </c>
      <c r="I157" s="1" t="n">
        <v>0.016948462</v>
      </c>
      <c r="J157" s="1" t="n">
        <v>0.016466618</v>
      </c>
      <c r="K157" s="1" t="n">
        <v>0.015372753</v>
      </c>
      <c r="L157" s="1" t="n">
        <v>0.015887737</v>
      </c>
      <c r="M157" s="1" t="n">
        <v>0.013296366</v>
      </c>
      <c r="N157" s="1" t="n">
        <v>0.015038252</v>
      </c>
      <c r="O157" s="1" t="n">
        <v>0.014893055</v>
      </c>
      <c r="P157" s="1" t="n">
        <v>0.013329029</v>
      </c>
      <c r="R157" s="1" t="n">
        <f aca="false">PERCENTILE(G157:P157,0.9)</f>
        <v>0.0174578909</v>
      </c>
      <c r="S157" s="5" t="n">
        <f aca="false">spmv_1!R$6/R157</f>
        <v>9.63659422341791</v>
      </c>
      <c r="T157" s="6" t="n">
        <f aca="false">S157/128</f>
        <v>0.0752858923704524</v>
      </c>
    </row>
    <row r="158" customFormat="false" ht="15" hidden="false" customHeight="false" outlineLevel="0" collapsed="false">
      <c r="A158" s="1" t="s">
        <v>16</v>
      </c>
      <c r="B158" s="1" t="n">
        <v>25</v>
      </c>
      <c r="D158" s="1" t="n">
        <v>866494</v>
      </c>
      <c r="E158" s="1" t="n">
        <v>0.111039</v>
      </c>
      <c r="G158" s="1" t="n">
        <v>0.02180028</v>
      </c>
      <c r="H158" s="1" t="n">
        <v>0.013569117</v>
      </c>
      <c r="I158" s="1" t="n">
        <v>0.016945362</v>
      </c>
      <c r="J158" s="1" t="n">
        <v>0.016497612</v>
      </c>
      <c r="K158" s="1" t="n">
        <v>0.015488386</v>
      </c>
      <c r="L158" s="1" t="n">
        <v>0.015681982</v>
      </c>
      <c r="M158" s="1" t="n">
        <v>0.013237476</v>
      </c>
      <c r="N158" s="1" t="n">
        <v>0.014919996</v>
      </c>
      <c r="O158" s="1" t="n">
        <v>0.014732599</v>
      </c>
      <c r="P158" s="1" t="n">
        <v>0.013197422</v>
      </c>
      <c r="R158" s="1" t="n">
        <f aca="false">PERCENTILE(G158:P158,0.9)</f>
        <v>0.0174308538</v>
      </c>
      <c r="S158" s="5" t="n">
        <f aca="false">spmv_1!R$6/R158</f>
        <v>9.6515416014791</v>
      </c>
      <c r="T158" s="6" t="n">
        <f aca="false">S158/128</f>
        <v>0.0754026687615555</v>
      </c>
    </row>
    <row r="159" customFormat="false" ht="15" hidden="false" customHeight="false" outlineLevel="0" collapsed="false">
      <c r="A159" s="1" t="s">
        <v>16</v>
      </c>
      <c r="B159" s="1" t="n">
        <v>26</v>
      </c>
      <c r="D159" s="1" t="n">
        <v>866470</v>
      </c>
      <c r="E159" s="1" t="n">
        <v>0.120332</v>
      </c>
      <c r="G159" s="1" t="n">
        <v>0.020635128</v>
      </c>
      <c r="H159" s="1" t="n">
        <v>0.012406111</v>
      </c>
      <c r="I159" s="1" t="n">
        <v>0.014249086</v>
      </c>
      <c r="J159" s="1" t="n">
        <v>0.014286757</v>
      </c>
      <c r="K159" s="1" t="n">
        <v>0.014069319</v>
      </c>
      <c r="L159" s="1" t="n">
        <v>0.015566349</v>
      </c>
      <c r="M159" s="1" t="n">
        <v>0.01245141</v>
      </c>
      <c r="N159" s="1" t="n">
        <v>0.014078856</v>
      </c>
      <c r="O159" s="1" t="n">
        <v>0.013899565</v>
      </c>
      <c r="P159" s="1" t="n">
        <v>0.01237011</v>
      </c>
      <c r="R159" s="1" t="n">
        <f aca="false">PERCENTILE(G159:P159,0.9)</f>
        <v>0.0160732269</v>
      </c>
      <c r="S159" s="5" t="n">
        <f aca="false">spmv_1!R$6/R159</f>
        <v>10.4667601376299</v>
      </c>
      <c r="T159" s="6" t="n">
        <f aca="false">S159/128</f>
        <v>0.0817715635752333</v>
      </c>
    </row>
    <row r="160" customFormat="false" ht="15" hidden="false" customHeight="false" outlineLevel="0" collapsed="false">
      <c r="A160" s="1" t="s">
        <v>16</v>
      </c>
      <c r="B160" s="1" t="n">
        <v>27</v>
      </c>
      <c r="D160" s="1" t="n">
        <v>866470</v>
      </c>
      <c r="E160" s="1" t="n">
        <v>0.123445</v>
      </c>
      <c r="G160" s="1" t="n">
        <v>0.020546675</v>
      </c>
      <c r="H160" s="1" t="n">
        <v>0.012340069</v>
      </c>
      <c r="I160" s="1" t="n">
        <v>0.013796091</v>
      </c>
      <c r="J160" s="1" t="n">
        <v>0.013492823</v>
      </c>
      <c r="K160" s="1" t="n">
        <v>0.013659</v>
      </c>
      <c r="L160" s="1" t="n">
        <v>0.014578342</v>
      </c>
      <c r="M160" s="1" t="n">
        <v>0.012334108</v>
      </c>
      <c r="N160" s="1" t="n">
        <v>0.013712883</v>
      </c>
      <c r="O160" s="1" t="n">
        <v>0.013762712</v>
      </c>
      <c r="P160" s="1" t="n">
        <v>0.012158394</v>
      </c>
      <c r="R160" s="1" t="n">
        <f aca="false">PERCENTILE(G160:P160,0.9)</f>
        <v>0.0151751753</v>
      </c>
      <c r="S160" s="5" t="n">
        <f aca="false">spmv_1!R$6/R160</f>
        <v>11.0861724674772</v>
      </c>
      <c r="T160" s="6" t="n">
        <f aca="false">S160/128</f>
        <v>0.0866107224021656</v>
      </c>
    </row>
    <row r="161" customFormat="false" ht="15" hidden="false" customHeight="false" outlineLevel="0" collapsed="false">
      <c r="A161" s="1" t="s">
        <v>16</v>
      </c>
      <c r="B161" s="1" t="n">
        <v>28</v>
      </c>
      <c r="D161" s="1" t="n">
        <v>866320</v>
      </c>
      <c r="E161" s="1" t="n">
        <v>0.111521</v>
      </c>
      <c r="G161" s="1" t="n">
        <v>0.021797895</v>
      </c>
      <c r="H161" s="1" t="n">
        <v>0.013542891</v>
      </c>
      <c r="I161" s="1" t="n">
        <v>0.017258167</v>
      </c>
      <c r="J161" s="1" t="n">
        <v>0.016355753</v>
      </c>
      <c r="K161" s="1" t="n">
        <v>0.015558243</v>
      </c>
      <c r="L161" s="1" t="n">
        <v>0.015446901</v>
      </c>
      <c r="M161" s="1" t="n">
        <v>0.013177633</v>
      </c>
      <c r="N161" s="1" t="n">
        <v>0.014362335</v>
      </c>
      <c r="O161" s="1" t="n">
        <v>0.014711142</v>
      </c>
      <c r="P161" s="1" t="n">
        <v>0.01315403</v>
      </c>
      <c r="R161" s="1" t="n">
        <f aca="false">PERCENTILE(G161:P161,0.9)</f>
        <v>0.0177121398</v>
      </c>
      <c r="S161" s="5" t="n">
        <f aca="false">spmv_1!R$6/R161</f>
        <v>9.49826573749153</v>
      </c>
      <c r="T161" s="6" t="n">
        <f aca="false">S161/128</f>
        <v>0.0742052010741525</v>
      </c>
    </row>
    <row r="162" customFormat="false" ht="15" hidden="false" customHeight="false" outlineLevel="0" collapsed="false">
      <c r="A162" s="1" t="s">
        <v>16</v>
      </c>
      <c r="B162" s="1" t="n">
        <v>29</v>
      </c>
      <c r="D162" s="1" t="n">
        <v>866320</v>
      </c>
      <c r="E162" s="1" t="n">
        <v>0.112338</v>
      </c>
      <c r="G162" s="1" t="n">
        <v>0.021578789</v>
      </c>
      <c r="H162" s="1" t="n">
        <v>0.013468981</v>
      </c>
      <c r="I162" s="1" t="n">
        <v>0.017176628</v>
      </c>
      <c r="J162" s="1" t="n">
        <v>0.016429901</v>
      </c>
      <c r="K162" s="1" t="n">
        <v>0.015464783</v>
      </c>
      <c r="L162" s="1" t="n">
        <v>0.015322685</v>
      </c>
      <c r="M162" s="1" t="n">
        <v>0.013113976</v>
      </c>
      <c r="N162" s="1" t="n">
        <v>0.014041424</v>
      </c>
      <c r="O162" s="1" t="n">
        <v>0.014554024</v>
      </c>
      <c r="P162" s="1" t="n">
        <v>0.013082981</v>
      </c>
      <c r="R162" s="1" t="n">
        <f aca="false">PERCENTILE(G162:P162,0.9)</f>
        <v>0.0176168441</v>
      </c>
      <c r="S162" s="5" t="n">
        <f aca="false">spmv_1!R$6/R162</f>
        <v>9.54964519439665</v>
      </c>
      <c r="T162" s="6" t="n">
        <f aca="false">S162/128</f>
        <v>0.0746066030812239</v>
      </c>
    </row>
    <row r="163" customFormat="false" ht="15" hidden="false" customHeight="false" outlineLevel="0" collapsed="false">
      <c r="A163" s="1" t="s">
        <v>16</v>
      </c>
      <c r="B163" s="1" t="n">
        <v>30</v>
      </c>
      <c r="D163" s="1" t="n">
        <v>866318</v>
      </c>
      <c r="E163" s="1" t="n">
        <v>0.123289</v>
      </c>
      <c r="G163" s="1" t="n">
        <v>0.020240784</v>
      </c>
      <c r="H163" s="1" t="n">
        <v>0.012125015</v>
      </c>
      <c r="I163" s="1" t="n">
        <v>0.014121532</v>
      </c>
      <c r="J163" s="1" t="n">
        <v>0.014048815</v>
      </c>
      <c r="K163" s="1" t="n">
        <v>0.013861895</v>
      </c>
      <c r="L163" s="1" t="n">
        <v>0.015028238</v>
      </c>
      <c r="M163" s="1" t="n">
        <v>0.01222229</v>
      </c>
      <c r="N163" s="1" t="n">
        <v>0.013214827</v>
      </c>
      <c r="O163" s="1" t="n">
        <v>0.013617277</v>
      </c>
      <c r="P163" s="1" t="n">
        <v>0.012054205</v>
      </c>
      <c r="R163" s="1" t="n">
        <f aca="false">PERCENTILE(G163:P163,0.9)</f>
        <v>0.0155494926</v>
      </c>
      <c r="S163" s="5" t="n">
        <f aca="false">spmv_1!R$6/R163</f>
        <v>10.819299055456</v>
      </c>
      <c r="T163" s="6" t="n">
        <f aca="false">S163/128</f>
        <v>0.08452577387075</v>
      </c>
    </row>
    <row r="164" customFormat="false" ht="15" hidden="false" customHeight="false" outlineLevel="0" collapsed="false">
      <c r="A164" s="1" t="s">
        <v>16</v>
      </c>
      <c r="B164" s="1" t="n">
        <v>31</v>
      </c>
      <c r="D164" s="1" t="n">
        <v>866318</v>
      </c>
      <c r="E164" s="1" t="n">
        <v>0.124996</v>
      </c>
      <c r="G164" s="1" t="n">
        <v>0.020287991</v>
      </c>
      <c r="H164" s="1" t="n">
        <v>0.012110949</v>
      </c>
      <c r="I164" s="1" t="n">
        <v>0.013647556</v>
      </c>
      <c r="J164" s="1" t="n">
        <v>0.013625145</v>
      </c>
      <c r="K164" s="1" t="n">
        <v>0.013516903</v>
      </c>
      <c r="L164" s="1" t="n">
        <v>0.014359951</v>
      </c>
      <c r="M164" s="1" t="n">
        <v>0.012137651</v>
      </c>
      <c r="N164" s="1" t="n">
        <v>0.013433218</v>
      </c>
      <c r="O164" s="1" t="n">
        <v>0.013573885</v>
      </c>
      <c r="P164" s="1" t="n">
        <v>0.011922598</v>
      </c>
      <c r="R164" s="1" t="n">
        <f aca="false">PERCENTILE(G164:P164,0.9)</f>
        <v>0.014952755</v>
      </c>
      <c r="S164" s="5" t="n">
        <f aca="false">spmv_1!R$6/R164</f>
        <v>11.2510778515397</v>
      </c>
      <c r="T164" s="6" t="n">
        <f aca="false">S164/128</f>
        <v>0.0878990457151542</v>
      </c>
    </row>
    <row r="165" customFormat="false" ht="15" hidden="false" customHeight="false" outlineLevel="0" collapsed="false">
      <c r="A165" s="1" t="s">
        <v>16</v>
      </c>
      <c r="B165" s="1" t="n">
        <v>32</v>
      </c>
      <c r="D165" s="1" t="n">
        <v>866190</v>
      </c>
      <c r="E165" s="1" t="n">
        <v>0.121312</v>
      </c>
      <c r="G165" s="1" t="n">
        <v>0.020782471</v>
      </c>
      <c r="H165" s="1" t="n">
        <v>0.013320446</v>
      </c>
      <c r="I165" s="1" t="n">
        <v>0.01377368</v>
      </c>
      <c r="J165" s="1" t="n">
        <v>0.014010429</v>
      </c>
      <c r="K165" s="1" t="n">
        <v>0.013698339</v>
      </c>
      <c r="L165" s="1" t="n">
        <v>0.013788223</v>
      </c>
      <c r="M165" s="1" t="n">
        <v>0.012871027</v>
      </c>
      <c r="N165" s="1" t="n">
        <v>0.013563395</v>
      </c>
      <c r="O165" s="1" t="n">
        <v>0.014082193</v>
      </c>
      <c r="P165" s="1" t="n">
        <v>0.012913704</v>
      </c>
      <c r="R165" s="1" t="n">
        <f aca="false">PERCENTILE(G165:P165,0.9)</f>
        <v>0.0147522208</v>
      </c>
      <c r="S165" s="5" t="n">
        <f aca="false">spmv_1!R$6/R165</f>
        <v>11.4040192917937</v>
      </c>
      <c r="T165" s="6" t="n">
        <f aca="false">S165/128</f>
        <v>0.0890939007171381</v>
      </c>
    </row>
    <row r="166" customFormat="false" ht="15" hidden="false" customHeight="false" outlineLevel="0" collapsed="false">
      <c r="A166" s="1" t="s">
        <v>16</v>
      </c>
      <c r="B166" s="1" t="n">
        <v>33</v>
      </c>
      <c r="D166" s="1" t="n">
        <v>866190</v>
      </c>
      <c r="E166" s="1" t="n">
        <v>0.122441</v>
      </c>
      <c r="G166" s="1" t="n">
        <v>0.020526409</v>
      </c>
      <c r="H166" s="1" t="n">
        <v>0.013286114</v>
      </c>
      <c r="I166" s="1" t="n">
        <v>0.013701677</v>
      </c>
      <c r="J166" s="1" t="n">
        <v>0.013951063</v>
      </c>
      <c r="K166" s="1" t="n">
        <v>0.013576269</v>
      </c>
      <c r="L166" s="1" t="n">
        <v>0.013455629</v>
      </c>
      <c r="M166" s="1" t="n">
        <v>0.012834311</v>
      </c>
      <c r="N166" s="1" t="n">
        <v>0.013294458</v>
      </c>
      <c r="O166" s="1" t="n">
        <v>0.014047146</v>
      </c>
      <c r="P166" s="1" t="n">
        <v>0.01281333</v>
      </c>
      <c r="R166" s="1" t="n">
        <f aca="false">PERCENTILE(G166:P166,0.9)</f>
        <v>0.0146950723</v>
      </c>
      <c r="S166" s="5" t="n">
        <f aca="false">spmv_1!R$6/R166</f>
        <v>11.4483690291201</v>
      </c>
      <c r="T166" s="6" t="n">
        <f aca="false">S166/128</f>
        <v>0.0894403830400005</v>
      </c>
    </row>
    <row r="167" customFormat="false" ht="15" hidden="false" customHeight="false" outlineLevel="0" collapsed="false">
      <c r="A167" s="1" t="s">
        <v>16</v>
      </c>
      <c r="B167" s="1" t="n">
        <v>34</v>
      </c>
      <c r="D167" s="1" t="n">
        <v>865938</v>
      </c>
      <c r="E167" s="1" t="n">
        <v>0.121116</v>
      </c>
      <c r="G167" s="1" t="n">
        <v>0.020616531</v>
      </c>
      <c r="H167" s="1" t="n">
        <v>0.01342392</v>
      </c>
      <c r="I167" s="1" t="n">
        <v>0.013863087</v>
      </c>
      <c r="J167" s="1" t="n">
        <v>0.014117479</v>
      </c>
      <c r="K167" s="1" t="n">
        <v>0.013755798</v>
      </c>
      <c r="L167" s="1" t="n">
        <v>0.013602495</v>
      </c>
      <c r="M167" s="1" t="n">
        <v>0.012994528</v>
      </c>
      <c r="N167" s="1" t="n">
        <v>0.01333952</v>
      </c>
      <c r="O167" s="1" t="n">
        <v>0.014194012</v>
      </c>
      <c r="P167" s="1" t="n">
        <v>0.013086319</v>
      </c>
      <c r="R167" s="1" t="n">
        <f aca="false">PERCENTILE(G167:P167,0.9)</f>
        <v>0.0148362639</v>
      </c>
      <c r="S167" s="5" t="n">
        <f aca="false">spmv_1!R$6/R167</f>
        <v>11.339418854635</v>
      </c>
      <c r="T167" s="6" t="n">
        <f aca="false">S167/128</f>
        <v>0.0885892098018356</v>
      </c>
    </row>
    <row r="168" customFormat="false" ht="15" hidden="false" customHeight="false" outlineLevel="0" collapsed="false">
      <c r="A168" s="1" t="s">
        <v>16</v>
      </c>
      <c r="B168" s="1" t="n">
        <v>35</v>
      </c>
      <c r="D168" s="1" t="n">
        <v>865938</v>
      </c>
      <c r="E168" s="1" t="n">
        <v>0.123149</v>
      </c>
      <c r="G168" s="1" t="n">
        <v>0.02039814</v>
      </c>
      <c r="H168" s="1" t="n">
        <v>0.013308764</v>
      </c>
      <c r="I168" s="1" t="n">
        <v>0.013640642</v>
      </c>
      <c r="J168" s="1" t="n">
        <v>0.013882875</v>
      </c>
      <c r="K168" s="1" t="n">
        <v>0.013535023</v>
      </c>
      <c r="L168" s="1" t="n">
        <v>0.013351679</v>
      </c>
      <c r="M168" s="1" t="n">
        <v>0.01282239</v>
      </c>
      <c r="N168" s="1" t="n">
        <v>0.013093948</v>
      </c>
      <c r="O168" s="1" t="n">
        <v>0.013819218</v>
      </c>
      <c r="P168" s="1" t="n">
        <v>0.012779713</v>
      </c>
      <c r="R168" s="1" t="n">
        <f aca="false">PERCENTILE(G168:P168,0.9)</f>
        <v>0.0145344015</v>
      </c>
      <c r="S168" s="5" t="n">
        <f aca="false">spmv_1!R$6/R168</f>
        <v>11.5749252282593</v>
      </c>
      <c r="T168" s="6" t="n">
        <f aca="false">S168/128</f>
        <v>0.0904291033457759</v>
      </c>
    </row>
    <row r="169" customFormat="false" ht="15" hidden="false" customHeight="false" outlineLevel="0" collapsed="false">
      <c r="A169" s="1" t="s">
        <v>16</v>
      </c>
      <c r="B169" s="1" t="n">
        <v>36</v>
      </c>
      <c r="D169" s="1" t="n">
        <v>865778</v>
      </c>
      <c r="E169" s="1" t="n">
        <v>0.123295</v>
      </c>
      <c r="G169" s="1" t="n">
        <v>0.020338535</v>
      </c>
      <c r="H169" s="1" t="n">
        <v>0.013292313</v>
      </c>
      <c r="I169" s="1" t="n">
        <v>0.013608932</v>
      </c>
      <c r="J169" s="1" t="n">
        <v>0.013850927</v>
      </c>
      <c r="K169" s="1" t="n">
        <v>0.01354146</v>
      </c>
      <c r="L169" s="1" t="n">
        <v>0.013328314</v>
      </c>
      <c r="M169" s="1" t="n">
        <v>0.012812614</v>
      </c>
      <c r="N169" s="1" t="n">
        <v>0.013095617</v>
      </c>
      <c r="O169" s="1" t="n">
        <v>0.013811588</v>
      </c>
      <c r="P169" s="1" t="n">
        <v>0.012760162</v>
      </c>
      <c r="R169" s="1" t="n">
        <f aca="false">PERCENTILE(G169:P169,0.9)</f>
        <v>0.0144996878</v>
      </c>
      <c r="S169" s="5" t="n">
        <f aca="false">spmv_1!R$6/R169</f>
        <v>11.6026367547031</v>
      </c>
      <c r="T169" s="6" t="n">
        <f aca="false">S169/128</f>
        <v>0.0906455996461179</v>
      </c>
    </row>
    <row r="170" customFormat="false" ht="15" hidden="false" customHeight="false" outlineLevel="0" collapsed="false">
      <c r="A170" s="1" t="s">
        <v>16</v>
      </c>
      <c r="B170" s="1" t="n">
        <v>37</v>
      </c>
      <c r="D170" s="1" t="n">
        <v>865778</v>
      </c>
      <c r="E170" s="1" t="n">
        <v>0.122035</v>
      </c>
      <c r="G170" s="1" t="n">
        <v>0.020503521</v>
      </c>
      <c r="H170" s="1" t="n">
        <v>0.013378382</v>
      </c>
      <c r="I170" s="1" t="n">
        <v>0.013756514</v>
      </c>
      <c r="J170" s="1" t="n">
        <v>0.014003038</v>
      </c>
      <c r="K170" s="1" t="n">
        <v>0.013664484</v>
      </c>
      <c r="L170" s="1" t="n">
        <v>0.013418198</v>
      </c>
      <c r="M170" s="1" t="n">
        <v>0.012943029</v>
      </c>
      <c r="N170" s="1" t="n">
        <v>0.013194323</v>
      </c>
      <c r="O170" s="1" t="n">
        <v>0.014128447</v>
      </c>
      <c r="P170" s="1" t="n">
        <v>0.012899637</v>
      </c>
      <c r="R170" s="1" t="n">
        <f aca="false">PERCENTILE(G170:P170,0.9)</f>
        <v>0.0147659544</v>
      </c>
      <c r="S170" s="5" t="n">
        <f aca="false">spmv_1!R$6/R170</f>
        <v>11.3934125788713</v>
      </c>
      <c r="T170" s="6" t="n">
        <f aca="false">S170/128</f>
        <v>0.089011035772432</v>
      </c>
    </row>
    <row r="171" customFormat="false" ht="15" hidden="false" customHeight="false" outlineLevel="0" collapsed="false">
      <c r="A171" s="1" t="s">
        <v>16</v>
      </c>
      <c r="B171" s="1" t="n">
        <v>38</v>
      </c>
      <c r="D171" s="1" t="n">
        <v>865672</v>
      </c>
      <c r="E171" s="1" t="n">
        <v>0.124067</v>
      </c>
      <c r="G171" s="1" t="n">
        <v>0.020185947</v>
      </c>
      <c r="H171" s="1" t="n">
        <v>0.013284445</v>
      </c>
      <c r="I171" s="1" t="n">
        <v>0.013552427</v>
      </c>
      <c r="J171" s="1" t="n">
        <v>0.013804674</v>
      </c>
      <c r="K171" s="1" t="n">
        <v>0.013518333</v>
      </c>
      <c r="L171" s="1" t="n">
        <v>0.013023376</v>
      </c>
      <c r="M171" s="1" t="n">
        <v>0.012776375</v>
      </c>
      <c r="N171" s="1" t="n">
        <v>0.012959242</v>
      </c>
      <c r="O171" s="1" t="n">
        <v>0.013700485</v>
      </c>
      <c r="P171" s="1" t="n">
        <v>0.012744188</v>
      </c>
      <c r="R171" s="1" t="n">
        <f aca="false">PERCENTILE(G171:P171,0.9)</f>
        <v>0.0144428013</v>
      </c>
      <c r="S171" s="5" t="n">
        <f aca="false">spmv_1!R$6/R171</f>
        <v>11.6483365730442</v>
      </c>
      <c r="T171" s="6" t="n">
        <f aca="false">S171/128</f>
        <v>0.0910026294769077</v>
      </c>
    </row>
    <row r="172" customFormat="false" ht="15" hidden="false" customHeight="false" outlineLevel="0" collapsed="false">
      <c r="A172" s="1" t="s">
        <v>16</v>
      </c>
      <c r="B172" s="1" t="n">
        <v>39</v>
      </c>
      <c r="D172" s="1" t="n">
        <v>865672</v>
      </c>
      <c r="E172" s="1" t="n">
        <v>0.124601</v>
      </c>
      <c r="G172" s="1" t="n">
        <v>0.020134926</v>
      </c>
      <c r="H172" s="1" t="n">
        <v>0.013240099</v>
      </c>
      <c r="I172" s="1" t="n">
        <v>0.013509989</v>
      </c>
      <c r="J172" s="1" t="n">
        <v>0.013744354</v>
      </c>
      <c r="K172" s="1" t="n">
        <v>0.013474703</v>
      </c>
      <c r="L172" s="1" t="n">
        <v>0.012866497</v>
      </c>
      <c r="M172" s="1" t="n">
        <v>0.012742043</v>
      </c>
      <c r="N172" s="1" t="n">
        <v>0.012930155</v>
      </c>
      <c r="O172" s="1" t="n">
        <v>0.013626814</v>
      </c>
      <c r="P172" s="1" t="n">
        <v>0.012681484</v>
      </c>
      <c r="R172" s="1" t="n">
        <f aca="false">PERCENTILE(G172:P172,0.9)</f>
        <v>0.0143834112</v>
      </c>
      <c r="S172" s="5" t="n">
        <f aca="false">spmv_1!R$6/R172</f>
        <v>11.6964333606759</v>
      </c>
      <c r="T172" s="6" t="n">
        <f aca="false">S172/128</f>
        <v>0.0913783856302808</v>
      </c>
    </row>
    <row r="173" customFormat="false" ht="15" hidden="false" customHeight="false" outlineLevel="0" collapsed="false">
      <c r="A173" s="1" t="s">
        <v>16</v>
      </c>
      <c r="B173" s="1" t="n">
        <v>40</v>
      </c>
      <c r="D173" s="1" t="n">
        <v>866328</v>
      </c>
      <c r="E173" s="1" t="n">
        <v>0.12362</v>
      </c>
      <c r="G173" s="1" t="n">
        <v>0.02029562</v>
      </c>
      <c r="H173" s="1" t="n">
        <v>0.013264179</v>
      </c>
      <c r="I173" s="1" t="n">
        <v>0.013623953</v>
      </c>
      <c r="J173" s="1" t="n">
        <v>0.01382494</v>
      </c>
      <c r="K173" s="1" t="n">
        <v>0.013552189</v>
      </c>
      <c r="L173" s="1" t="n">
        <v>0.012853861</v>
      </c>
      <c r="M173" s="1" t="n">
        <v>0.012862206</v>
      </c>
      <c r="N173" s="1" t="n">
        <v>0.013005972</v>
      </c>
      <c r="O173" s="1" t="n">
        <v>0.013989449</v>
      </c>
      <c r="P173" s="1" t="n">
        <v>0.012887478</v>
      </c>
      <c r="R173" s="1" t="n">
        <f aca="false">PERCENTILE(G173:P173,0.9)</f>
        <v>0.0146200661</v>
      </c>
      <c r="S173" s="5" t="n">
        <f aca="false">spmv_1!R$6/R173</f>
        <v>11.5071032818381</v>
      </c>
      <c r="T173" s="6" t="n">
        <f aca="false">S173/128</f>
        <v>0.0898992443893602</v>
      </c>
    </row>
    <row r="174" customFormat="false" ht="15" hidden="false" customHeight="false" outlineLevel="0" collapsed="false">
      <c r="A174" s="1" t="s">
        <v>16</v>
      </c>
      <c r="B174" s="1" t="n">
        <v>41</v>
      </c>
      <c r="D174" s="1" t="n">
        <v>866328</v>
      </c>
      <c r="E174" s="1" t="n">
        <v>0.125325</v>
      </c>
      <c r="G174" s="1" t="n">
        <v>0.020177841</v>
      </c>
      <c r="H174" s="1" t="n">
        <v>0.013148308</v>
      </c>
      <c r="I174" s="1" t="n">
        <v>0.013393164</v>
      </c>
      <c r="J174" s="1" t="n">
        <v>0.013671637</v>
      </c>
      <c r="K174" s="1" t="n">
        <v>0.013384342</v>
      </c>
      <c r="L174" s="1" t="n">
        <v>0.012809753</v>
      </c>
      <c r="M174" s="1" t="n">
        <v>0.012672663</v>
      </c>
      <c r="N174" s="1" t="n">
        <v>0.012842178</v>
      </c>
      <c r="O174" s="1" t="n">
        <v>0.013525248</v>
      </c>
      <c r="P174" s="1" t="n">
        <v>0.01262784</v>
      </c>
      <c r="R174" s="1" t="n">
        <f aca="false">PERCENTILE(G174:P174,0.9)</f>
        <v>0.0143222574</v>
      </c>
      <c r="S174" s="5" t="n">
        <f aca="false">spmv_1!R$6/R174</f>
        <v>11.7463753025413</v>
      </c>
      <c r="T174" s="6" t="n">
        <f aca="false">S174/128</f>
        <v>0.0917685570511043</v>
      </c>
    </row>
    <row r="175" customFormat="false" ht="15" hidden="false" customHeight="false" outlineLevel="0" collapsed="false">
      <c r="A175" s="1" t="s">
        <v>16</v>
      </c>
      <c r="B175" s="1" t="n">
        <v>42</v>
      </c>
      <c r="D175" s="1" t="n">
        <v>866436</v>
      </c>
      <c r="E175" s="1" t="n">
        <v>0.125634</v>
      </c>
      <c r="G175" s="1" t="n">
        <v>0.02017045</v>
      </c>
      <c r="H175" s="1" t="n">
        <v>0.013141632</v>
      </c>
      <c r="I175" s="1" t="n">
        <v>0.013367891</v>
      </c>
      <c r="J175" s="1" t="n">
        <v>0.013618469</v>
      </c>
      <c r="K175" s="1" t="n">
        <v>0.013350725</v>
      </c>
      <c r="L175" s="1" t="n">
        <v>0.012768507</v>
      </c>
      <c r="M175" s="1" t="n">
        <v>0.012663126</v>
      </c>
      <c r="N175" s="1" t="n">
        <v>0.012794733</v>
      </c>
      <c r="O175" s="1" t="n">
        <v>0.013444901</v>
      </c>
      <c r="P175" s="1" t="n">
        <v>0.012610197</v>
      </c>
      <c r="R175" s="1" t="n">
        <f aca="false">PERCENTILE(G175:P175,0.9)</f>
        <v>0.0142736671</v>
      </c>
      <c r="S175" s="5" t="n">
        <f aca="false">spmv_1!R$6/R175</f>
        <v>11.7863622166164</v>
      </c>
      <c r="T175" s="6" t="n">
        <f aca="false">S175/128</f>
        <v>0.0920809548173153</v>
      </c>
    </row>
    <row r="176" customFormat="false" ht="15" hidden="false" customHeight="false" outlineLevel="0" collapsed="false">
      <c r="A176" s="1" t="s">
        <v>16</v>
      </c>
      <c r="B176" s="1" t="n">
        <v>43</v>
      </c>
      <c r="D176" s="1" t="n">
        <v>866436</v>
      </c>
      <c r="E176" s="1" t="n">
        <v>0.12641</v>
      </c>
      <c r="G176" s="1" t="n">
        <v>0.020042419</v>
      </c>
      <c r="H176" s="1" t="n">
        <v>0.013026237</v>
      </c>
      <c r="I176" s="1" t="n">
        <v>0.013296366</v>
      </c>
      <c r="J176" s="1" t="n">
        <v>0.013555765</v>
      </c>
      <c r="K176" s="1" t="n">
        <v>0.01324439</v>
      </c>
      <c r="L176" s="1" t="n">
        <v>0.012465477</v>
      </c>
      <c r="M176" s="1" t="n">
        <v>0.012590647</v>
      </c>
      <c r="N176" s="1" t="n">
        <v>0.012594461</v>
      </c>
      <c r="O176" s="1" t="n">
        <v>0.013727903</v>
      </c>
      <c r="P176" s="1" t="n">
        <v>0.012540102</v>
      </c>
      <c r="R176" s="1" t="n">
        <f aca="false">PERCENTILE(G176:P176,0.9)</f>
        <v>0.0143593546</v>
      </c>
      <c r="S176" s="5" t="n">
        <f aca="false">spmv_1!R$6/R176</f>
        <v>11.7160286995072</v>
      </c>
      <c r="T176" s="6" t="n">
        <f aca="false">S176/128</f>
        <v>0.0915314742148996</v>
      </c>
    </row>
    <row r="177" customFormat="false" ht="15" hidden="false" customHeight="false" outlineLevel="0" collapsed="false">
      <c r="A177" s="1" t="s">
        <v>16</v>
      </c>
      <c r="B177" s="1" t="n">
        <v>44</v>
      </c>
      <c r="D177" s="1" t="n">
        <v>866388</v>
      </c>
      <c r="E177" s="1" t="n">
        <v>0.126944</v>
      </c>
      <c r="G177" s="1" t="n">
        <v>0.020005226</v>
      </c>
      <c r="H177" s="1" t="n">
        <v>0.012942314</v>
      </c>
      <c r="I177" s="1" t="n">
        <v>0.013223886</v>
      </c>
      <c r="J177" s="1" t="n">
        <v>0.013478994</v>
      </c>
      <c r="K177" s="1" t="n">
        <v>0.013192654</v>
      </c>
      <c r="L177" s="1" t="n">
        <v>0.012426615</v>
      </c>
      <c r="M177" s="1" t="n">
        <v>0.012515545</v>
      </c>
      <c r="N177" s="1" t="n">
        <v>0.012544632</v>
      </c>
      <c r="O177" s="1" t="n">
        <v>0.013692856</v>
      </c>
      <c r="P177" s="1" t="n">
        <v>0.012476921</v>
      </c>
      <c r="R177" s="1" t="n">
        <f aca="false">PERCENTILE(G177:P177,0.9)</f>
        <v>0.014324093</v>
      </c>
      <c r="S177" s="5" t="n">
        <f aca="false">spmv_1!R$6/R177</f>
        <v>11.7448700312125</v>
      </c>
      <c r="T177" s="6" t="n">
        <f aca="false">S177/128</f>
        <v>0.0917567971188473</v>
      </c>
    </row>
    <row r="178" customFormat="false" ht="15" hidden="false" customHeight="false" outlineLevel="0" collapsed="false">
      <c r="A178" s="1" t="s">
        <v>16</v>
      </c>
      <c r="B178" s="1" t="n">
        <v>45</v>
      </c>
      <c r="D178" s="1" t="n">
        <v>866388</v>
      </c>
      <c r="E178" s="1" t="n">
        <v>0.12787</v>
      </c>
      <c r="G178" s="1" t="n">
        <v>0.019831419</v>
      </c>
      <c r="H178" s="1" t="n">
        <v>0.012843132</v>
      </c>
      <c r="I178" s="1" t="n">
        <v>0.013167858</v>
      </c>
      <c r="J178" s="1" t="n">
        <v>0.013403177</v>
      </c>
      <c r="K178" s="1" t="n">
        <v>0.013182163</v>
      </c>
      <c r="L178" s="1" t="n">
        <v>0.012335062</v>
      </c>
      <c r="M178" s="1" t="n">
        <v>0.012447596</v>
      </c>
      <c r="N178" s="1" t="n">
        <v>0.012304783</v>
      </c>
      <c r="O178" s="1" t="n">
        <v>0.013611078</v>
      </c>
      <c r="P178" s="1" t="n">
        <v>0.012384176</v>
      </c>
      <c r="R178" s="1" t="n">
        <f aca="false">PERCENTILE(G178:P178,0.9)</f>
        <v>0.0142331121</v>
      </c>
      <c r="S178" s="5" t="n">
        <f aca="false">spmv_1!R$6/R178</f>
        <v>11.8199455901145</v>
      </c>
      <c r="T178" s="6" t="n">
        <f aca="false">S178/128</f>
        <v>0.0923433249227694</v>
      </c>
    </row>
    <row r="179" customFormat="false" ht="15" hidden="false" customHeight="false" outlineLevel="0" collapsed="false">
      <c r="A179" s="1" t="s">
        <v>16</v>
      </c>
      <c r="B179" s="1" t="n">
        <v>46</v>
      </c>
      <c r="D179" s="1" t="n">
        <v>866374</v>
      </c>
      <c r="E179" s="1" t="n">
        <v>0.12807</v>
      </c>
      <c r="G179" s="1" t="n">
        <v>0.019833088</v>
      </c>
      <c r="H179" s="1" t="n">
        <v>0.01281333</v>
      </c>
      <c r="I179" s="1" t="n">
        <v>0.013088703</v>
      </c>
      <c r="J179" s="1" t="n">
        <v>0.013375521</v>
      </c>
      <c r="K179" s="1" t="n">
        <v>0.013158083</v>
      </c>
      <c r="L179" s="1" t="n">
        <v>0.012346745</v>
      </c>
      <c r="M179" s="1" t="n">
        <v>0.012404203</v>
      </c>
      <c r="N179" s="1" t="n">
        <v>0.012316465</v>
      </c>
      <c r="O179" s="1" t="n">
        <v>0.013583422</v>
      </c>
      <c r="P179" s="1" t="n">
        <v>0.012377501</v>
      </c>
      <c r="R179" s="1" t="n">
        <f aca="false">PERCENTILE(G179:P179,0.9)</f>
        <v>0.0142083886</v>
      </c>
      <c r="S179" s="5" t="n">
        <f aca="false">spmv_1!R$6/R179</f>
        <v>11.8405130473416</v>
      </c>
      <c r="T179" s="6" t="n">
        <f aca="false">S179/128</f>
        <v>0.0925040081823565</v>
      </c>
    </row>
    <row r="180" customFormat="false" ht="15" hidden="false" customHeight="false" outlineLevel="0" collapsed="false">
      <c r="A180" s="1" t="s">
        <v>16</v>
      </c>
      <c r="B180" s="1" t="n">
        <v>47</v>
      </c>
      <c r="D180" s="1" t="n">
        <v>866374</v>
      </c>
      <c r="E180" s="1" t="n">
        <v>0.129425</v>
      </c>
      <c r="G180" s="1" t="n">
        <v>0.019708157</v>
      </c>
      <c r="H180" s="1" t="n">
        <v>0.012768984</v>
      </c>
      <c r="I180" s="1" t="n">
        <v>0.012937069</v>
      </c>
      <c r="J180" s="1" t="n">
        <v>0.013271332</v>
      </c>
      <c r="K180" s="1" t="n">
        <v>0.013039112</v>
      </c>
      <c r="L180" s="1" t="n">
        <v>0.012217283</v>
      </c>
      <c r="M180" s="1" t="n">
        <v>0.012327909</v>
      </c>
      <c r="N180" s="1" t="n">
        <v>0.012210369</v>
      </c>
      <c r="O180" s="1" t="n">
        <v>0.013125896</v>
      </c>
      <c r="P180" s="1" t="n">
        <v>0.012274265</v>
      </c>
      <c r="R180" s="1" t="n">
        <f aca="false">PERCENTILE(G180:P180,0.9)</f>
        <v>0.0139150145</v>
      </c>
      <c r="S180" s="5" t="n">
        <f aca="false">spmv_1!R$6/R180</f>
        <v>12.090149859348</v>
      </c>
      <c r="T180" s="6" t="n">
        <f aca="false">S180/128</f>
        <v>0.0944542957761561</v>
      </c>
    </row>
    <row r="181" customFormat="false" ht="15" hidden="false" customHeight="false" outlineLevel="0" collapsed="false">
      <c r="A181" s="1" t="s">
        <v>16</v>
      </c>
      <c r="B181" s="1" t="n">
        <v>48</v>
      </c>
      <c r="D181" s="1" t="n">
        <v>866456</v>
      </c>
      <c r="E181" s="1" t="n">
        <v>0.130222</v>
      </c>
      <c r="G181" s="1" t="n">
        <v>0.019594669</v>
      </c>
      <c r="H181" s="1" t="n">
        <v>0.012698174</v>
      </c>
      <c r="I181" s="1" t="n">
        <v>0.012864828</v>
      </c>
      <c r="J181" s="1" t="n">
        <v>0.0131917</v>
      </c>
      <c r="K181" s="1" t="n">
        <v>0.012958527</v>
      </c>
      <c r="L181" s="1" t="n">
        <v>0.012081385</v>
      </c>
      <c r="M181" s="1" t="n">
        <v>0.012239456</v>
      </c>
      <c r="N181" s="1" t="n">
        <v>0.012162685</v>
      </c>
      <c r="O181" s="1" t="n">
        <v>0.013108969</v>
      </c>
      <c r="P181" s="1" t="n">
        <v>0.012172937</v>
      </c>
      <c r="R181" s="1" t="n">
        <f aca="false">PERCENTILE(G181:P181,0.9)</f>
        <v>0.0138319969</v>
      </c>
      <c r="S181" s="5" t="n">
        <f aca="false">spmv_1!R$6/R181</f>
        <v>12.162713150984</v>
      </c>
      <c r="T181" s="6" t="n">
        <f aca="false">S181/128</f>
        <v>0.0950211964920626</v>
      </c>
    </row>
    <row r="182" customFormat="false" ht="15" hidden="false" customHeight="false" outlineLevel="0" collapsed="false">
      <c r="A182" s="1" t="s">
        <v>16</v>
      </c>
      <c r="B182" s="1" t="n">
        <v>49</v>
      </c>
      <c r="D182" s="1" t="n">
        <v>866456</v>
      </c>
      <c r="E182" s="1" t="n">
        <v>0.128608</v>
      </c>
      <c r="G182" s="1" t="n">
        <v>0.019613981</v>
      </c>
      <c r="H182" s="1" t="n">
        <v>0.012809515</v>
      </c>
      <c r="I182" s="1" t="n">
        <v>0.013082981</v>
      </c>
      <c r="J182" s="1" t="n">
        <v>0.013393402</v>
      </c>
      <c r="K182" s="1" t="n">
        <v>0.013156891</v>
      </c>
      <c r="L182" s="1" t="n">
        <v>0.012116671</v>
      </c>
      <c r="M182" s="1" t="n">
        <v>0.012436867</v>
      </c>
      <c r="N182" s="1" t="n">
        <v>0.012246847</v>
      </c>
      <c r="O182" s="1" t="n">
        <v>0.013535738</v>
      </c>
      <c r="P182" s="1" t="n">
        <v>0.012351036</v>
      </c>
      <c r="R182" s="1" t="n">
        <f aca="false">PERCENTILE(G182:P182,0.9)</f>
        <v>0.0141435623</v>
      </c>
      <c r="S182" s="5" t="n">
        <f aca="false">spmv_1!R$6/R182</f>
        <v>11.8947834379745</v>
      </c>
      <c r="T182" s="6" t="n">
        <f aca="false">S182/128</f>
        <v>0.0929279956091755</v>
      </c>
    </row>
    <row r="183" customFormat="false" ht="15" hidden="false" customHeight="false" outlineLevel="0" collapsed="false">
      <c r="A183" s="1" t="s">
        <v>16</v>
      </c>
      <c r="B183" s="1" t="n">
        <v>50</v>
      </c>
      <c r="D183" s="1" t="n">
        <v>866212</v>
      </c>
      <c r="E183" s="1" t="n">
        <v>0.129116</v>
      </c>
      <c r="G183" s="1" t="n">
        <v>0.019574881</v>
      </c>
      <c r="H183" s="1" t="n">
        <v>0.012761831</v>
      </c>
      <c r="I183" s="1" t="n">
        <v>0.012988329</v>
      </c>
      <c r="J183" s="1" t="n">
        <v>0.013335228</v>
      </c>
      <c r="K183" s="1" t="n">
        <v>0.013123274</v>
      </c>
      <c r="L183" s="1" t="n">
        <v>0.012073755</v>
      </c>
      <c r="M183" s="1" t="n">
        <v>0.012374163</v>
      </c>
      <c r="N183" s="1" t="n">
        <v>0.012178898</v>
      </c>
      <c r="O183" s="1" t="n">
        <v>0.013457537</v>
      </c>
      <c r="P183" s="1" t="n">
        <v>0.012308359</v>
      </c>
      <c r="R183" s="1" t="n">
        <f aca="false">PERCENTILE(G183:P183,0.9)</f>
        <v>0.0140692714</v>
      </c>
      <c r="S183" s="5" t="n">
        <f aca="false">spmv_1!R$6/R183</f>
        <v>11.9575922460349</v>
      </c>
      <c r="T183" s="6" t="n">
        <f aca="false">S183/128</f>
        <v>0.0934186894221473</v>
      </c>
    </row>
    <row r="184" customFormat="false" ht="15" hidden="false" customHeight="false" outlineLevel="0" collapsed="false">
      <c r="A184" s="1" t="s">
        <v>16</v>
      </c>
      <c r="B184" s="1" t="n">
        <v>51</v>
      </c>
      <c r="D184" s="1" t="n">
        <v>866212</v>
      </c>
      <c r="E184" s="1" t="n">
        <v>0.131517</v>
      </c>
      <c r="G184" s="1" t="n">
        <v>0.019157171</v>
      </c>
      <c r="H184" s="1" t="n">
        <v>0.012582302</v>
      </c>
      <c r="I184" s="1" t="n">
        <v>0.012758732</v>
      </c>
      <c r="J184" s="1" t="n">
        <v>0.013119459</v>
      </c>
      <c r="K184" s="1" t="n">
        <v>0.012874126</v>
      </c>
      <c r="L184" s="1" t="n">
        <v>0.011980772</v>
      </c>
      <c r="M184" s="1" t="n">
        <v>0.0121665</v>
      </c>
      <c r="N184" s="1" t="n">
        <v>0.012045383</v>
      </c>
      <c r="O184" s="1" t="n">
        <v>0.012969017</v>
      </c>
      <c r="P184" s="1" t="n">
        <v>0.01207304</v>
      </c>
      <c r="R184" s="1" t="n">
        <f aca="false">PERCENTILE(G184:P184,0.9)</f>
        <v>0.0137232302</v>
      </c>
      <c r="S184" s="5" t="n">
        <f aca="false">spmv_1!R$6/R184</f>
        <v>12.2591116047882</v>
      </c>
      <c r="T184" s="6" t="n">
        <f aca="false">S184/128</f>
        <v>0.0957743094124079</v>
      </c>
    </row>
    <row r="185" customFormat="false" ht="15" hidden="false" customHeight="false" outlineLevel="0" collapsed="false">
      <c r="A185" s="1" t="s">
        <v>16</v>
      </c>
      <c r="B185" s="1" t="n">
        <v>52</v>
      </c>
      <c r="D185" s="1" t="n">
        <v>866122</v>
      </c>
      <c r="E185" s="1" t="n">
        <v>0.129486</v>
      </c>
      <c r="G185" s="1" t="n">
        <v>0.019580841</v>
      </c>
      <c r="H185" s="1" t="n">
        <v>0.012722015</v>
      </c>
      <c r="I185" s="1" t="n">
        <v>0.012938499</v>
      </c>
      <c r="J185" s="1" t="n">
        <v>0.013281345</v>
      </c>
      <c r="K185" s="1" t="n">
        <v>0.013069153</v>
      </c>
      <c r="L185" s="1" t="n">
        <v>0.012012005</v>
      </c>
      <c r="M185" s="1" t="n">
        <v>0.012355566</v>
      </c>
      <c r="N185" s="1" t="n">
        <v>0.012142897</v>
      </c>
      <c r="O185" s="1" t="n">
        <v>0.013428926</v>
      </c>
      <c r="P185" s="1" t="n">
        <v>0.012247086</v>
      </c>
      <c r="R185" s="1" t="n">
        <f aca="false">PERCENTILE(G185:P185,0.9)</f>
        <v>0.0140441175</v>
      </c>
      <c r="S185" s="5" t="n">
        <f aca="false">spmv_1!R$6/R185</f>
        <v>11.9790090477383</v>
      </c>
      <c r="T185" s="6" t="n">
        <f aca="false">S185/128</f>
        <v>0.0935860081854556</v>
      </c>
    </row>
    <row r="186" customFormat="false" ht="15" hidden="false" customHeight="false" outlineLevel="0" collapsed="false">
      <c r="A186" s="1" t="s">
        <v>16</v>
      </c>
      <c r="B186" s="1" t="n">
        <v>53</v>
      </c>
      <c r="D186" s="1" t="n">
        <v>866122</v>
      </c>
      <c r="E186" s="1" t="n">
        <v>0.130501</v>
      </c>
      <c r="G186" s="1" t="n">
        <v>0.019370556</v>
      </c>
      <c r="H186" s="1" t="n">
        <v>0.012638092</v>
      </c>
      <c r="I186" s="1" t="n">
        <v>0.01282835</v>
      </c>
      <c r="J186" s="1" t="n">
        <v>0.013232946</v>
      </c>
      <c r="K186" s="1" t="n">
        <v>0.012954235</v>
      </c>
      <c r="L186" s="1" t="n">
        <v>0.011940718</v>
      </c>
      <c r="M186" s="1" t="n">
        <v>0.012220144</v>
      </c>
      <c r="N186" s="1" t="n">
        <v>0.012035608</v>
      </c>
      <c r="O186" s="1" t="n">
        <v>0.013344765</v>
      </c>
      <c r="P186" s="1" t="n">
        <v>0.012172461</v>
      </c>
      <c r="R186" s="1" t="n">
        <f aca="false">PERCENTILE(G186:P186,0.9)</f>
        <v>0.0139473441</v>
      </c>
      <c r="S186" s="5" t="n">
        <f aca="false">spmv_1!R$6/R186</f>
        <v>12.0621251898417</v>
      </c>
      <c r="T186" s="6" t="n">
        <f aca="false">S186/128</f>
        <v>0.0942353530456383</v>
      </c>
    </row>
    <row r="187" customFormat="false" ht="15" hidden="false" customHeight="false" outlineLevel="0" collapsed="false">
      <c r="A187" s="1" t="s">
        <v>16</v>
      </c>
      <c r="B187" s="1" t="n">
        <v>54</v>
      </c>
      <c r="D187" s="1" t="n">
        <v>866452</v>
      </c>
      <c r="E187" s="1" t="n">
        <v>0.133109</v>
      </c>
      <c r="G187" s="1" t="n">
        <v>0.018882513</v>
      </c>
      <c r="H187" s="1" t="n">
        <v>0.012437582</v>
      </c>
      <c r="I187" s="1" t="n">
        <v>0.012582064</v>
      </c>
      <c r="J187" s="1" t="n">
        <v>0.012978554</v>
      </c>
      <c r="K187" s="1" t="n">
        <v>0.01272893</v>
      </c>
      <c r="L187" s="1" t="n">
        <v>0.011861563</v>
      </c>
      <c r="M187" s="1" t="n">
        <v>0.012023211</v>
      </c>
      <c r="N187" s="1" t="n">
        <v>0.01193285</v>
      </c>
      <c r="O187" s="1" t="n">
        <v>0.012834311</v>
      </c>
      <c r="P187" s="1" t="n">
        <v>0.011925697</v>
      </c>
      <c r="R187" s="1" t="n">
        <f aca="false">PERCENTILE(G187:P187,0.9)</f>
        <v>0.0135689499</v>
      </c>
      <c r="S187" s="5" t="n">
        <f aca="false">spmv_1!R$6/R187</f>
        <v>12.3984989140538</v>
      </c>
      <c r="T187" s="6" t="n">
        <f aca="false">S187/128</f>
        <v>0.0968632727660451</v>
      </c>
    </row>
    <row r="188" customFormat="false" ht="15" hidden="false" customHeight="false" outlineLevel="0" collapsed="false">
      <c r="A188" s="1" t="s">
        <v>16</v>
      </c>
      <c r="B188" s="1" t="n">
        <v>55</v>
      </c>
      <c r="D188" s="1" t="n">
        <v>866452</v>
      </c>
      <c r="E188" s="1" t="n">
        <v>0.133894</v>
      </c>
      <c r="G188" s="1" t="n">
        <v>0.01880765</v>
      </c>
      <c r="H188" s="1" t="n">
        <v>0.012387276</v>
      </c>
      <c r="I188" s="1" t="n">
        <v>0.012442589</v>
      </c>
      <c r="J188" s="1" t="n">
        <v>0.012889385</v>
      </c>
      <c r="K188" s="1" t="n">
        <v>0.012678146</v>
      </c>
      <c r="L188" s="1" t="n">
        <v>0.011789799</v>
      </c>
      <c r="M188" s="1" t="n">
        <v>0.011952639</v>
      </c>
      <c r="N188" s="1" t="n">
        <v>0.011852026</v>
      </c>
      <c r="O188" s="1" t="n">
        <v>0.012743235</v>
      </c>
      <c r="P188" s="1" t="n">
        <v>0.011880875</v>
      </c>
      <c r="R188" s="1" t="n">
        <f aca="false">PERCENTILE(G188:P188,0.9)</f>
        <v>0.0134812115</v>
      </c>
      <c r="S188" s="5" t="n">
        <f aca="false">spmv_1!R$6/R188</f>
        <v>12.4791908056631</v>
      </c>
      <c r="T188" s="6" t="n">
        <f aca="false">S188/128</f>
        <v>0.0974936781692432</v>
      </c>
    </row>
    <row r="189" customFormat="false" ht="15" hidden="false" customHeight="false" outlineLevel="0" collapsed="false">
      <c r="A189" s="1" t="s">
        <v>16</v>
      </c>
      <c r="B189" s="1" t="n">
        <v>56</v>
      </c>
      <c r="D189" s="1" t="n">
        <v>866524</v>
      </c>
      <c r="E189" s="1" t="n">
        <v>0.134487</v>
      </c>
      <c r="G189" s="1" t="n">
        <v>0.018779993</v>
      </c>
      <c r="H189" s="1" t="n">
        <v>0.012255192</v>
      </c>
      <c r="I189" s="1" t="n">
        <v>0.012340069</v>
      </c>
      <c r="J189" s="1" t="n">
        <v>0.012814045</v>
      </c>
      <c r="K189" s="1" t="n">
        <v>0.012583971</v>
      </c>
      <c r="L189" s="1" t="n">
        <v>0.011758566</v>
      </c>
      <c r="M189" s="1" t="n">
        <v>0.011876583</v>
      </c>
      <c r="N189" s="1" t="n">
        <v>0.011781693</v>
      </c>
      <c r="O189" s="1" t="n">
        <v>0.012928247</v>
      </c>
      <c r="P189" s="1" t="n">
        <v>0.011745453</v>
      </c>
      <c r="R189" s="1" t="n">
        <f aca="false">PERCENTILE(G189:P189,0.9)</f>
        <v>0.0135134216</v>
      </c>
      <c r="S189" s="5" t="n">
        <f aca="false">spmv_1!R$6/R189</f>
        <v>12.449445860551</v>
      </c>
      <c r="T189" s="6" t="n">
        <f aca="false">S189/128</f>
        <v>0.0972612957855544</v>
      </c>
    </row>
    <row r="190" customFormat="false" ht="15" hidden="false" customHeight="false" outlineLevel="0" collapsed="false">
      <c r="A190" s="1" t="s">
        <v>16</v>
      </c>
      <c r="B190" s="1" t="n">
        <v>57</v>
      </c>
      <c r="D190" s="1" t="n">
        <v>866524</v>
      </c>
      <c r="E190" s="1" t="n">
        <v>0.135245</v>
      </c>
      <c r="G190" s="1" t="n">
        <v>0.018620729</v>
      </c>
      <c r="H190" s="1" t="n">
        <v>0.012214184</v>
      </c>
      <c r="I190" s="1" t="n">
        <v>0.012310743</v>
      </c>
      <c r="J190" s="1" t="n">
        <v>0.012747288</v>
      </c>
      <c r="K190" s="1" t="n">
        <v>0.012432337</v>
      </c>
      <c r="L190" s="1" t="n">
        <v>0.011701345</v>
      </c>
      <c r="M190" s="1" t="n">
        <v>0.011818647</v>
      </c>
      <c r="N190" s="1" t="n">
        <v>0.011725426</v>
      </c>
      <c r="O190" s="1" t="n">
        <v>0.01286459</v>
      </c>
      <c r="P190" s="1" t="n">
        <v>0.011705637</v>
      </c>
      <c r="R190" s="1" t="n">
        <f aca="false">PERCENTILE(G190:P190,0.9)</f>
        <v>0.0134402039</v>
      </c>
      <c r="S190" s="5" t="n">
        <f aca="false">spmv_1!R$6/R190</f>
        <v>12.517266244748</v>
      </c>
      <c r="T190" s="6" t="n">
        <f aca="false">S190/128</f>
        <v>0.0977911425370935</v>
      </c>
    </row>
    <row r="191" customFormat="false" ht="15" hidden="false" customHeight="false" outlineLevel="0" collapsed="false">
      <c r="A191" s="1" t="s">
        <v>16</v>
      </c>
      <c r="B191" s="1" t="n">
        <v>58</v>
      </c>
      <c r="D191" s="1" t="n">
        <v>866318</v>
      </c>
      <c r="E191" s="1" t="n">
        <v>0.135905</v>
      </c>
      <c r="G191" s="1" t="n">
        <v>0.018498182</v>
      </c>
      <c r="H191" s="1" t="n">
        <v>0.012169123</v>
      </c>
      <c r="I191" s="1" t="n">
        <v>0.012222528</v>
      </c>
      <c r="J191" s="1" t="n">
        <v>0.012709856</v>
      </c>
      <c r="K191" s="1" t="n">
        <v>0.012380838</v>
      </c>
      <c r="L191" s="1" t="n">
        <v>0.011630535</v>
      </c>
      <c r="M191" s="1" t="n">
        <v>0.011731386</v>
      </c>
      <c r="N191" s="1" t="n">
        <v>0.011677027</v>
      </c>
      <c r="O191" s="1" t="n">
        <v>0.012823105</v>
      </c>
      <c r="P191" s="1" t="n">
        <v>0.011645794</v>
      </c>
      <c r="R191" s="1" t="n">
        <f aca="false">PERCENTILE(G191:P191,0.9)</f>
        <v>0.0133906127</v>
      </c>
      <c r="S191" s="5" t="n">
        <f aca="false">spmv_1!R$6/R191</f>
        <v>12.5636230670759</v>
      </c>
      <c r="T191" s="6" t="n">
        <f aca="false">S191/128</f>
        <v>0.0981533052115308</v>
      </c>
    </row>
    <row r="192" customFormat="false" ht="15" hidden="false" customHeight="false" outlineLevel="0" collapsed="false">
      <c r="A192" s="1" t="s">
        <v>16</v>
      </c>
      <c r="B192" s="1" t="n">
        <v>59</v>
      </c>
      <c r="D192" s="1" t="n">
        <v>866318</v>
      </c>
      <c r="E192" s="1" t="n">
        <v>0.138109</v>
      </c>
      <c r="G192" s="1" t="n">
        <v>0.018311501</v>
      </c>
      <c r="H192" s="1" t="n">
        <v>0.012169123</v>
      </c>
      <c r="I192" s="1" t="n">
        <v>0.012206078</v>
      </c>
      <c r="J192" s="1" t="n">
        <v>0.012618065</v>
      </c>
      <c r="K192" s="1" t="n">
        <v>0.012354612</v>
      </c>
      <c r="L192" s="1" t="n">
        <v>0.011593103</v>
      </c>
      <c r="M192" s="1" t="n">
        <v>0.011777639</v>
      </c>
      <c r="N192" s="1" t="n">
        <v>0.011640549</v>
      </c>
      <c r="O192" s="1" t="n">
        <v>0.011123896</v>
      </c>
      <c r="P192" s="1" t="n">
        <v>0.011659622</v>
      </c>
      <c r="R192" s="1" t="n">
        <f aca="false">PERCENTILE(G192:P192,0.9)</f>
        <v>0.0131874086</v>
      </c>
      <c r="S192" s="5" t="n">
        <f aca="false">spmv_1!R$6/R192</f>
        <v>12.7572152879225</v>
      </c>
      <c r="T192" s="6" t="n">
        <f aca="false">S192/128</f>
        <v>0.0996657444368942</v>
      </c>
    </row>
    <row r="193" customFormat="false" ht="15" hidden="false" customHeight="false" outlineLevel="0" collapsed="false">
      <c r="A193" s="1" t="s">
        <v>16</v>
      </c>
      <c r="B193" s="1" t="n">
        <v>60</v>
      </c>
      <c r="D193" s="1" t="n">
        <v>866184</v>
      </c>
      <c r="E193" s="1" t="n">
        <v>0.138807</v>
      </c>
      <c r="G193" s="1" t="n">
        <v>0.018195391</v>
      </c>
      <c r="H193" s="1" t="n">
        <v>0.012215137</v>
      </c>
      <c r="I193" s="1" t="n">
        <v>0.012115479</v>
      </c>
      <c r="J193" s="1" t="n">
        <v>0.012541294</v>
      </c>
      <c r="K193" s="1" t="n">
        <v>0.012312651</v>
      </c>
      <c r="L193" s="1" t="n">
        <v>0.011533737</v>
      </c>
      <c r="M193" s="1" t="n">
        <v>0.011665583</v>
      </c>
      <c r="N193" s="1" t="n">
        <v>0.01156044</v>
      </c>
      <c r="O193" s="1" t="n">
        <v>0.011082888</v>
      </c>
      <c r="P193" s="1" t="n">
        <v>0.011581421</v>
      </c>
      <c r="R193" s="1" t="n">
        <f aca="false">PERCENTILE(G193:P193,0.9)</f>
        <v>0.0131067037</v>
      </c>
      <c r="S193" s="5" t="n">
        <f aca="false">spmv_1!R$6/R193</f>
        <v>12.8357682031066</v>
      </c>
      <c r="T193" s="6" t="n">
        <f aca="false">S193/128</f>
        <v>0.100279439086771</v>
      </c>
    </row>
    <row r="194" customFormat="false" ht="15" hidden="false" customHeight="false" outlineLevel="0" collapsed="false">
      <c r="A194" s="1" t="s">
        <v>16</v>
      </c>
      <c r="B194" s="1" t="n">
        <v>61</v>
      </c>
      <c r="D194" s="1" t="n">
        <v>866184</v>
      </c>
      <c r="E194" s="1" t="n">
        <v>0.13984</v>
      </c>
      <c r="G194" s="1" t="n">
        <v>0.018037796</v>
      </c>
      <c r="H194" s="1" t="n">
        <v>0.012244225</v>
      </c>
      <c r="I194" s="1" t="n">
        <v>0.012047768</v>
      </c>
      <c r="J194" s="1" t="n">
        <v>0.012438536</v>
      </c>
      <c r="K194" s="1" t="n">
        <v>0.012231112</v>
      </c>
      <c r="L194" s="1" t="n">
        <v>0.011396408</v>
      </c>
      <c r="M194" s="1" t="n">
        <v>0.011582613</v>
      </c>
      <c r="N194" s="1" t="n">
        <v>0.011486053</v>
      </c>
      <c r="O194" s="1" t="n">
        <v>0.010941982</v>
      </c>
      <c r="P194" s="1" t="n">
        <v>0.01147604</v>
      </c>
      <c r="R194" s="1" t="n">
        <f aca="false">PERCENTILE(G194:P194,0.9)</f>
        <v>0.012998462</v>
      </c>
      <c r="S194" s="5" t="n">
        <f aca="false">spmv_1!R$6/R194</f>
        <v>12.9426551079659</v>
      </c>
      <c r="T194" s="6" t="n">
        <f aca="false">S194/128</f>
        <v>0.101114493030983</v>
      </c>
    </row>
    <row r="195" customFormat="false" ht="15" hidden="false" customHeight="false" outlineLevel="0" collapsed="false">
      <c r="A195" s="1" t="s">
        <v>16</v>
      </c>
      <c r="B195" s="1" t="n">
        <v>62</v>
      </c>
      <c r="D195" s="1" t="n">
        <v>865884</v>
      </c>
      <c r="E195" s="1" t="n">
        <v>0.139794</v>
      </c>
      <c r="G195" s="1" t="n">
        <v>0.017914295</v>
      </c>
      <c r="H195" s="1" t="n">
        <v>0.012749672</v>
      </c>
      <c r="I195" s="1" t="n">
        <v>0.012001038</v>
      </c>
      <c r="J195" s="1" t="n">
        <v>0.012420416</v>
      </c>
      <c r="K195" s="1" t="n">
        <v>0.012190819</v>
      </c>
      <c r="L195" s="1" t="n">
        <v>0.011321783</v>
      </c>
      <c r="M195" s="1" t="n">
        <v>0.011542559</v>
      </c>
      <c r="N195" s="1" t="n">
        <v>0.011391163</v>
      </c>
      <c r="O195" s="1" t="n">
        <v>0.010904312</v>
      </c>
      <c r="P195" s="1" t="n">
        <v>0.011443853</v>
      </c>
      <c r="R195" s="1" t="n">
        <f aca="false">PERCENTILE(G195:P195,0.9)</f>
        <v>0.0132661343</v>
      </c>
      <c r="S195" s="5" t="n">
        <f aca="false">spmv_1!R$6/R195</f>
        <v>12.6815096843999</v>
      </c>
      <c r="T195" s="6" t="n">
        <f aca="false">S195/128</f>
        <v>0.0990742944093744</v>
      </c>
    </row>
    <row r="196" customFormat="false" ht="15" hidden="false" customHeight="false" outlineLevel="0" collapsed="false">
      <c r="A196" s="1" t="s">
        <v>16</v>
      </c>
      <c r="B196" s="1" t="n">
        <v>63</v>
      </c>
      <c r="D196" s="1" t="n">
        <v>865884</v>
      </c>
      <c r="E196" s="1" t="n">
        <v>0.139917</v>
      </c>
      <c r="G196" s="1" t="n">
        <v>0.017914772</v>
      </c>
      <c r="H196" s="1" t="n">
        <v>0.012815714</v>
      </c>
      <c r="I196" s="1" t="n">
        <v>0.011932611</v>
      </c>
      <c r="J196" s="1" t="n">
        <v>0.012368441</v>
      </c>
      <c r="K196" s="1" t="n">
        <v>0.012190819</v>
      </c>
      <c r="L196" s="1" t="n">
        <v>0.011309862</v>
      </c>
      <c r="M196" s="1" t="n">
        <v>0.011497021</v>
      </c>
      <c r="N196" s="1" t="n">
        <v>0.011339664</v>
      </c>
      <c r="O196" s="1" t="n">
        <v>0.010985136</v>
      </c>
      <c r="P196" s="1" t="n">
        <v>0.011416912</v>
      </c>
      <c r="R196" s="1" t="n">
        <f aca="false">PERCENTILE(G196:P196,0.9)</f>
        <v>0.0133256198</v>
      </c>
      <c r="S196" s="5" t="n">
        <f aca="false">spmv_1!R$6/R196</f>
        <v>12.6248994887277</v>
      </c>
      <c r="T196" s="6" t="n">
        <f aca="false">S196/128</f>
        <v>0.0986320272556853</v>
      </c>
    </row>
    <row r="197" customFormat="false" ht="15" hidden="false" customHeight="false" outlineLevel="0" collapsed="false">
      <c r="A197" s="1" t="s">
        <v>16</v>
      </c>
      <c r="B197" s="1" t="n">
        <v>64</v>
      </c>
      <c r="D197" s="1" t="n">
        <v>866364</v>
      </c>
      <c r="E197" s="1" t="n">
        <v>0.077101</v>
      </c>
      <c r="G197" s="1" t="n">
        <v>0.025269747</v>
      </c>
      <c r="H197" s="1" t="n">
        <v>0.021912813</v>
      </c>
      <c r="I197" s="1" t="n">
        <v>0.020495653</v>
      </c>
      <c r="J197" s="1" t="n">
        <v>0.02124691</v>
      </c>
      <c r="K197" s="1" t="n">
        <v>0.018995285</v>
      </c>
      <c r="L197" s="1" t="n">
        <v>0.031895399</v>
      </c>
      <c r="M197" s="1" t="n">
        <v>0.021784782</v>
      </c>
      <c r="N197" s="1" t="n">
        <v>0.023408651</v>
      </c>
      <c r="O197" s="1" t="n">
        <v>0.019102097</v>
      </c>
      <c r="P197" s="1" t="n">
        <v>0.020622253</v>
      </c>
      <c r="R197" s="1" t="n">
        <f aca="false">PERCENTILE(G197:P197,0.9)</f>
        <v>0.0259323122</v>
      </c>
      <c r="S197" s="5" t="n">
        <f aca="false">spmv_1!R$6/R197</f>
        <v>6.48745122696772</v>
      </c>
      <c r="T197" s="6" t="n">
        <f aca="false">S197/128</f>
        <v>0.0506832127106853</v>
      </c>
    </row>
    <row r="198" customFormat="false" ht="15" hidden="false" customHeight="false" outlineLevel="0" collapsed="false">
      <c r="A198" s="1" t="s">
        <v>16</v>
      </c>
      <c r="B198" s="1" t="n">
        <v>65</v>
      </c>
      <c r="D198" s="1" t="n">
        <v>866364</v>
      </c>
      <c r="E198" s="1" t="n">
        <v>0.07655</v>
      </c>
      <c r="G198" s="1" t="n">
        <v>0.025314808</v>
      </c>
      <c r="H198" s="1" t="n">
        <v>0.022204638</v>
      </c>
      <c r="I198" s="1" t="n">
        <v>0.020573854</v>
      </c>
      <c r="J198" s="1" t="n">
        <v>0.021348</v>
      </c>
      <c r="K198" s="1" t="n">
        <v>0.019288301</v>
      </c>
      <c r="L198" s="1" t="n">
        <v>0.031971693</v>
      </c>
      <c r="M198" s="1" t="n">
        <v>0.021934032</v>
      </c>
      <c r="N198" s="1" t="n">
        <v>0.023478985</v>
      </c>
      <c r="O198" s="1" t="n">
        <v>0.019191742</v>
      </c>
      <c r="P198" s="1" t="n">
        <v>0.021045446</v>
      </c>
      <c r="R198" s="1" t="n">
        <f aca="false">PERCENTILE(G198:P198,0.9)</f>
        <v>0.0259804965</v>
      </c>
      <c r="S198" s="5" t="n">
        <f aca="false">spmv_1!R$6/R198</f>
        <v>6.4754193823817</v>
      </c>
      <c r="T198" s="6" t="n">
        <f aca="false">S198/128</f>
        <v>0.0505892139248571</v>
      </c>
    </row>
    <row r="199" customFormat="false" ht="15" hidden="false" customHeight="false" outlineLevel="0" collapsed="false">
      <c r="A199" s="1" t="s">
        <v>16</v>
      </c>
      <c r="B199" s="1" t="n">
        <v>66</v>
      </c>
      <c r="D199" s="1" t="n">
        <v>866118</v>
      </c>
      <c r="E199" s="1" t="n">
        <v>0.078175</v>
      </c>
      <c r="G199" s="1" t="n">
        <v>0.025347948</v>
      </c>
      <c r="H199" s="1" t="n">
        <v>0.01915431</v>
      </c>
      <c r="I199" s="1" t="n">
        <v>0.021800756</v>
      </c>
      <c r="J199" s="1" t="n">
        <v>0.020921469</v>
      </c>
      <c r="K199" s="1" t="n">
        <v>0.018558264</v>
      </c>
      <c r="L199" s="1" t="n">
        <v>0.032579184</v>
      </c>
      <c r="M199" s="1" t="n">
        <v>0.01942277</v>
      </c>
      <c r="N199" s="1" t="n">
        <v>0.024745941</v>
      </c>
      <c r="O199" s="1" t="n">
        <v>0.019492865</v>
      </c>
      <c r="P199" s="1" t="n">
        <v>0.019562244</v>
      </c>
      <c r="R199" s="1" t="n">
        <f aca="false">PERCENTILE(G199:P199,0.9)</f>
        <v>0.0260710716</v>
      </c>
      <c r="S199" s="5" t="n">
        <f aca="false">spmv_1!R$6/R199</f>
        <v>6.45292273294973</v>
      </c>
      <c r="T199" s="6" t="n">
        <f aca="false">S199/128</f>
        <v>0.0504134588511698</v>
      </c>
    </row>
    <row r="200" customFormat="false" ht="15" hidden="false" customHeight="false" outlineLevel="0" collapsed="false">
      <c r="A200" s="1" t="s">
        <v>16</v>
      </c>
      <c r="B200" s="1" t="n">
        <v>67</v>
      </c>
      <c r="D200" s="1" t="n">
        <v>866118</v>
      </c>
      <c r="E200" s="1" t="n">
        <v>0.076305</v>
      </c>
      <c r="G200" s="1" t="n">
        <v>0.025482655</v>
      </c>
      <c r="H200" s="1" t="n">
        <v>0.022194862</v>
      </c>
      <c r="I200" s="1" t="n">
        <v>0.020631552</v>
      </c>
      <c r="J200" s="1" t="n">
        <v>0.021406174</v>
      </c>
      <c r="K200" s="1" t="n">
        <v>0.019377947</v>
      </c>
      <c r="L200" s="1" t="n">
        <v>0.032144547</v>
      </c>
      <c r="M200" s="1" t="n">
        <v>0.021890163</v>
      </c>
      <c r="N200" s="1" t="n">
        <v>0.023579597</v>
      </c>
      <c r="O200" s="1" t="n">
        <v>0.019284725</v>
      </c>
      <c r="P200" s="1" t="n">
        <v>0.021022081</v>
      </c>
      <c r="R200" s="1" t="n">
        <f aca="false">PERCENTILE(G200:P200,0.9)</f>
        <v>0.0261488442</v>
      </c>
      <c r="S200" s="5" t="n">
        <f aca="false">spmv_1!R$6/R200</f>
        <v>6.43373027554312</v>
      </c>
      <c r="T200" s="6" t="n">
        <f aca="false">S200/128</f>
        <v>0.0502635177776806</v>
      </c>
    </row>
    <row r="201" customFormat="false" ht="15" hidden="false" customHeight="false" outlineLevel="0" collapsed="false">
      <c r="A201" s="1" t="s">
        <v>16</v>
      </c>
      <c r="B201" s="1" t="n">
        <v>68</v>
      </c>
      <c r="D201" s="1" t="n">
        <v>865878</v>
      </c>
      <c r="E201" s="1" t="n">
        <v>0.077464</v>
      </c>
      <c r="G201" s="1" t="n">
        <v>0.025942326</v>
      </c>
      <c r="H201" s="1" t="n">
        <v>0.019347906</v>
      </c>
      <c r="I201" s="1" t="n">
        <v>0.021994591</v>
      </c>
      <c r="J201" s="1" t="n">
        <v>0.021801472</v>
      </c>
      <c r="K201" s="1" t="n">
        <v>0.018812418</v>
      </c>
      <c r="L201" s="1" t="n">
        <v>0.033013344</v>
      </c>
      <c r="M201" s="1" t="n">
        <v>0.019613266</v>
      </c>
      <c r="N201" s="1" t="n">
        <v>0.023958683</v>
      </c>
      <c r="O201" s="1" t="n">
        <v>0.019603252</v>
      </c>
      <c r="P201" s="1" t="n">
        <v>0.019469738</v>
      </c>
      <c r="R201" s="1" t="n">
        <f aca="false">PERCENTILE(G201:P201,0.9)</f>
        <v>0.0266494278</v>
      </c>
      <c r="S201" s="5" t="n">
        <f aca="false">spmv_1!R$6/R201</f>
        <v>6.312878905415</v>
      </c>
      <c r="T201" s="6" t="n">
        <f aca="false">S201/128</f>
        <v>0.0493193664485547</v>
      </c>
    </row>
    <row r="202" customFormat="false" ht="15" hidden="false" customHeight="false" outlineLevel="0" collapsed="false">
      <c r="A202" s="1" t="s">
        <v>16</v>
      </c>
      <c r="B202" s="1" t="n">
        <v>69</v>
      </c>
      <c r="D202" s="1" t="n">
        <v>865878</v>
      </c>
      <c r="E202" s="1" t="n">
        <v>0.07761</v>
      </c>
      <c r="G202" s="1" t="n">
        <v>0.025434732</v>
      </c>
      <c r="H202" s="1" t="n">
        <v>0.019165754</v>
      </c>
      <c r="I202" s="1" t="n">
        <v>0.021859646</v>
      </c>
      <c r="J202" s="1" t="n">
        <v>0.020890951</v>
      </c>
      <c r="K202" s="1" t="n">
        <v>0.018544912</v>
      </c>
      <c r="L202" s="1" t="n">
        <v>0.033766985</v>
      </c>
      <c r="M202" s="1" t="n">
        <v>0.019482613</v>
      </c>
      <c r="N202" s="1" t="n">
        <v>0.024811268</v>
      </c>
      <c r="O202" s="1" t="n">
        <v>0.019603491</v>
      </c>
      <c r="P202" s="1" t="n">
        <v>0.019575119</v>
      </c>
      <c r="R202" s="1" t="n">
        <f aca="false">PERCENTILE(G202:P202,0.9)</f>
        <v>0.0262679573</v>
      </c>
      <c r="S202" s="5" t="n">
        <f aca="false">spmv_1!R$6/R202</f>
        <v>6.40455626901754</v>
      </c>
      <c r="T202" s="6" t="n">
        <f aca="false">S202/128</f>
        <v>0.0500355958516995</v>
      </c>
    </row>
    <row r="203" customFormat="false" ht="15" hidden="false" customHeight="false" outlineLevel="0" collapsed="false">
      <c r="A203" s="1" t="s">
        <v>16</v>
      </c>
      <c r="B203" s="1" t="n">
        <v>70</v>
      </c>
      <c r="D203" s="1" t="n">
        <v>865684</v>
      </c>
      <c r="E203" s="1" t="n">
        <v>0.075639</v>
      </c>
      <c r="G203" s="1" t="n">
        <v>0.025420904</v>
      </c>
      <c r="H203" s="1" t="n">
        <v>0.022299767</v>
      </c>
      <c r="I203" s="1" t="n">
        <v>0.02070117</v>
      </c>
      <c r="J203" s="1" t="n">
        <v>0.021439552</v>
      </c>
      <c r="K203" s="1" t="n">
        <v>0.019343615</v>
      </c>
      <c r="L203" s="1" t="n">
        <v>0.033756495</v>
      </c>
      <c r="M203" s="1" t="n">
        <v>0.021918535</v>
      </c>
      <c r="N203" s="1" t="n">
        <v>0.023566246</v>
      </c>
      <c r="O203" s="1" t="n">
        <v>0.01934123</v>
      </c>
      <c r="P203" s="1" t="n">
        <v>0.021111488</v>
      </c>
      <c r="R203" s="1" t="n">
        <f aca="false">PERCENTILE(G203:P203,0.9)</f>
        <v>0.0262544631</v>
      </c>
      <c r="S203" s="5" t="n">
        <f aca="false">spmv_1!R$6/R203</f>
        <v>6.40784806603034</v>
      </c>
      <c r="T203" s="6" t="n">
        <f aca="false">S203/128</f>
        <v>0.0500613130158621</v>
      </c>
    </row>
    <row r="204" customFormat="false" ht="15" hidden="false" customHeight="false" outlineLevel="0" collapsed="false">
      <c r="A204" s="1" t="s">
        <v>16</v>
      </c>
      <c r="B204" s="1" t="n">
        <v>71</v>
      </c>
      <c r="D204" s="1" t="n">
        <v>865684</v>
      </c>
      <c r="E204" s="1" t="n">
        <v>0.077317</v>
      </c>
      <c r="G204" s="1" t="n">
        <v>0.025417566</v>
      </c>
      <c r="H204" s="1" t="n">
        <v>0.019229412</v>
      </c>
      <c r="I204" s="1" t="n">
        <v>0.021770954</v>
      </c>
      <c r="J204" s="1" t="n">
        <v>0.020943403</v>
      </c>
      <c r="K204" s="1" t="n">
        <v>0.018532276</v>
      </c>
      <c r="L204" s="1" t="n">
        <v>0.034870386</v>
      </c>
      <c r="M204" s="1" t="n">
        <v>0.019358397</v>
      </c>
      <c r="N204" s="1" t="n">
        <v>0.024704933</v>
      </c>
      <c r="O204" s="1" t="n">
        <v>0.019510984</v>
      </c>
      <c r="P204" s="1" t="n">
        <v>0.019593477</v>
      </c>
      <c r="R204" s="1" t="n">
        <f aca="false">PERCENTILE(G204:P204,0.9)</f>
        <v>0.026362848</v>
      </c>
      <c r="S204" s="5" t="n">
        <f aca="false">spmv_1!R$6/R204</f>
        <v>6.38150364482623</v>
      </c>
      <c r="T204" s="6" t="n">
        <f aca="false">S204/128</f>
        <v>0.049855497225205</v>
      </c>
    </row>
    <row r="205" customFormat="false" ht="15" hidden="false" customHeight="false" outlineLevel="0" collapsed="false">
      <c r="A205" s="1" t="s">
        <v>16</v>
      </c>
      <c r="B205" s="1" t="n">
        <v>72</v>
      </c>
      <c r="D205" s="1" t="n">
        <v>866466</v>
      </c>
      <c r="E205" s="1" t="n">
        <v>0.077378</v>
      </c>
      <c r="G205" s="1" t="n">
        <v>0.025601149</v>
      </c>
      <c r="H205" s="1" t="n">
        <v>0.019188881</v>
      </c>
      <c r="I205" s="1" t="n">
        <v>0.021775961</v>
      </c>
      <c r="J205" s="1" t="n">
        <v>0.020884991</v>
      </c>
      <c r="K205" s="1" t="n">
        <v>0.018472433</v>
      </c>
      <c r="L205" s="1" t="n">
        <v>0.035203695</v>
      </c>
      <c r="M205" s="1" t="n">
        <v>0.019301653</v>
      </c>
      <c r="N205" s="1" t="n">
        <v>0.024660826</v>
      </c>
      <c r="O205" s="1" t="n">
        <v>0.019502878</v>
      </c>
      <c r="P205" s="1" t="n">
        <v>0.019363403</v>
      </c>
      <c r="R205" s="1" t="n">
        <f aca="false">PERCENTILE(G205:P205,0.9)</f>
        <v>0.0265614036</v>
      </c>
      <c r="S205" s="5" t="n">
        <f aca="false">spmv_1!R$6/R205</f>
        <v>6.33379971681918</v>
      </c>
      <c r="T205" s="6" t="n">
        <f aca="false">S205/128</f>
        <v>0.0494828102876499</v>
      </c>
    </row>
    <row r="206" customFormat="false" ht="15" hidden="false" customHeight="false" outlineLevel="0" collapsed="false">
      <c r="A206" s="1" t="s">
        <v>16</v>
      </c>
      <c r="B206" s="1" t="n">
        <v>73</v>
      </c>
      <c r="D206" s="1" t="n">
        <v>866466</v>
      </c>
      <c r="E206" s="1" t="n">
        <v>0.077122</v>
      </c>
      <c r="G206" s="1" t="n">
        <v>0.025637865</v>
      </c>
      <c r="H206" s="1" t="n">
        <v>0.019262314</v>
      </c>
      <c r="I206" s="1" t="n">
        <v>0.022025347</v>
      </c>
      <c r="J206" s="1" t="n">
        <v>0.021676779</v>
      </c>
      <c r="K206" s="1" t="n">
        <v>0.018589973</v>
      </c>
      <c r="L206" s="1" t="n">
        <v>0.035265684</v>
      </c>
      <c r="M206" s="1" t="n">
        <v>0.019450903</v>
      </c>
      <c r="N206" s="1" t="n">
        <v>0.023823738</v>
      </c>
      <c r="O206" s="1" t="n">
        <v>0.019563198</v>
      </c>
      <c r="P206" s="1" t="n">
        <v>0.019403219</v>
      </c>
      <c r="R206" s="1" t="n">
        <f aca="false">PERCENTILE(G206:P206,0.9)</f>
        <v>0.0266006469</v>
      </c>
      <c r="S206" s="5" t="n">
        <f aca="false">spmv_1!R$6/R206</f>
        <v>6.32445561314526</v>
      </c>
      <c r="T206" s="6" t="n">
        <f aca="false">S206/128</f>
        <v>0.0494098094776973</v>
      </c>
    </row>
    <row r="207" customFormat="false" ht="15" hidden="false" customHeight="false" outlineLevel="0" collapsed="false">
      <c r="A207" s="1" t="s">
        <v>16</v>
      </c>
      <c r="B207" s="1" t="n">
        <v>74</v>
      </c>
      <c r="D207" s="1" t="n">
        <v>866286</v>
      </c>
      <c r="E207" s="1" t="n">
        <v>0.075912</v>
      </c>
      <c r="G207" s="1" t="n">
        <v>0.027030706</v>
      </c>
      <c r="H207" s="1" t="n">
        <v>0.019826651</v>
      </c>
      <c r="I207" s="1" t="n">
        <v>0.021689653</v>
      </c>
      <c r="J207" s="1" t="n">
        <v>0.021713257</v>
      </c>
      <c r="K207" s="1" t="n">
        <v>0.018895864</v>
      </c>
      <c r="L207" s="1" t="n">
        <v>0.036102772</v>
      </c>
      <c r="M207" s="1" t="n">
        <v>0.020095348</v>
      </c>
      <c r="N207" s="1" t="n">
        <v>0.024202347</v>
      </c>
      <c r="O207" s="1" t="n">
        <v>0.019221306</v>
      </c>
      <c r="P207" s="1" t="n">
        <v>0.019455433</v>
      </c>
      <c r="R207" s="1" t="n">
        <f aca="false">PERCENTILE(G207:P207,0.9)</f>
        <v>0.0279379126</v>
      </c>
      <c r="S207" s="5" t="n">
        <f aca="false">spmv_1!R$6/R207</f>
        <v>6.02173158061923</v>
      </c>
      <c r="T207" s="6" t="n">
        <f aca="false">S207/128</f>
        <v>0.0470447779735878</v>
      </c>
    </row>
    <row r="208" customFormat="false" ht="15" hidden="false" customHeight="false" outlineLevel="0" collapsed="false">
      <c r="A208" s="1" t="s">
        <v>16</v>
      </c>
      <c r="B208" s="1" t="n">
        <v>75</v>
      </c>
      <c r="D208" s="1" t="n">
        <v>866286</v>
      </c>
      <c r="E208" s="1" t="n">
        <v>0.076982</v>
      </c>
      <c r="G208" s="1" t="n">
        <v>0.0254004</v>
      </c>
      <c r="H208" s="1" t="n">
        <v>0.018913269</v>
      </c>
      <c r="I208" s="1" t="n">
        <v>0.021877766</v>
      </c>
      <c r="J208" s="1" t="n">
        <v>0.020763397</v>
      </c>
      <c r="K208" s="1" t="n">
        <v>0.018313646</v>
      </c>
      <c r="L208" s="1" t="n">
        <v>0.036748886</v>
      </c>
      <c r="M208" s="1" t="n">
        <v>0.019460678</v>
      </c>
      <c r="N208" s="1" t="n">
        <v>0.024566889</v>
      </c>
      <c r="O208" s="1" t="n">
        <v>0.019529343</v>
      </c>
      <c r="P208" s="1" t="n">
        <v>0.019488573</v>
      </c>
      <c r="R208" s="1" t="n">
        <f aca="false">PERCENTILE(G208:P208,0.9)</f>
        <v>0.0265352486</v>
      </c>
      <c r="S208" s="5" t="n">
        <f aca="false">spmv_1!R$6/R208</f>
        <v>6.34004275354707</v>
      </c>
      <c r="T208" s="6" t="n">
        <f aca="false">S208/128</f>
        <v>0.0495315840120865</v>
      </c>
    </row>
    <row r="209" customFormat="false" ht="15" hidden="false" customHeight="false" outlineLevel="0" collapsed="false">
      <c r="A209" s="1" t="s">
        <v>16</v>
      </c>
      <c r="B209" s="1" t="n">
        <v>76</v>
      </c>
      <c r="D209" s="1" t="n">
        <v>866372</v>
      </c>
      <c r="E209" s="1" t="n">
        <v>0.076846</v>
      </c>
      <c r="G209" s="1" t="n">
        <v>0.025370836</v>
      </c>
      <c r="H209" s="1" t="n">
        <v>0.018998146</v>
      </c>
      <c r="I209" s="1" t="n">
        <v>0.021872044</v>
      </c>
      <c r="J209" s="1" t="n">
        <v>0.020715714</v>
      </c>
      <c r="K209" s="1" t="n">
        <v>0.018385649</v>
      </c>
      <c r="L209" s="1" t="n">
        <v>0.037055731</v>
      </c>
      <c r="M209" s="1" t="n">
        <v>0.019383669</v>
      </c>
      <c r="N209" s="1" t="n">
        <v>0.0245893</v>
      </c>
      <c r="O209" s="1" t="n">
        <v>0.019458532</v>
      </c>
      <c r="P209" s="1" t="n">
        <v>0.019653082</v>
      </c>
      <c r="R209" s="1" t="n">
        <f aca="false">PERCENTILE(G209:P209,0.9)</f>
        <v>0.0265393255</v>
      </c>
      <c r="S209" s="5" t="n">
        <f aca="false">spmv_1!R$6/R209</f>
        <v>6.33906881318442</v>
      </c>
      <c r="T209" s="6" t="n">
        <f aca="false">S209/128</f>
        <v>0.0495239751030033</v>
      </c>
    </row>
    <row r="210" customFormat="false" ht="15" hidden="false" customHeight="false" outlineLevel="0" collapsed="false">
      <c r="A210" s="1" t="s">
        <v>16</v>
      </c>
      <c r="B210" s="1" t="n">
        <v>77</v>
      </c>
      <c r="D210" s="1" t="n">
        <v>866372</v>
      </c>
      <c r="E210" s="1" t="n">
        <v>0.07514</v>
      </c>
      <c r="G210" s="1" t="n">
        <v>0.025236607</v>
      </c>
      <c r="H210" s="1" t="n">
        <v>0.022048235</v>
      </c>
      <c r="I210" s="1" t="n">
        <v>0.020706892</v>
      </c>
      <c r="J210" s="1" t="n">
        <v>0.021275759</v>
      </c>
      <c r="K210" s="1" t="n">
        <v>0.019064903</v>
      </c>
      <c r="L210" s="1" t="n">
        <v>0.037016869</v>
      </c>
      <c r="M210" s="1" t="n">
        <v>0.021781921</v>
      </c>
      <c r="N210" s="1" t="n">
        <v>0.023357391</v>
      </c>
      <c r="O210" s="1" t="n">
        <v>0.019150972</v>
      </c>
      <c r="P210" s="1" t="n">
        <v>0.020962</v>
      </c>
      <c r="R210" s="1" t="n">
        <f aca="false">PERCENTILE(G210:P210,0.9)</f>
        <v>0.0264146332</v>
      </c>
      <c r="S210" s="5" t="n">
        <f aca="false">spmv_1!R$6/R210</f>
        <v>6.36899287323816</v>
      </c>
      <c r="T210" s="6" t="n">
        <f aca="false">S210/128</f>
        <v>0.0497577568221731</v>
      </c>
    </row>
    <row r="211" customFormat="false" ht="15" hidden="false" customHeight="false" outlineLevel="0" collapsed="false">
      <c r="A211" s="1" t="s">
        <v>16</v>
      </c>
      <c r="B211" s="1" t="n">
        <v>78</v>
      </c>
      <c r="D211" s="1" t="n">
        <v>866260</v>
      </c>
      <c r="E211" s="1" t="n">
        <v>0.076777</v>
      </c>
      <c r="G211" s="1" t="n">
        <v>0.025447845</v>
      </c>
      <c r="H211" s="1" t="n">
        <v>0.019046545</v>
      </c>
      <c r="I211" s="1" t="n">
        <v>0.021814346</v>
      </c>
      <c r="J211" s="1" t="n">
        <v>0.020755053</v>
      </c>
      <c r="K211" s="1" t="n">
        <v>0.018452406</v>
      </c>
      <c r="L211" s="1" t="n">
        <v>0.037656784</v>
      </c>
      <c r="M211" s="1" t="n">
        <v>0.019259691</v>
      </c>
      <c r="N211" s="1" t="n">
        <v>0.024473429</v>
      </c>
      <c r="O211" s="1" t="n">
        <v>0.019320726</v>
      </c>
      <c r="P211" s="1" t="n">
        <v>0.019429684</v>
      </c>
      <c r="R211" s="1" t="n">
        <f aca="false">PERCENTILE(G211:P211,0.9)</f>
        <v>0.0266687389</v>
      </c>
      <c r="S211" s="5" t="n">
        <f aca="false">spmv_1!R$6/R211</f>
        <v>6.30830768679505</v>
      </c>
      <c r="T211" s="6" t="n">
        <f aca="false">S211/128</f>
        <v>0.0492836538030863</v>
      </c>
    </row>
    <row r="212" customFormat="false" ht="15" hidden="false" customHeight="false" outlineLevel="0" collapsed="false">
      <c r="A212" s="1" t="s">
        <v>16</v>
      </c>
      <c r="B212" s="1" t="n">
        <v>79</v>
      </c>
      <c r="D212" s="1" t="n">
        <v>866260</v>
      </c>
      <c r="E212" s="1" t="n">
        <v>0.072182</v>
      </c>
      <c r="G212" s="1" t="n">
        <v>0.0256598</v>
      </c>
      <c r="H212" s="1" t="n">
        <v>0.018959522</v>
      </c>
      <c r="I212" s="1" t="n">
        <v>0.021882772</v>
      </c>
      <c r="J212" s="1" t="n">
        <v>0.021505833</v>
      </c>
      <c r="K212" s="1" t="n">
        <v>0.018710613</v>
      </c>
      <c r="L212" s="1" t="n">
        <v>0.051800013</v>
      </c>
      <c r="M212" s="1" t="n">
        <v>0.019253969</v>
      </c>
      <c r="N212" s="1" t="n">
        <v>0.023574591</v>
      </c>
      <c r="O212" s="1" t="n">
        <v>0.019384146</v>
      </c>
      <c r="P212" s="1" t="n">
        <v>0.019289732</v>
      </c>
      <c r="R212" s="1" t="n">
        <f aca="false">PERCENTILE(G212:P212,0.9)</f>
        <v>0.0282738213</v>
      </c>
      <c r="S212" s="5" t="n">
        <f aca="false">spmv_1!R$6/R212</f>
        <v>5.95019006504084</v>
      </c>
      <c r="T212" s="6" t="n">
        <f aca="false">S212/128</f>
        <v>0.0464858598831316</v>
      </c>
    </row>
    <row r="213" customFormat="false" ht="15" hidden="false" customHeight="false" outlineLevel="0" collapsed="false">
      <c r="A213" s="1" t="s">
        <v>16</v>
      </c>
      <c r="B213" s="1" t="n">
        <v>80</v>
      </c>
      <c r="D213" s="1" t="n">
        <v>866306</v>
      </c>
      <c r="E213" s="1" t="n">
        <v>0.076926</v>
      </c>
      <c r="G213" s="1" t="n">
        <v>0.025408983</v>
      </c>
      <c r="H213" s="1" t="n">
        <v>0.018638611</v>
      </c>
      <c r="I213" s="1" t="n">
        <v>0.021782398</v>
      </c>
      <c r="J213" s="1" t="n">
        <v>0.020642281</v>
      </c>
      <c r="K213" s="1" t="n">
        <v>0.018453598</v>
      </c>
      <c r="L213" s="1" t="n">
        <v>0.03820014</v>
      </c>
      <c r="M213" s="1" t="n">
        <v>0.01906085</v>
      </c>
      <c r="N213" s="1" t="n">
        <v>0.024388552</v>
      </c>
      <c r="O213" s="1" t="n">
        <v>0.019284487</v>
      </c>
      <c r="P213" s="1" t="n">
        <v>0.019370317</v>
      </c>
      <c r="R213" s="1" t="n">
        <f aca="false">PERCENTILE(G213:P213,0.9)</f>
        <v>0.0266880987</v>
      </c>
      <c r="S213" s="5" t="n">
        <f aca="false">spmv_1!R$6/R213</f>
        <v>6.30373158054905</v>
      </c>
      <c r="T213" s="6" t="n">
        <f aca="false">S213/128</f>
        <v>0.0492479029730395</v>
      </c>
    </row>
    <row r="214" customFormat="false" ht="15" hidden="false" customHeight="false" outlineLevel="0" collapsed="false">
      <c r="A214" s="1" t="s">
        <v>16</v>
      </c>
      <c r="B214" s="1" t="n">
        <v>81</v>
      </c>
      <c r="D214" s="1" t="n">
        <v>866306</v>
      </c>
      <c r="E214" s="1" t="n">
        <v>0.075564</v>
      </c>
      <c r="G214" s="1" t="n">
        <v>0.026884794</v>
      </c>
      <c r="H214" s="1" t="n">
        <v>0.019665003</v>
      </c>
      <c r="I214" s="1" t="n">
        <v>0.02167964</v>
      </c>
      <c r="J214" s="1" t="n">
        <v>0.021531105</v>
      </c>
      <c r="K214" s="1" t="n">
        <v>0.019090414</v>
      </c>
      <c r="L214" s="1" t="n">
        <v>0.037896872</v>
      </c>
      <c r="M214" s="1" t="n">
        <v>0.020041227</v>
      </c>
      <c r="N214" s="1" t="n">
        <v>0.024088383</v>
      </c>
      <c r="O214" s="1" t="n">
        <v>0.018994808</v>
      </c>
      <c r="P214" s="1" t="n">
        <v>0.019418001</v>
      </c>
      <c r="R214" s="1" t="n">
        <f aca="false">PERCENTILE(G214:P214,0.9)</f>
        <v>0.0279860018</v>
      </c>
      <c r="S214" s="5" t="n">
        <f aca="false">spmv_1!R$6/R214</f>
        <v>6.01138425568171</v>
      </c>
      <c r="T214" s="6" t="n">
        <f aca="false">S214/128</f>
        <v>0.0469639394975134</v>
      </c>
    </row>
    <row r="215" customFormat="false" ht="15" hidden="false" customHeight="false" outlineLevel="0" collapsed="false">
      <c r="A215" s="1" t="s">
        <v>16</v>
      </c>
      <c r="B215" s="1" t="n">
        <v>82</v>
      </c>
      <c r="D215" s="1" t="n">
        <v>866138</v>
      </c>
      <c r="E215" s="1" t="n">
        <v>0.075843</v>
      </c>
      <c r="G215" s="1" t="n">
        <v>0.026887655</v>
      </c>
      <c r="H215" s="1" t="n">
        <v>0.019635677</v>
      </c>
      <c r="I215" s="1" t="n">
        <v>0.021620512</v>
      </c>
      <c r="J215" s="1" t="n">
        <v>0.021507978</v>
      </c>
      <c r="K215" s="1" t="n">
        <v>0.0190835</v>
      </c>
      <c r="L215" s="1" t="n">
        <v>0.037402391</v>
      </c>
      <c r="M215" s="1" t="n">
        <v>0.020022154</v>
      </c>
      <c r="N215" s="1" t="n">
        <v>0.023944378</v>
      </c>
      <c r="O215" s="1" t="n">
        <v>0.018923998</v>
      </c>
      <c r="P215" s="1" t="n">
        <v>0.019374371</v>
      </c>
      <c r="R215" s="1" t="n">
        <f aca="false">PERCENTILE(G215:P215,0.9)</f>
        <v>0.0279391286</v>
      </c>
      <c r="S215" s="5" t="n">
        <f aca="false">spmv_1!R$6/R215</f>
        <v>6.02146949565206</v>
      </c>
      <c r="T215" s="6" t="n">
        <f aca="false">S215/128</f>
        <v>0.0470427304347817</v>
      </c>
    </row>
    <row r="216" customFormat="false" ht="15" hidden="false" customHeight="false" outlineLevel="0" collapsed="false">
      <c r="A216" s="1" t="s">
        <v>16</v>
      </c>
      <c r="B216" s="1" t="n">
        <v>83</v>
      </c>
      <c r="D216" s="1" t="n">
        <v>866138</v>
      </c>
      <c r="E216" s="1" t="n">
        <v>0.075513</v>
      </c>
      <c r="G216" s="1" t="n">
        <v>0.025342226</v>
      </c>
      <c r="H216" s="1" t="n">
        <v>0.021841526</v>
      </c>
      <c r="I216" s="1" t="n">
        <v>0.020563602</v>
      </c>
      <c r="J216" s="1" t="n">
        <v>0.021215916</v>
      </c>
      <c r="K216" s="1" t="n">
        <v>0.019288063</v>
      </c>
      <c r="L216" s="1" t="n">
        <v>0.036592245</v>
      </c>
      <c r="M216" s="1" t="n">
        <v>0.021625519</v>
      </c>
      <c r="N216" s="1" t="n">
        <v>0.023072243</v>
      </c>
      <c r="O216" s="1" t="n">
        <v>0.018921852</v>
      </c>
      <c r="P216" s="1" t="n">
        <v>0.020938396</v>
      </c>
      <c r="R216" s="1" t="n">
        <f aca="false">PERCENTILE(G216:P216,0.9)</f>
        <v>0.0264672279</v>
      </c>
      <c r="S216" s="5" t="n">
        <f aca="false">spmv_1!R$6/R216</f>
        <v>6.35633664528955</v>
      </c>
      <c r="T216" s="6" t="n">
        <f aca="false">S216/128</f>
        <v>0.0496588800413246</v>
      </c>
    </row>
    <row r="217" customFormat="false" ht="15" hidden="false" customHeight="false" outlineLevel="0" collapsed="false">
      <c r="A217" s="1" t="s">
        <v>16</v>
      </c>
      <c r="B217" s="1" t="n">
        <v>84</v>
      </c>
      <c r="D217" s="1" t="n">
        <v>865950</v>
      </c>
      <c r="E217" s="1" t="n">
        <v>0.07599</v>
      </c>
      <c r="G217" s="1" t="n">
        <v>0.026898623</v>
      </c>
      <c r="H217" s="1" t="n">
        <v>0.019692659</v>
      </c>
      <c r="I217" s="1" t="n">
        <v>0.021557093</v>
      </c>
      <c r="J217" s="1" t="n">
        <v>0.021580935</v>
      </c>
      <c r="K217" s="1" t="n">
        <v>0.019183159</v>
      </c>
      <c r="L217" s="1" t="n">
        <v>0.036833763</v>
      </c>
      <c r="M217" s="1" t="n">
        <v>0.020003796</v>
      </c>
      <c r="N217" s="1" t="n">
        <v>0.023788452</v>
      </c>
      <c r="O217" s="1" t="n">
        <v>0.018923998</v>
      </c>
      <c r="P217" s="1" t="n">
        <v>0.019450426</v>
      </c>
      <c r="R217" s="1" t="n">
        <f aca="false">PERCENTILE(G217:P217,0.9)</f>
        <v>0.027892137</v>
      </c>
      <c r="S217" s="5" t="n">
        <f aca="false">spmv_1!R$6/R217</f>
        <v>6.0316142359404</v>
      </c>
      <c r="T217" s="6" t="n">
        <f aca="false">S217/128</f>
        <v>0.0471219862182844</v>
      </c>
    </row>
    <row r="218" customFormat="false" ht="15" hidden="false" customHeight="false" outlineLevel="0" collapsed="false">
      <c r="A218" s="1" t="s">
        <v>16</v>
      </c>
      <c r="B218" s="1" t="n">
        <v>85</v>
      </c>
      <c r="D218" s="1" t="n">
        <v>865950</v>
      </c>
      <c r="E218" s="1" t="n">
        <v>0.075908</v>
      </c>
      <c r="G218" s="1" t="n">
        <v>0.025380135</v>
      </c>
      <c r="H218" s="1" t="n">
        <v>0.021844387</v>
      </c>
      <c r="I218" s="1" t="n">
        <v>0.020529032</v>
      </c>
      <c r="J218" s="1" t="n">
        <v>0.021246672</v>
      </c>
      <c r="K218" s="1" t="n">
        <v>0.019390583</v>
      </c>
      <c r="L218" s="1" t="n">
        <v>0.035491943</v>
      </c>
      <c r="M218" s="1" t="n">
        <v>0.021651983</v>
      </c>
      <c r="N218" s="1" t="n">
        <v>0.022927999</v>
      </c>
      <c r="O218" s="1" t="n">
        <v>0.018721581</v>
      </c>
      <c r="P218" s="1" t="n">
        <v>0.020972729</v>
      </c>
      <c r="R218" s="1" t="n">
        <f aca="false">PERCENTILE(G218:P218,0.9)</f>
        <v>0.0263913158</v>
      </c>
      <c r="S218" s="5" t="n">
        <f aca="false">spmv_1!R$6/R218</f>
        <v>6.37462004073325</v>
      </c>
      <c r="T218" s="6" t="n">
        <f aca="false">S218/128</f>
        <v>0.0498017190682285</v>
      </c>
    </row>
    <row r="219" customFormat="false" ht="15" hidden="false" customHeight="false" outlineLevel="0" collapsed="false">
      <c r="A219" s="1" t="s">
        <v>16</v>
      </c>
      <c r="B219" s="1" t="n">
        <v>86</v>
      </c>
      <c r="D219" s="1" t="n">
        <v>866326</v>
      </c>
      <c r="E219" s="1" t="n">
        <v>0.076516</v>
      </c>
      <c r="G219" s="1" t="n">
        <v>0.027014017</v>
      </c>
      <c r="H219" s="1" t="n">
        <v>0.019696951</v>
      </c>
      <c r="I219" s="1" t="n">
        <v>0.02156806</v>
      </c>
      <c r="J219" s="1" t="n">
        <v>0.021600962</v>
      </c>
      <c r="K219" s="1" t="n">
        <v>0.019174814</v>
      </c>
      <c r="L219" s="1" t="n">
        <v>0.035513163</v>
      </c>
      <c r="M219" s="1" t="n">
        <v>0.019994259</v>
      </c>
      <c r="N219" s="1" t="n">
        <v>0.023686886</v>
      </c>
      <c r="O219" s="1" t="n">
        <v>0.018764019</v>
      </c>
      <c r="P219" s="1" t="n">
        <v>0.019431114</v>
      </c>
      <c r="R219" s="1" t="n">
        <f aca="false">PERCENTILE(G219:P219,0.9)</f>
        <v>0.0278639316</v>
      </c>
      <c r="S219" s="5" t="n">
        <f aca="false">spmv_1!R$6/R219</f>
        <v>6.03771976672524</v>
      </c>
      <c r="T219" s="6" t="n">
        <f aca="false">S219/128</f>
        <v>0.0471696856775409</v>
      </c>
    </row>
    <row r="220" customFormat="false" ht="15" hidden="false" customHeight="false" outlineLevel="0" collapsed="false">
      <c r="A220" s="1" t="s">
        <v>16</v>
      </c>
      <c r="B220" s="1" t="n">
        <v>87</v>
      </c>
      <c r="D220" s="1" t="n">
        <v>866326</v>
      </c>
      <c r="E220" s="1" t="n">
        <v>0.077751</v>
      </c>
      <c r="G220" s="1" t="n">
        <v>0.025797844</v>
      </c>
      <c r="H220" s="1" t="n">
        <v>0.018944979</v>
      </c>
      <c r="I220" s="1" t="n">
        <v>0.021709442</v>
      </c>
      <c r="J220" s="1" t="n">
        <v>0.021496058</v>
      </c>
      <c r="K220" s="1" t="n">
        <v>0.01876235</v>
      </c>
      <c r="L220" s="1" t="n">
        <v>0.034890175</v>
      </c>
      <c r="M220" s="1" t="n">
        <v>0.019286394</v>
      </c>
      <c r="N220" s="1" t="n">
        <v>0.023294449</v>
      </c>
      <c r="O220" s="1" t="n">
        <v>0.019275665</v>
      </c>
      <c r="P220" s="1" t="n">
        <v>0.01938796</v>
      </c>
      <c r="R220" s="1" t="n">
        <f aca="false">PERCENTILE(G220:P220,0.9)</f>
        <v>0.0267070771</v>
      </c>
      <c r="S220" s="5" t="n">
        <f aca="false">spmv_1!R$6/R220</f>
        <v>6.29925206603758</v>
      </c>
      <c r="T220" s="6" t="n">
        <f aca="false">S220/128</f>
        <v>0.0492129067659186</v>
      </c>
    </row>
    <row r="221" customFormat="false" ht="15" hidden="false" customHeight="false" outlineLevel="0" collapsed="false">
      <c r="A221" s="1" t="s">
        <v>16</v>
      </c>
      <c r="B221" s="1" t="n">
        <v>88</v>
      </c>
      <c r="D221" s="1" t="n">
        <v>866332</v>
      </c>
      <c r="E221" s="1" t="n">
        <v>0.077871</v>
      </c>
      <c r="G221" s="1" t="n">
        <v>0.025798082</v>
      </c>
      <c r="H221" s="1" t="n">
        <v>0.018880367</v>
      </c>
      <c r="I221" s="1" t="n">
        <v>0.021640539</v>
      </c>
      <c r="J221" s="1" t="n">
        <v>0.021518707</v>
      </c>
      <c r="K221" s="1" t="n">
        <v>0.018737078</v>
      </c>
      <c r="L221" s="1" t="n">
        <v>0.034683228</v>
      </c>
      <c r="M221" s="1" t="n">
        <v>0.019229174</v>
      </c>
      <c r="N221" s="1" t="n">
        <v>0.023282766</v>
      </c>
      <c r="O221" s="1" t="n">
        <v>0.019345999</v>
      </c>
      <c r="P221" s="1" t="n">
        <v>0.019387722</v>
      </c>
      <c r="R221" s="1" t="n">
        <f aca="false">PERCENTILE(G221:P221,0.9)</f>
        <v>0.0266865966</v>
      </c>
      <c r="S221" s="5" t="n">
        <f aca="false">spmv_1!R$6/R221</f>
        <v>6.30408639668949</v>
      </c>
      <c r="T221" s="6" t="n">
        <f aca="false">S221/128</f>
        <v>0.0492506749741367</v>
      </c>
    </row>
    <row r="222" customFormat="false" ht="15" hidden="false" customHeight="false" outlineLevel="0" collapsed="false">
      <c r="A222" s="1" t="s">
        <v>16</v>
      </c>
      <c r="B222" s="1" t="n">
        <v>89</v>
      </c>
      <c r="D222" s="1" t="n">
        <v>866332</v>
      </c>
      <c r="E222" s="1" t="n">
        <v>0.077244</v>
      </c>
      <c r="G222" s="1" t="n">
        <v>0.026786327</v>
      </c>
      <c r="H222" s="1" t="n">
        <v>0.019525766</v>
      </c>
      <c r="I222" s="1" t="n">
        <v>0.021433353</v>
      </c>
      <c r="J222" s="1" t="n">
        <v>0.021512985</v>
      </c>
      <c r="K222" s="1" t="n">
        <v>0.019119501</v>
      </c>
      <c r="L222" s="1" t="n">
        <v>0.034323454</v>
      </c>
      <c r="M222" s="1" t="n">
        <v>0.01991272</v>
      </c>
      <c r="N222" s="1" t="n">
        <v>0.023527861</v>
      </c>
      <c r="O222" s="1" t="n">
        <v>0.018915892</v>
      </c>
      <c r="P222" s="1" t="n">
        <v>0.019251347</v>
      </c>
      <c r="R222" s="1" t="n">
        <f aca="false">PERCENTILE(G222:P222,0.9)</f>
        <v>0.0275400397</v>
      </c>
      <c r="S222" s="5" t="n">
        <f aca="false">spmv_1!R$6/R222</f>
        <v>6.10872796236383</v>
      </c>
      <c r="T222" s="6" t="n">
        <f aca="false">S222/128</f>
        <v>0.0477244372059674</v>
      </c>
    </row>
    <row r="223" customFormat="false" ht="15" hidden="false" customHeight="false" outlineLevel="0" collapsed="false">
      <c r="A223" s="1" t="s">
        <v>16</v>
      </c>
      <c r="B223" s="1" t="n">
        <v>90</v>
      </c>
      <c r="D223" s="1" t="n">
        <v>866284</v>
      </c>
      <c r="E223" s="1" t="n">
        <v>0.078361</v>
      </c>
      <c r="G223" s="1" t="n">
        <v>0.025830269</v>
      </c>
      <c r="H223" s="1" t="n">
        <v>0.018700838</v>
      </c>
      <c r="I223" s="1" t="n">
        <v>0.021717548</v>
      </c>
      <c r="J223" s="1" t="n">
        <v>0.021379709</v>
      </c>
      <c r="K223" s="1" t="n">
        <v>0.018790245</v>
      </c>
      <c r="L223" s="1" t="n">
        <v>0.033746958</v>
      </c>
      <c r="M223" s="1" t="n">
        <v>0.019227028</v>
      </c>
      <c r="N223" s="1" t="n">
        <v>0.023127794</v>
      </c>
      <c r="O223" s="1" t="n">
        <v>0.019376755</v>
      </c>
      <c r="P223" s="1" t="n">
        <v>0.019203424</v>
      </c>
      <c r="R223" s="1" t="n">
        <f aca="false">PERCENTILE(G223:P223,0.9)</f>
        <v>0.0266219379</v>
      </c>
      <c r="S223" s="5" t="n">
        <f aca="false">spmv_1!R$6/R223</f>
        <v>6.31939760478519</v>
      </c>
      <c r="T223" s="6" t="n">
        <f aca="false">S223/128</f>
        <v>0.0493702937873843</v>
      </c>
    </row>
    <row r="224" customFormat="false" ht="15" hidden="false" customHeight="false" outlineLevel="0" collapsed="false">
      <c r="A224" s="1" t="s">
        <v>16</v>
      </c>
      <c r="B224" s="1" t="n">
        <v>91</v>
      </c>
      <c r="D224" s="1" t="n">
        <v>866284</v>
      </c>
      <c r="E224" s="1" t="n">
        <v>0.077684</v>
      </c>
      <c r="G224" s="1" t="n">
        <v>0.027010202</v>
      </c>
      <c r="H224" s="1" t="n">
        <v>0.019413471</v>
      </c>
      <c r="I224" s="1" t="n">
        <v>0.021463871</v>
      </c>
      <c r="J224" s="1" t="n">
        <v>0.021482229</v>
      </c>
      <c r="K224" s="1" t="n">
        <v>0.019150019</v>
      </c>
      <c r="L224" s="1" t="n">
        <v>0.032992363</v>
      </c>
      <c r="M224" s="1" t="n">
        <v>0.019908667</v>
      </c>
      <c r="N224" s="1" t="n">
        <v>0.023491621</v>
      </c>
      <c r="O224" s="1" t="n">
        <v>0.018950224</v>
      </c>
      <c r="P224" s="1" t="n">
        <v>0.019164562</v>
      </c>
      <c r="R224" s="1" t="n">
        <f aca="false">PERCENTILE(G224:P224,0.9)</f>
        <v>0.0276084181</v>
      </c>
      <c r="S224" s="5" t="n">
        <f aca="false">spmv_1!R$6/R224</f>
        <v>6.0935983362263</v>
      </c>
      <c r="T224" s="6" t="n">
        <f aca="false">S224/128</f>
        <v>0.047606237001768</v>
      </c>
    </row>
    <row r="225" customFormat="false" ht="15" hidden="false" customHeight="false" outlineLevel="0" collapsed="false">
      <c r="A225" s="1" t="s">
        <v>16</v>
      </c>
      <c r="B225" s="1" t="n">
        <v>92</v>
      </c>
      <c r="D225" s="1" t="n">
        <v>866428</v>
      </c>
      <c r="E225" s="1" t="n">
        <v>0.079366</v>
      </c>
      <c r="G225" s="1" t="n">
        <v>0.025662184</v>
      </c>
      <c r="H225" s="1" t="n">
        <v>0.018573523</v>
      </c>
      <c r="I225" s="1" t="n">
        <v>0.021326303</v>
      </c>
      <c r="J225" s="1" t="n">
        <v>0.021342039</v>
      </c>
      <c r="K225" s="1" t="n">
        <v>0.018618584</v>
      </c>
      <c r="L225" s="1" t="n">
        <v>0.032376051</v>
      </c>
      <c r="M225" s="1" t="n">
        <v>0.019078493</v>
      </c>
      <c r="N225" s="1" t="n">
        <v>0.022995472</v>
      </c>
      <c r="O225" s="1" t="n">
        <v>0.019274473</v>
      </c>
      <c r="P225" s="1" t="n">
        <v>0.019090652</v>
      </c>
      <c r="R225" s="1" t="n">
        <f aca="false">PERCENTILE(G225:P225,0.9)</f>
        <v>0.0263335707</v>
      </c>
      <c r="S225" s="5" t="n">
        <f aca="false">spmv_1!R$6/R225</f>
        <v>6.3885985123924</v>
      </c>
      <c r="T225" s="6" t="n">
        <f aca="false">S225/128</f>
        <v>0.0499109258780656</v>
      </c>
    </row>
    <row r="226" customFormat="false" ht="15" hidden="false" customHeight="false" outlineLevel="0" collapsed="false">
      <c r="A226" s="1" t="s">
        <v>16</v>
      </c>
      <c r="B226" s="1" t="n">
        <v>93</v>
      </c>
      <c r="D226" s="1" t="n">
        <v>866428</v>
      </c>
      <c r="E226" s="1" t="n">
        <v>0.079511</v>
      </c>
      <c r="G226" s="1" t="n">
        <v>0.025668621</v>
      </c>
      <c r="H226" s="1" t="n">
        <v>0.018580914</v>
      </c>
      <c r="I226" s="1" t="n">
        <v>0.021426439</v>
      </c>
      <c r="J226" s="1" t="n">
        <v>0.021328211</v>
      </c>
      <c r="K226" s="1" t="n">
        <v>0.01863265</v>
      </c>
      <c r="L226" s="1" t="n">
        <v>0.032108784</v>
      </c>
      <c r="M226" s="1" t="n">
        <v>0.019038677</v>
      </c>
      <c r="N226" s="1" t="n">
        <v>0.022849798</v>
      </c>
      <c r="O226" s="1" t="n">
        <v>0.019267797</v>
      </c>
      <c r="P226" s="1" t="n">
        <v>0.0190382</v>
      </c>
      <c r="R226" s="1" t="n">
        <f aca="false">PERCENTILE(G226:P226,0.9)</f>
        <v>0.0263126373</v>
      </c>
      <c r="S226" s="5" t="n">
        <f aca="false">spmv_1!R$6/R226</f>
        <v>6.39368105454028</v>
      </c>
      <c r="T226" s="6" t="n">
        <f aca="false">S226/128</f>
        <v>0.049950633238596</v>
      </c>
    </row>
    <row r="227" customFormat="false" ht="15" hidden="false" customHeight="false" outlineLevel="0" collapsed="false">
      <c r="A227" s="1" t="s">
        <v>16</v>
      </c>
      <c r="B227" s="1" t="n">
        <v>94</v>
      </c>
      <c r="D227" s="1" t="n">
        <v>866324</v>
      </c>
      <c r="E227" s="1" t="n">
        <v>0.079967</v>
      </c>
      <c r="G227" s="1" t="n">
        <v>0.025617838</v>
      </c>
      <c r="H227" s="1" t="n">
        <v>0.018523932</v>
      </c>
      <c r="I227" s="1" t="n">
        <v>0.021154404</v>
      </c>
      <c r="J227" s="1" t="n">
        <v>0.021198273</v>
      </c>
      <c r="K227" s="1" t="n">
        <v>0.018593073</v>
      </c>
      <c r="L227" s="1" t="n">
        <v>0.031784534</v>
      </c>
      <c r="M227" s="1" t="n">
        <v>0.018911362</v>
      </c>
      <c r="N227" s="1" t="n">
        <v>0.022694349</v>
      </c>
      <c r="O227" s="1" t="n">
        <v>0.01923871</v>
      </c>
      <c r="P227" s="1" t="n">
        <v>0.018955231</v>
      </c>
      <c r="R227" s="1" t="n">
        <f aca="false">PERCENTILE(G227:P227,0.9)</f>
        <v>0.0262345076</v>
      </c>
      <c r="S227" s="5" t="n">
        <f aca="false">spmv_1!R$6/R227</f>
        <v>6.41272224983556</v>
      </c>
      <c r="T227" s="6" t="n">
        <f aca="false">S227/128</f>
        <v>0.0500993925768403</v>
      </c>
    </row>
    <row r="228" customFormat="false" ht="15" hidden="false" customHeight="false" outlineLevel="0" collapsed="false">
      <c r="A228" s="1" t="s">
        <v>16</v>
      </c>
      <c r="B228" s="1" t="n">
        <v>95</v>
      </c>
      <c r="D228" s="1" t="n">
        <v>866324</v>
      </c>
      <c r="E228" s="1" t="n">
        <v>0.079094</v>
      </c>
      <c r="G228" s="1" t="n">
        <v>0.02670002</v>
      </c>
      <c r="H228" s="1" t="n">
        <v>0.019257784</v>
      </c>
      <c r="I228" s="1" t="n">
        <v>0.021119356</v>
      </c>
      <c r="J228" s="1" t="n">
        <v>0.021268129</v>
      </c>
      <c r="K228" s="1" t="n">
        <v>0.01899147</v>
      </c>
      <c r="L228" s="1" t="n">
        <v>0.031264544</v>
      </c>
      <c r="M228" s="1" t="n">
        <v>0.01975441</v>
      </c>
      <c r="N228" s="1" t="n">
        <v>0.022985697</v>
      </c>
      <c r="O228" s="1" t="n">
        <v>0.018708706</v>
      </c>
      <c r="P228" s="1" t="n">
        <v>0.01901269</v>
      </c>
      <c r="R228" s="1" t="n">
        <f aca="false">PERCENTILE(G228:P228,0.9)</f>
        <v>0.0271564724</v>
      </c>
      <c r="S228" s="5" t="n">
        <f aca="false">spmv_1!R$6/R228</f>
        <v>6.19500972445891</v>
      </c>
      <c r="T228" s="6" t="n">
        <f aca="false">S228/128</f>
        <v>0.0483985134723352</v>
      </c>
    </row>
    <row r="229" customFormat="false" ht="15" hidden="false" customHeight="false" outlineLevel="0" collapsed="false">
      <c r="A229" s="1" t="s">
        <v>16</v>
      </c>
      <c r="B229" s="1" t="n">
        <v>96</v>
      </c>
      <c r="D229" s="1" t="n">
        <v>866462</v>
      </c>
      <c r="E229" s="1" t="n">
        <v>0.084639</v>
      </c>
      <c r="G229" s="1" t="n">
        <v>0.024976254</v>
      </c>
      <c r="H229" s="1" t="n">
        <v>0.017680883</v>
      </c>
      <c r="I229" s="1" t="n">
        <v>0.019322157</v>
      </c>
      <c r="J229" s="1" t="n">
        <v>0.019721746</v>
      </c>
      <c r="K229" s="1" t="n">
        <v>0.01764679</v>
      </c>
      <c r="L229" s="1" t="n">
        <v>0.030303001</v>
      </c>
      <c r="M229" s="1" t="n">
        <v>0.01779747</v>
      </c>
      <c r="N229" s="1" t="n">
        <v>0.021823168</v>
      </c>
      <c r="O229" s="1" t="n">
        <v>0.017996311</v>
      </c>
      <c r="P229" s="1" t="n">
        <v>0.017474651</v>
      </c>
      <c r="R229" s="1" t="n">
        <f aca="false">PERCENTILE(G229:P229,0.9)</f>
        <v>0.0255089287</v>
      </c>
      <c r="S229" s="5" t="n">
        <f aca="false">spmv_1!R$6/R229</f>
        <v>6.59512645860349</v>
      </c>
      <c r="T229" s="6" t="n">
        <f aca="false">S229/128</f>
        <v>0.0515244254578398</v>
      </c>
    </row>
    <row r="230" customFormat="false" ht="15" hidden="false" customHeight="false" outlineLevel="0" collapsed="false">
      <c r="A230" s="1" t="s">
        <v>16</v>
      </c>
      <c r="B230" s="1" t="n">
        <v>97</v>
      </c>
      <c r="D230" s="1" t="n">
        <v>866462</v>
      </c>
      <c r="E230" s="1" t="n">
        <v>0.084421</v>
      </c>
      <c r="G230" s="1" t="n">
        <v>0.025142908</v>
      </c>
      <c r="H230" s="1" t="n">
        <v>0.017835855</v>
      </c>
      <c r="I230" s="1" t="n">
        <v>0.019412279</v>
      </c>
      <c r="J230" s="1" t="n">
        <v>0.019764662</v>
      </c>
      <c r="K230" s="1" t="n">
        <v>0.017783642</v>
      </c>
      <c r="L230" s="1" t="n">
        <v>0.029779196</v>
      </c>
      <c r="M230" s="1" t="n">
        <v>0.017851591</v>
      </c>
      <c r="N230" s="1" t="n">
        <v>0.021931648</v>
      </c>
      <c r="O230" s="1" t="n">
        <v>0.018141985</v>
      </c>
      <c r="P230" s="1" t="n">
        <v>0.017627716</v>
      </c>
      <c r="R230" s="1" t="n">
        <f aca="false">PERCENTILE(G230:P230,0.9)</f>
        <v>0.0256065368</v>
      </c>
      <c r="S230" s="5" t="n">
        <f aca="false">spmv_1!R$6/R230</f>
        <v>6.56998687147729</v>
      </c>
      <c r="T230" s="6" t="n">
        <f aca="false">S230/128</f>
        <v>0.0513280224334163</v>
      </c>
    </row>
    <row r="231" customFormat="false" ht="15" hidden="false" customHeight="false" outlineLevel="0" collapsed="false">
      <c r="A231" s="1" t="s">
        <v>16</v>
      </c>
      <c r="B231" s="1" t="n">
        <v>98</v>
      </c>
      <c r="D231" s="1" t="n">
        <v>866308</v>
      </c>
      <c r="E231" s="1" t="n">
        <v>0.0851</v>
      </c>
      <c r="G231" s="1" t="n">
        <v>0.025081873</v>
      </c>
      <c r="H231" s="1" t="n">
        <v>0.017736435</v>
      </c>
      <c r="I231" s="1" t="n">
        <v>0.019278288</v>
      </c>
      <c r="J231" s="1" t="n">
        <v>0.019607067</v>
      </c>
      <c r="K231" s="1" t="n">
        <v>0.017652273</v>
      </c>
      <c r="L231" s="1" t="n">
        <v>0.029350519</v>
      </c>
      <c r="M231" s="1" t="n">
        <v>0.017674923</v>
      </c>
      <c r="N231" s="1" t="n">
        <v>0.021845341</v>
      </c>
      <c r="O231" s="1" t="n">
        <v>0.018053293</v>
      </c>
      <c r="P231" s="1" t="n">
        <v>0.017318249</v>
      </c>
      <c r="R231" s="1" t="n">
        <f aca="false">PERCENTILE(G231:P231,0.9)</f>
        <v>0.0255087376</v>
      </c>
      <c r="S231" s="5" t="n">
        <f aca="false">spmv_1!R$6/R231</f>
        <v>6.59517586632747</v>
      </c>
      <c r="T231" s="6" t="n">
        <f aca="false">S231/128</f>
        <v>0.0515248114556833</v>
      </c>
    </row>
    <row r="232" customFormat="false" ht="15" hidden="false" customHeight="false" outlineLevel="0" collapsed="false">
      <c r="A232" s="1" t="s">
        <v>16</v>
      </c>
      <c r="B232" s="1" t="n">
        <v>99</v>
      </c>
      <c r="D232" s="1" t="n">
        <v>866308</v>
      </c>
      <c r="E232" s="1" t="n">
        <v>0.085345</v>
      </c>
      <c r="G232" s="1" t="n">
        <v>0.025041342</v>
      </c>
      <c r="H232" s="1" t="n">
        <v>0.017728567</v>
      </c>
      <c r="I232" s="1" t="n">
        <v>0.019211531</v>
      </c>
      <c r="J232" s="1" t="n">
        <v>0.019562721</v>
      </c>
      <c r="K232" s="1" t="n">
        <v>0.017604828</v>
      </c>
      <c r="L232" s="1" t="n">
        <v>0.029127359</v>
      </c>
      <c r="M232" s="1" t="n">
        <v>0.017628431</v>
      </c>
      <c r="N232" s="1" t="n">
        <v>0.021776438</v>
      </c>
      <c r="O232" s="1" t="n">
        <v>0.017978907</v>
      </c>
      <c r="P232" s="1" t="n">
        <v>0.017353058</v>
      </c>
      <c r="R232" s="1" t="n">
        <f aca="false">PERCENTILE(G232:P232,0.9)</f>
        <v>0.0254499437</v>
      </c>
      <c r="S232" s="5" t="n">
        <f aca="false">spmv_1!R$6/R232</f>
        <v>6.61041189651041</v>
      </c>
      <c r="T232" s="6" t="n">
        <f aca="false">S232/128</f>
        <v>0.0516438429414875</v>
      </c>
    </row>
    <row r="233" customFormat="false" ht="15" hidden="false" customHeight="false" outlineLevel="0" collapsed="false">
      <c r="A233" s="1" t="s">
        <v>16</v>
      </c>
      <c r="B233" s="1" t="n">
        <v>100</v>
      </c>
      <c r="D233" s="1" t="n">
        <v>866104</v>
      </c>
      <c r="E233" s="1" t="n">
        <v>0.086066</v>
      </c>
      <c r="G233" s="1" t="n">
        <v>0.024891138</v>
      </c>
      <c r="H233" s="1" t="n">
        <v>0.017497301</v>
      </c>
      <c r="I233" s="1" t="n">
        <v>0.018959761</v>
      </c>
      <c r="J233" s="1" t="n">
        <v>0.019469738</v>
      </c>
      <c r="K233" s="1" t="n">
        <v>0.01750493</v>
      </c>
      <c r="L233" s="1" t="n">
        <v>0.028704882</v>
      </c>
      <c r="M233" s="1" t="n">
        <v>0.017528296</v>
      </c>
      <c r="N233" s="1" t="n">
        <v>0.021516085</v>
      </c>
      <c r="O233" s="1" t="n">
        <v>0.017790318</v>
      </c>
      <c r="P233" s="1" t="n">
        <v>0.017401934</v>
      </c>
      <c r="R233" s="1" t="n">
        <f aca="false">PERCENTILE(G233:P233,0.9)</f>
        <v>0.0252725124</v>
      </c>
      <c r="S233" s="5" t="n">
        <f aca="false">spmv_1!R$6/R233</f>
        <v>6.65682176497814</v>
      </c>
      <c r="T233" s="6" t="n">
        <f aca="false">S233/128</f>
        <v>0.0520064200388917</v>
      </c>
    </row>
    <row r="234" customFormat="false" ht="15" hidden="false" customHeight="false" outlineLevel="0" collapsed="false">
      <c r="A234" s="1" t="s">
        <v>16</v>
      </c>
      <c r="B234" s="1" t="n">
        <v>101</v>
      </c>
      <c r="D234" s="1" t="n">
        <v>866104</v>
      </c>
      <c r="E234" s="1" t="n">
        <v>0.087633</v>
      </c>
      <c r="G234" s="1" t="n">
        <v>0.024657488</v>
      </c>
      <c r="H234" s="1" t="n">
        <v>0.01724577</v>
      </c>
      <c r="I234" s="1" t="n">
        <v>0.0186584</v>
      </c>
      <c r="J234" s="1" t="n">
        <v>0.019212723</v>
      </c>
      <c r="K234" s="1" t="n">
        <v>0.017235518</v>
      </c>
      <c r="L234" s="1" t="n">
        <v>0.027739048</v>
      </c>
      <c r="M234" s="1" t="n">
        <v>0.017280102</v>
      </c>
      <c r="N234" s="1" t="n">
        <v>0.021263123</v>
      </c>
      <c r="O234" s="1" t="n">
        <v>0.017335415</v>
      </c>
      <c r="P234" s="1" t="n">
        <v>0.017038584</v>
      </c>
      <c r="R234" s="1" t="n">
        <f aca="false">PERCENTILE(G234:P234,0.9)</f>
        <v>0.024965644</v>
      </c>
      <c r="S234" s="5" t="n">
        <f aca="false">spmv_1!R$6/R234</f>
        <v>6.73864493942155</v>
      </c>
      <c r="T234" s="6" t="n">
        <f aca="false">S234/128</f>
        <v>0.0526456635892309</v>
      </c>
    </row>
    <row r="235" customFormat="false" ht="15" hidden="false" customHeight="false" outlineLevel="0" collapsed="false">
      <c r="A235" s="1" t="s">
        <v>16</v>
      </c>
      <c r="B235" s="1" t="n">
        <v>102</v>
      </c>
      <c r="D235" s="1" t="n">
        <v>866474</v>
      </c>
      <c r="E235" s="1" t="n">
        <v>0.08776</v>
      </c>
      <c r="G235" s="1" t="n">
        <v>0.024740934</v>
      </c>
      <c r="H235" s="1" t="n">
        <v>0.017219067</v>
      </c>
      <c r="I235" s="1" t="n">
        <v>0.018587351</v>
      </c>
      <c r="J235" s="1" t="n">
        <v>0.019219875</v>
      </c>
      <c r="K235" s="1" t="n">
        <v>0.017201424</v>
      </c>
      <c r="L235" s="1" t="n">
        <v>0.027364016</v>
      </c>
      <c r="M235" s="1" t="n">
        <v>0.017305851</v>
      </c>
      <c r="N235" s="1" t="n">
        <v>0.021205425</v>
      </c>
      <c r="O235" s="1" t="n">
        <v>0.017555475</v>
      </c>
      <c r="P235" s="1" t="n">
        <v>0.017065048</v>
      </c>
      <c r="R235" s="1" t="n">
        <f aca="false">PERCENTILE(G235:P235,0.9)</f>
        <v>0.0250032422</v>
      </c>
      <c r="S235" s="5" t="n">
        <f aca="false">spmv_1!R$6/R235</f>
        <v>6.72851181675951</v>
      </c>
      <c r="T235" s="6" t="n">
        <f aca="false">S235/128</f>
        <v>0.0525664985684337</v>
      </c>
    </row>
    <row r="236" customFormat="false" ht="15" hidden="false" customHeight="false" outlineLevel="0" collapsed="false">
      <c r="A236" s="1" t="s">
        <v>16</v>
      </c>
      <c r="B236" s="1" t="n">
        <v>103</v>
      </c>
      <c r="D236" s="1" t="n">
        <v>866474</v>
      </c>
      <c r="E236" s="1" t="n">
        <v>0.088422</v>
      </c>
      <c r="G236" s="1" t="n">
        <v>0.024678707</v>
      </c>
      <c r="H236" s="1" t="n">
        <v>0.017008543</v>
      </c>
      <c r="I236" s="1" t="n">
        <v>0.018540621</v>
      </c>
      <c r="J236" s="1" t="n">
        <v>0.019122124</v>
      </c>
      <c r="K236" s="1" t="n">
        <v>0.01721406</v>
      </c>
      <c r="L236" s="1" t="n">
        <v>0.026859045</v>
      </c>
      <c r="M236" s="1" t="n">
        <v>0.017179489</v>
      </c>
      <c r="N236" s="1" t="n">
        <v>0.021116018</v>
      </c>
      <c r="O236" s="1" t="n">
        <v>0.01736331</v>
      </c>
      <c r="P236" s="1" t="n">
        <v>0.016905069</v>
      </c>
      <c r="R236" s="1" t="n">
        <f aca="false">PERCENTILE(G236:P236,0.9)</f>
        <v>0.0248967408</v>
      </c>
      <c r="S236" s="5" t="n">
        <f aca="false">spmv_1!R$6/R236</f>
        <v>6.75729453712271</v>
      </c>
      <c r="T236" s="6" t="n">
        <f aca="false">S236/128</f>
        <v>0.0527913635712711</v>
      </c>
    </row>
    <row r="237" customFormat="false" ht="15" hidden="false" customHeight="false" outlineLevel="0" collapsed="false">
      <c r="A237" s="1" t="s">
        <v>16</v>
      </c>
      <c r="B237" s="1" t="n">
        <v>104</v>
      </c>
      <c r="D237" s="1" t="n">
        <v>866516</v>
      </c>
      <c r="E237" s="1" t="n">
        <v>0.088829</v>
      </c>
      <c r="G237" s="1" t="n">
        <v>0.024573326</v>
      </c>
      <c r="H237" s="1" t="n">
        <v>0.016895294</v>
      </c>
      <c r="I237" s="1" t="n">
        <v>0.018490076</v>
      </c>
      <c r="J237" s="1" t="n">
        <v>0.019090176</v>
      </c>
      <c r="K237" s="1" t="n">
        <v>0.017137051</v>
      </c>
      <c r="L237" s="1" t="n">
        <v>0.026721239</v>
      </c>
      <c r="M237" s="1" t="n">
        <v>0.017115593</v>
      </c>
      <c r="N237" s="1" t="n">
        <v>0.020985365</v>
      </c>
      <c r="O237" s="1" t="n">
        <v>0.017168283</v>
      </c>
      <c r="P237" s="1" t="n">
        <v>0.016920567</v>
      </c>
      <c r="R237" s="1" t="n">
        <f aca="false">PERCENTILE(G237:P237,0.9)</f>
        <v>0.0247881173</v>
      </c>
      <c r="S237" s="5" t="n">
        <f aca="false">spmv_1!R$6/R237</f>
        <v>6.78690553880831</v>
      </c>
      <c r="T237" s="6" t="n">
        <f aca="false">S237/128</f>
        <v>0.0530226995219399</v>
      </c>
    </row>
    <row r="238" customFormat="false" ht="15" hidden="false" customHeight="false" outlineLevel="0" collapsed="false">
      <c r="A238" s="1" t="s">
        <v>16</v>
      </c>
      <c r="B238" s="1" t="n">
        <v>105</v>
      </c>
      <c r="D238" s="1" t="n">
        <v>866516</v>
      </c>
      <c r="E238" s="1" t="n">
        <v>0.089222</v>
      </c>
      <c r="G238" s="1" t="n">
        <v>0.024628878</v>
      </c>
      <c r="H238" s="1" t="n">
        <v>0.016857862</v>
      </c>
      <c r="I238" s="1" t="n">
        <v>0.018244028</v>
      </c>
      <c r="J238" s="1" t="n">
        <v>0.01897788</v>
      </c>
      <c r="K238" s="1" t="n">
        <v>0.017033577</v>
      </c>
      <c r="L238" s="1" t="n">
        <v>0.026346207</v>
      </c>
      <c r="M238" s="1" t="n">
        <v>0.017036438</v>
      </c>
      <c r="N238" s="1" t="n">
        <v>0.020996809</v>
      </c>
      <c r="O238" s="1" t="n">
        <v>0.01721096</v>
      </c>
      <c r="P238" s="1" t="n">
        <v>0.016905785</v>
      </c>
      <c r="R238" s="1" t="n">
        <f aca="false">PERCENTILE(G238:P238,0.9)</f>
        <v>0.0248006109</v>
      </c>
      <c r="S238" s="5" t="n">
        <f aca="false">spmv_1!R$6/R238</f>
        <v>6.78348655516385</v>
      </c>
      <c r="T238" s="6" t="n">
        <f aca="false">S238/128</f>
        <v>0.0529959887122176</v>
      </c>
    </row>
    <row r="239" customFormat="false" ht="15" hidden="false" customHeight="false" outlineLevel="0" collapsed="false">
      <c r="A239" s="1" t="s">
        <v>16</v>
      </c>
      <c r="B239" s="1" t="n">
        <v>106</v>
      </c>
      <c r="D239" s="1" t="n">
        <v>866380</v>
      </c>
      <c r="E239" s="1" t="n">
        <v>0.089831</v>
      </c>
      <c r="G239" s="1" t="n">
        <v>0.024529696</v>
      </c>
      <c r="H239" s="1" t="n">
        <v>0.016749859</v>
      </c>
      <c r="I239" s="1" t="n">
        <v>0.018101454</v>
      </c>
      <c r="J239" s="1" t="n">
        <v>0.018902063</v>
      </c>
      <c r="K239" s="1" t="n">
        <v>0.01697588</v>
      </c>
      <c r="L239" s="1" t="n">
        <v>0.025784731</v>
      </c>
      <c r="M239" s="1" t="n">
        <v>0.016981363</v>
      </c>
      <c r="N239" s="1" t="n">
        <v>0.020915508</v>
      </c>
      <c r="O239" s="1" t="n">
        <v>0.017118931</v>
      </c>
      <c r="P239" s="1" t="n">
        <v>0.016832352</v>
      </c>
      <c r="R239" s="1" t="n">
        <f aca="false">PERCENTILE(G239:P239,0.9)</f>
        <v>0.0246551995</v>
      </c>
      <c r="S239" s="5" t="n">
        <f aca="false">spmv_1!R$6/R239</f>
        <v>6.82349419237107</v>
      </c>
      <c r="T239" s="6" t="n">
        <f aca="false">S239/128</f>
        <v>0.053308548377899</v>
      </c>
    </row>
    <row r="240" customFormat="false" ht="15" hidden="false" customHeight="false" outlineLevel="0" collapsed="false">
      <c r="A240" s="1" t="s">
        <v>16</v>
      </c>
      <c r="B240" s="1" t="n">
        <v>107</v>
      </c>
      <c r="D240" s="1" t="n">
        <v>866380</v>
      </c>
      <c r="E240" s="1" t="n">
        <v>0.090755</v>
      </c>
      <c r="G240" s="1" t="n">
        <v>0.024430752</v>
      </c>
      <c r="H240" s="1" t="n">
        <v>0.016591311</v>
      </c>
      <c r="I240" s="1" t="n">
        <v>0.017986774</v>
      </c>
      <c r="J240" s="1" t="n">
        <v>0.018823862</v>
      </c>
      <c r="K240" s="1" t="n">
        <v>0.016913891</v>
      </c>
      <c r="L240" s="1" t="n">
        <v>0.02498436</v>
      </c>
      <c r="M240" s="1" t="n">
        <v>0.016910553</v>
      </c>
      <c r="N240" s="1" t="n">
        <v>0.02067709</v>
      </c>
      <c r="O240" s="1" t="n">
        <v>0.016970396</v>
      </c>
      <c r="P240" s="1" t="n">
        <v>0.016638756</v>
      </c>
      <c r="R240" s="1" t="n">
        <f aca="false">PERCENTILE(G240:P240,0.9)</f>
        <v>0.0244861128</v>
      </c>
      <c r="S240" s="5" t="n">
        <f aca="false">spmv_1!R$6/R240</f>
        <v>6.87061323183972</v>
      </c>
      <c r="T240" s="6" t="n">
        <f aca="false">S240/128</f>
        <v>0.0536766658737478</v>
      </c>
    </row>
    <row r="241" customFormat="false" ht="15" hidden="false" customHeight="false" outlineLevel="0" collapsed="false">
      <c r="A241" s="1" t="s">
        <v>16</v>
      </c>
      <c r="B241" s="1" t="n">
        <v>108</v>
      </c>
      <c r="D241" s="1" t="n">
        <v>866508</v>
      </c>
      <c r="E241" s="1" t="n">
        <v>0.091778</v>
      </c>
      <c r="G241" s="1" t="n">
        <v>0.024319887</v>
      </c>
      <c r="H241" s="1" t="n">
        <v>0.01633358</v>
      </c>
      <c r="I241" s="1" t="n">
        <v>0.017943621</v>
      </c>
      <c r="J241" s="1" t="n">
        <v>0.018745661</v>
      </c>
      <c r="K241" s="1" t="n">
        <v>0.016869783</v>
      </c>
      <c r="L241" s="1" t="n">
        <v>0.024280787</v>
      </c>
      <c r="M241" s="1" t="n">
        <v>0.016794682</v>
      </c>
      <c r="N241" s="1" t="n">
        <v>0.02046442</v>
      </c>
      <c r="O241" s="1" t="n">
        <v>0.016579628</v>
      </c>
      <c r="P241" s="1" t="n">
        <v>0.016494989</v>
      </c>
      <c r="R241" s="1" t="n">
        <f aca="false">PERCENTILE(G241:P241,0.9)</f>
        <v>0.024284697</v>
      </c>
      <c r="S241" s="5" t="n">
        <f aca="false">spmv_1!R$6/R241</f>
        <v>6.92759768013577</v>
      </c>
      <c r="T241" s="6" t="n">
        <f aca="false">S241/128</f>
        <v>0.0541218568760607</v>
      </c>
    </row>
    <row r="242" customFormat="false" ht="15" hidden="false" customHeight="false" outlineLevel="0" collapsed="false">
      <c r="A242" s="1" t="s">
        <v>16</v>
      </c>
      <c r="B242" s="1" t="n">
        <v>109</v>
      </c>
      <c r="D242" s="1" t="n">
        <v>866508</v>
      </c>
      <c r="E242" s="1" t="n">
        <v>0.092276</v>
      </c>
      <c r="G242" s="1" t="n">
        <v>0.024295092</v>
      </c>
      <c r="H242" s="1" t="n">
        <v>0.016242743</v>
      </c>
      <c r="I242" s="1" t="n">
        <v>0.017850637</v>
      </c>
      <c r="J242" s="1" t="n">
        <v>0.018704414</v>
      </c>
      <c r="K242" s="1" t="n">
        <v>0.016830444</v>
      </c>
      <c r="L242" s="1" t="n">
        <v>0.024152517</v>
      </c>
      <c r="M242" s="1" t="n">
        <v>0.016731977</v>
      </c>
      <c r="N242" s="1" t="n">
        <v>0.02049017</v>
      </c>
      <c r="O242" s="1" t="n">
        <v>0.01607585</v>
      </c>
      <c r="P242" s="1" t="n">
        <v>0.016434431</v>
      </c>
      <c r="R242" s="1" t="n">
        <f aca="false">PERCENTILE(G242:P242,0.9)</f>
        <v>0.0241667745</v>
      </c>
      <c r="S242" s="5" t="n">
        <f aca="false">spmv_1!R$6/R242</f>
        <v>6.96140110050681</v>
      </c>
      <c r="T242" s="6" t="n">
        <f aca="false">S242/128</f>
        <v>0.0543859460977095</v>
      </c>
    </row>
    <row r="243" customFormat="false" ht="15" hidden="false" customHeight="false" outlineLevel="0" collapsed="false">
      <c r="A243" s="1" t="s">
        <v>16</v>
      </c>
      <c r="B243" s="1" t="n">
        <v>110</v>
      </c>
      <c r="D243" s="1" t="n">
        <v>866408</v>
      </c>
      <c r="E243" s="1" t="n">
        <v>0.09227</v>
      </c>
      <c r="G243" s="1" t="n">
        <v>0.024348736</v>
      </c>
      <c r="H243" s="1" t="n">
        <v>0.016177177</v>
      </c>
      <c r="I243" s="1" t="n">
        <v>0.017789841</v>
      </c>
      <c r="J243" s="1" t="n">
        <v>0.018685818</v>
      </c>
      <c r="K243" s="1" t="n">
        <v>0.016721964</v>
      </c>
      <c r="L243" s="1" t="n">
        <v>0.023766041</v>
      </c>
      <c r="M243" s="1" t="n">
        <v>0.016744852</v>
      </c>
      <c r="N243" s="1" t="n">
        <v>0.020395279</v>
      </c>
      <c r="O243" s="1" t="n">
        <v>0.016680241</v>
      </c>
      <c r="P243" s="1" t="n">
        <v>0.016488314</v>
      </c>
      <c r="R243" s="1" t="n">
        <f aca="false">PERCENTILE(G243:P243,0.9)</f>
        <v>0.0238243105</v>
      </c>
      <c r="S243" s="5" t="n">
        <f aca="false">spmv_1!R$6/R243</f>
        <v>7.06146818393758</v>
      </c>
      <c r="T243" s="6" t="n">
        <f aca="false">S243/128</f>
        <v>0.0551677201870123</v>
      </c>
    </row>
    <row r="244" customFormat="false" ht="15" hidden="false" customHeight="false" outlineLevel="0" collapsed="false">
      <c r="A244" s="1" t="s">
        <v>16</v>
      </c>
      <c r="B244" s="1" t="n">
        <v>111</v>
      </c>
      <c r="D244" s="1" t="n">
        <v>866408</v>
      </c>
      <c r="E244" s="1" t="n">
        <v>0.093394</v>
      </c>
      <c r="G244" s="1" t="n">
        <v>0.024194717</v>
      </c>
      <c r="H244" s="1" t="n">
        <v>0.015980721</v>
      </c>
      <c r="I244" s="1" t="n">
        <v>0.017577648</v>
      </c>
      <c r="J244" s="1" t="n">
        <v>0.018433571</v>
      </c>
      <c r="K244" s="1" t="n">
        <v>0.016597271</v>
      </c>
      <c r="L244" s="1" t="n">
        <v>0.023214579</v>
      </c>
      <c r="M244" s="1" t="n">
        <v>0.01659441</v>
      </c>
      <c r="N244" s="1" t="n">
        <v>0.020244837</v>
      </c>
      <c r="O244" s="1" t="n">
        <v>0.016388416</v>
      </c>
      <c r="P244" s="1" t="n">
        <v>0.016311646</v>
      </c>
      <c r="R244" s="1" t="n">
        <f aca="false">PERCENTILE(G244:P244,0.9)</f>
        <v>0.0233125928</v>
      </c>
      <c r="S244" s="5" t="n">
        <f aca="false">spmv_1!R$6/R244</f>
        <v>7.21646931524494</v>
      </c>
      <c r="T244" s="6" t="n">
        <f aca="false">S244/128</f>
        <v>0.0563786665253511</v>
      </c>
    </row>
    <row r="245" customFormat="false" ht="15" hidden="false" customHeight="false" outlineLevel="0" collapsed="false">
      <c r="A245" s="1" t="s">
        <v>16</v>
      </c>
      <c r="B245" s="1" t="n">
        <v>112</v>
      </c>
      <c r="D245" s="1" t="n">
        <v>866274</v>
      </c>
      <c r="E245" s="1" t="n">
        <v>0.092485</v>
      </c>
      <c r="G245" s="1" t="n">
        <v>0.024399519</v>
      </c>
      <c r="H245" s="1" t="n">
        <v>0.0161798</v>
      </c>
      <c r="I245" s="1" t="n">
        <v>0.017868996</v>
      </c>
      <c r="J245" s="1" t="n">
        <v>0.01863575</v>
      </c>
      <c r="K245" s="1" t="n">
        <v>0.016741753</v>
      </c>
      <c r="L245" s="1" t="n">
        <v>0.022832155</v>
      </c>
      <c r="M245" s="1" t="n">
        <v>0.017005682</v>
      </c>
      <c r="N245" s="1" t="n">
        <v>0.020399809</v>
      </c>
      <c r="O245" s="1" t="n">
        <v>0.016590834</v>
      </c>
      <c r="P245" s="1" t="n">
        <v>0.016678333</v>
      </c>
      <c r="R245" s="1" t="n">
        <f aca="false">PERCENTILE(G245:P245,0.9)</f>
        <v>0.0229888914</v>
      </c>
      <c r="S245" s="5" t="n">
        <f aca="false">spmv_1!R$6/R245</f>
        <v>7.31808279367486</v>
      </c>
      <c r="T245" s="6" t="n">
        <f aca="false">S245/128</f>
        <v>0.0571725218255849</v>
      </c>
    </row>
    <row r="246" customFormat="false" ht="15" hidden="false" customHeight="false" outlineLevel="0" collapsed="false">
      <c r="A246" s="1" t="s">
        <v>16</v>
      </c>
      <c r="B246" s="1" t="n">
        <v>113</v>
      </c>
      <c r="D246" s="1" t="n">
        <v>866274</v>
      </c>
      <c r="E246" s="1" t="n">
        <v>0.09284</v>
      </c>
      <c r="G246" s="1" t="n">
        <v>0.024369478</v>
      </c>
      <c r="H246" s="1" t="n">
        <v>0.016185045</v>
      </c>
      <c r="I246" s="1" t="n">
        <v>0.017832279</v>
      </c>
      <c r="J246" s="1" t="n">
        <v>0.018633842</v>
      </c>
      <c r="K246" s="1" t="n">
        <v>0.016704321</v>
      </c>
      <c r="L246" s="1" t="n">
        <v>0.022367954</v>
      </c>
      <c r="M246" s="1" t="n">
        <v>0.016929865</v>
      </c>
      <c r="N246" s="1" t="n">
        <v>0.020381212</v>
      </c>
      <c r="O246" s="1" t="n">
        <v>0.016509533</v>
      </c>
      <c r="P246" s="1" t="n">
        <v>0.016703367</v>
      </c>
      <c r="R246" s="1" t="n">
        <f aca="false">PERCENTILE(G246:P246,0.9)</f>
        <v>0.0225681064</v>
      </c>
      <c r="S246" s="5" t="n">
        <f aca="false">spmv_1!R$6/R246</f>
        <v>7.45452930867075</v>
      </c>
      <c r="T246" s="6" t="n">
        <f aca="false">S246/128</f>
        <v>0.0582385102239903</v>
      </c>
    </row>
    <row r="247" customFormat="false" ht="15" hidden="false" customHeight="false" outlineLevel="0" collapsed="false">
      <c r="A247" s="1" t="s">
        <v>16</v>
      </c>
      <c r="B247" s="1" t="n">
        <v>114</v>
      </c>
      <c r="D247" s="1" t="n">
        <v>866140</v>
      </c>
      <c r="E247" s="1" t="n">
        <v>0.093496</v>
      </c>
      <c r="G247" s="1" t="n">
        <v>0.024238586</v>
      </c>
      <c r="H247" s="1" t="n">
        <v>0.016090393</v>
      </c>
      <c r="I247" s="1" t="n">
        <v>0.017662287</v>
      </c>
      <c r="J247" s="1" t="n">
        <v>0.018553495</v>
      </c>
      <c r="K247" s="1" t="n">
        <v>0.016638756</v>
      </c>
      <c r="L247" s="1" t="n">
        <v>0.02200985</v>
      </c>
      <c r="M247" s="1" t="n">
        <v>0.016766548</v>
      </c>
      <c r="N247" s="1" t="n">
        <v>0.020304441</v>
      </c>
      <c r="O247" s="1" t="n">
        <v>0.016432524</v>
      </c>
      <c r="P247" s="1" t="n">
        <v>0.016582012</v>
      </c>
      <c r="R247" s="1" t="n">
        <f aca="false">PERCENTILE(G247:P247,0.9)</f>
        <v>0.0222327236</v>
      </c>
      <c r="S247" s="5" t="n">
        <f aca="false">spmv_1!R$6/R247</f>
        <v>7.56698160903687</v>
      </c>
      <c r="T247" s="6" t="n">
        <f aca="false">S247/128</f>
        <v>0.0591170438206006</v>
      </c>
    </row>
    <row r="248" customFormat="false" ht="15" hidden="false" customHeight="false" outlineLevel="0" collapsed="false">
      <c r="A248" s="1" t="s">
        <v>16</v>
      </c>
      <c r="B248" s="1" t="n">
        <v>115</v>
      </c>
      <c r="D248" s="1" t="n">
        <v>866140</v>
      </c>
      <c r="E248" s="1" t="n">
        <v>0.094139</v>
      </c>
      <c r="G248" s="1" t="n">
        <v>0.024030924</v>
      </c>
      <c r="H248" s="1" t="n">
        <v>0.015925407</v>
      </c>
      <c r="I248" s="1" t="n">
        <v>0.01756978</v>
      </c>
      <c r="J248" s="1" t="n">
        <v>0.018437862</v>
      </c>
      <c r="K248" s="1" t="n">
        <v>0.016510963</v>
      </c>
      <c r="L248" s="1" t="n">
        <v>0.021881342</v>
      </c>
      <c r="M248" s="1" t="n">
        <v>0.01661253</v>
      </c>
      <c r="N248" s="1" t="n">
        <v>0.020204544</v>
      </c>
      <c r="O248" s="1" t="n">
        <v>0.016343832</v>
      </c>
      <c r="P248" s="1" t="n">
        <v>0.016494989</v>
      </c>
      <c r="R248" s="1" t="n">
        <f aca="false">PERCENTILE(G248:P248,0.9)</f>
        <v>0.0220963002</v>
      </c>
      <c r="S248" s="5" t="n">
        <f aca="false">spmv_1!R$6/R248</f>
        <v>7.61370044203147</v>
      </c>
      <c r="T248" s="6" t="n">
        <f aca="false">S248/128</f>
        <v>0.0594820347033708</v>
      </c>
    </row>
    <row r="249" customFormat="false" ht="15" hidden="false" customHeight="false" outlineLevel="0" collapsed="false">
      <c r="A249" s="1" t="s">
        <v>16</v>
      </c>
      <c r="B249" s="1" t="n">
        <v>116</v>
      </c>
      <c r="D249" s="1" t="n">
        <v>866078</v>
      </c>
      <c r="E249" s="1" t="n">
        <v>0.096382</v>
      </c>
      <c r="G249" s="1" t="n">
        <v>0.02362752</v>
      </c>
      <c r="H249" s="1" t="n">
        <v>0.015527725</v>
      </c>
      <c r="I249" s="1" t="n">
        <v>0.016995907</v>
      </c>
      <c r="J249" s="1" t="n">
        <v>0.018018246</v>
      </c>
      <c r="K249" s="1" t="n">
        <v>0.016037941</v>
      </c>
      <c r="L249" s="1" t="n">
        <v>0.021622419</v>
      </c>
      <c r="M249" s="1" t="n">
        <v>0.016061544</v>
      </c>
      <c r="N249" s="1" t="n">
        <v>0.019789457</v>
      </c>
      <c r="O249" s="1" t="n">
        <v>0.015972614</v>
      </c>
      <c r="P249" s="1" t="n">
        <v>0.016063929</v>
      </c>
      <c r="R249" s="1" t="n">
        <f aca="false">PERCENTILE(G249:P249,0.9)</f>
        <v>0.0218229291</v>
      </c>
      <c r="S249" s="5" t="n">
        <f aca="false">spmv_1!R$6/R249</f>
        <v>7.70907561625172</v>
      </c>
      <c r="T249" s="6" t="n">
        <f aca="false">S249/128</f>
        <v>0.0602271532519665</v>
      </c>
    </row>
    <row r="250" customFormat="false" ht="15" hidden="false" customHeight="false" outlineLevel="0" collapsed="false">
      <c r="A250" s="1" t="s">
        <v>16</v>
      </c>
      <c r="B250" s="1" t="n">
        <v>117</v>
      </c>
      <c r="D250" s="1" t="n">
        <v>866078</v>
      </c>
      <c r="E250" s="1" t="n">
        <v>0.09657</v>
      </c>
      <c r="G250" s="1" t="n">
        <v>0.023689032</v>
      </c>
      <c r="H250" s="1" t="n">
        <v>0.015573263</v>
      </c>
      <c r="I250" s="1" t="n">
        <v>0.016911983</v>
      </c>
      <c r="J250" s="1" t="n">
        <v>0.01827836</v>
      </c>
      <c r="K250" s="1" t="n">
        <v>0.016165972</v>
      </c>
      <c r="L250" s="1" t="n">
        <v>0.020622253</v>
      </c>
      <c r="M250" s="1" t="n">
        <v>0.016226768</v>
      </c>
      <c r="N250" s="1" t="n">
        <v>0.019686699</v>
      </c>
      <c r="O250" s="1" t="n">
        <v>0.01602459</v>
      </c>
      <c r="P250" s="1" t="n">
        <v>0.016189098</v>
      </c>
      <c r="R250" s="1" t="n">
        <f aca="false">PERCENTILE(G250:P250,0.9)</f>
        <v>0.0209289309</v>
      </c>
      <c r="S250" s="5" t="n">
        <f aca="false">spmv_1!R$6/R250</f>
        <v>8.03837574904507</v>
      </c>
      <c r="T250" s="6" t="n">
        <f aca="false">S250/128</f>
        <v>0.0627998105394146</v>
      </c>
    </row>
    <row r="251" customFormat="false" ht="15" hidden="false" customHeight="false" outlineLevel="0" collapsed="false">
      <c r="A251" s="1" t="s">
        <v>16</v>
      </c>
      <c r="B251" s="1" t="n">
        <v>118</v>
      </c>
      <c r="D251" s="1" t="n">
        <v>866230</v>
      </c>
      <c r="E251" s="1" t="n">
        <v>0.09654</v>
      </c>
      <c r="G251" s="1" t="n">
        <v>0.023703575</v>
      </c>
      <c r="H251" s="1" t="n">
        <v>0.015655756</v>
      </c>
      <c r="I251" s="1" t="n">
        <v>0.016953707</v>
      </c>
      <c r="J251" s="1" t="n">
        <v>0.018294334</v>
      </c>
      <c r="K251" s="1" t="n">
        <v>0.016177893</v>
      </c>
      <c r="L251" s="1" t="n">
        <v>0.020390749</v>
      </c>
      <c r="M251" s="1" t="n">
        <v>0.016289234</v>
      </c>
      <c r="N251" s="1" t="n">
        <v>0.019689798</v>
      </c>
      <c r="O251" s="1" t="n">
        <v>0.016046762</v>
      </c>
      <c r="P251" s="1" t="n">
        <v>0.016253471</v>
      </c>
      <c r="R251" s="1" t="n">
        <f aca="false">PERCENTILE(G251:P251,0.9)</f>
        <v>0.0207220316</v>
      </c>
      <c r="S251" s="5" t="n">
        <f aca="false">spmv_1!R$6/R251</f>
        <v>8.11863497978644</v>
      </c>
      <c r="T251" s="6" t="n">
        <f aca="false">S251/128</f>
        <v>0.0634268357795816</v>
      </c>
    </row>
    <row r="252" customFormat="false" ht="15" hidden="false" customHeight="false" outlineLevel="0" collapsed="false">
      <c r="A252" s="1" t="s">
        <v>16</v>
      </c>
      <c r="B252" s="1" t="n">
        <v>119</v>
      </c>
      <c r="D252" s="1" t="n">
        <v>866230</v>
      </c>
      <c r="E252" s="1" t="n">
        <v>0.100053</v>
      </c>
      <c r="G252" s="1" t="n">
        <v>0.023037195</v>
      </c>
      <c r="H252" s="1" t="n">
        <v>0.015101671</v>
      </c>
      <c r="I252" s="1" t="n">
        <v>0.016278505</v>
      </c>
      <c r="J252" s="1" t="n">
        <v>0.017814398</v>
      </c>
      <c r="K252" s="1" t="n">
        <v>0.015592575</v>
      </c>
      <c r="L252" s="1" t="n">
        <v>0.019521952</v>
      </c>
      <c r="M252" s="1" t="n">
        <v>0.015653849</v>
      </c>
      <c r="N252" s="1" t="n">
        <v>0.019073725</v>
      </c>
      <c r="O252" s="1" t="n">
        <v>0.015484571</v>
      </c>
      <c r="P252" s="1" t="n">
        <v>0.01559639</v>
      </c>
      <c r="R252" s="1" t="n">
        <f aca="false">PERCENTILE(G252:P252,0.9)</f>
        <v>0.0198734763</v>
      </c>
      <c r="S252" s="5" t="n">
        <f aca="false">spmv_1!R$6/R252</f>
        <v>8.46528347936793</v>
      </c>
      <c r="T252" s="6" t="n">
        <f aca="false">S252/128</f>
        <v>0.0661350271825619</v>
      </c>
    </row>
    <row r="253" customFormat="false" ht="15" hidden="false" customHeight="false" outlineLevel="0" collapsed="false">
      <c r="A253" s="1" t="s">
        <v>16</v>
      </c>
      <c r="B253" s="1" t="n">
        <v>120</v>
      </c>
      <c r="D253" s="1" t="n">
        <v>866274</v>
      </c>
      <c r="E253" s="1" t="n">
        <v>0.097603</v>
      </c>
      <c r="G253" s="1" t="n">
        <v>0.023497105</v>
      </c>
      <c r="H253" s="1" t="n">
        <v>0.015562057</v>
      </c>
      <c r="I253" s="1" t="n">
        <v>0.016730547</v>
      </c>
      <c r="J253" s="1" t="n">
        <v>0.018179417</v>
      </c>
      <c r="K253" s="1" t="n">
        <v>0.016039371</v>
      </c>
      <c r="L253" s="1" t="n">
        <v>0.019694567</v>
      </c>
      <c r="M253" s="1" t="n">
        <v>0.016097069</v>
      </c>
      <c r="N253" s="1" t="n">
        <v>0.019585609</v>
      </c>
      <c r="O253" s="1" t="n">
        <v>0.015957355</v>
      </c>
      <c r="P253" s="1" t="n">
        <v>0.016167402</v>
      </c>
      <c r="R253" s="1" t="n">
        <f aca="false">PERCENTILE(G253:P253,0.9)</f>
        <v>0.0200748208</v>
      </c>
      <c r="S253" s="5" t="n">
        <f aca="false">spmv_1!R$6/R253</f>
        <v>8.38037919621181</v>
      </c>
      <c r="T253" s="6" t="n">
        <f aca="false">S253/128</f>
        <v>0.0654717124704047</v>
      </c>
    </row>
    <row r="254" customFormat="false" ht="15" hidden="false" customHeight="false" outlineLevel="0" collapsed="false">
      <c r="A254" s="1" t="s">
        <v>16</v>
      </c>
      <c r="B254" s="1" t="n">
        <v>121</v>
      </c>
      <c r="D254" s="1" t="n">
        <v>866274</v>
      </c>
      <c r="E254" s="1" t="n">
        <v>0.099542</v>
      </c>
      <c r="G254" s="1" t="n">
        <v>0.023306131</v>
      </c>
      <c r="H254" s="1" t="n">
        <v>0.014971733</v>
      </c>
      <c r="I254" s="1" t="n">
        <v>0.016521454</v>
      </c>
      <c r="J254" s="1" t="n">
        <v>0.018002272</v>
      </c>
      <c r="K254" s="1" t="n">
        <v>0.015777111</v>
      </c>
      <c r="L254" s="1" t="n">
        <v>0.019417763</v>
      </c>
      <c r="M254" s="1" t="n">
        <v>0.01578784</v>
      </c>
      <c r="N254" s="1" t="n">
        <v>0.019343853</v>
      </c>
      <c r="O254" s="1" t="n">
        <v>0.015725851</v>
      </c>
      <c r="P254" s="1" t="n">
        <v>0.015197754</v>
      </c>
      <c r="R254" s="1" t="n">
        <f aca="false">PERCENTILE(G254:P254,0.9)</f>
        <v>0.0198065998</v>
      </c>
      <c r="S254" s="5" t="n">
        <f aca="false">spmv_1!R$6/R254</f>
        <v>8.49386630207978</v>
      </c>
      <c r="T254" s="6" t="n">
        <f aca="false">S254/128</f>
        <v>0.0663583304849982</v>
      </c>
    </row>
    <row r="255" customFormat="false" ht="15" hidden="false" customHeight="false" outlineLevel="0" collapsed="false">
      <c r="A255" s="1" t="s">
        <v>16</v>
      </c>
      <c r="B255" s="1" t="n">
        <v>122</v>
      </c>
      <c r="D255" s="1" t="n">
        <v>866150</v>
      </c>
      <c r="E255" s="1" t="n">
        <v>0.103273</v>
      </c>
      <c r="G255" s="1" t="n">
        <v>0.022642851</v>
      </c>
      <c r="H255" s="1" t="n">
        <v>0.014396906</v>
      </c>
      <c r="I255" s="1" t="n">
        <v>0.015957832</v>
      </c>
      <c r="J255" s="1" t="n">
        <v>0.017466307</v>
      </c>
      <c r="K255" s="1" t="n">
        <v>0.015253782</v>
      </c>
      <c r="L255" s="1" t="n">
        <v>0.01853466</v>
      </c>
      <c r="M255" s="1" t="n">
        <v>0.015183926</v>
      </c>
      <c r="N255" s="1" t="n">
        <v>0.018582344</v>
      </c>
      <c r="O255" s="1" t="n">
        <v>0.015181303</v>
      </c>
      <c r="P255" s="1" t="n">
        <v>0.01453948</v>
      </c>
      <c r="R255" s="1" t="n">
        <f aca="false">PERCENTILE(G255:P255,0.9)</f>
        <v>0.0189883947</v>
      </c>
      <c r="S255" s="5" t="n">
        <f aca="false">spmv_1!R$6/R255</f>
        <v>8.85986484154977</v>
      </c>
      <c r="T255" s="6" t="n">
        <f aca="false">S255/128</f>
        <v>0.0692176940746076</v>
      </c>
    </row>
    <row r="256" customFormat="false" ht="15" hidden="false" customHeight="false" outlineLevel="0" collapsed="false">
      <c r="A256" s="1" t="s">
        <v>16</v>
      </c>
      <c r="B256" s="1" t="n">
        <v>123</v>
      </c>
      <c r="D256" s="1" t="n">
        <v>866150</v>
      </c>
      <c r="E256" s="1" t="n">
        <v>0.100949</v>
      </c>
      <c r="G256" s="1" t="n">
        <v>0.02312994</v>
      </c>
      <c r="H256" s="1" t="n">
        <v>0.014873028</v>
      </c>
      <c r="I256" s="1" t="n">
        <v>0.0163517</v>
      </c>
      <c r="J256" s="1" t="n">
        <v>0.017910004</v>
      </c>
      <c r="K256" s="1" t="n">
        <v>0.015613317</v>
      </c>
      <c r="L256" s="1" t="n">
        <v>0.0184021</v>
      </c>
      <c r="M256" s="1" t="n">
        <v>0.0156703</v>
      </c>
      <c r="N256" s="1" t="n">
        <v>0.018891811</v>
      </c>
      <c r="O256" s="1" t="n">
        <v>0.015655279</v>
      </c>
      <c r="P256" s="1" t="n">
        <v>0.015103579</v>
      </c>
      <c r="R256" s="1" t="n">
        <f aca="false">PERCENTILE(G256:P256,0.9)</f>
        <v>0.0193156239</v>
      </c>
      <c r="S256" s="5" t="n">
        <f aca="false">spmv_1!R$6/R256</f>
        <v>8.70976839634986</v>
      </c>
      <c r="T256" s="6" t="n">
        <f aca="false">S256/128</f>
        <v>0.0680450655964833</v>
      </c>
    </row>
    <row r="257" customFormat="false" ht="15" hidden="false" customHeight="false" outlineLevel="0" collapsed="false">
      <c r="A257" s="1" t="s">
        <v>16</v>
      </c>
      <c r="B257" s="1" t="n">
        <v>124</v>
      </c>
      <c r="D257" s="1" t="n">
        <v>865992</v>
      </c>
      <c r="E257" s="1" t="n">
        <v>0.10134</v>
      </c>
      <c r="G257" s="1" t="n">
        <v>0.023044348</v>
      </c>
      <c r="H257" s="1" t="n">
        <v>0.01480937</v>
      </c>
      <c r="I257" s="1" t="n">
        <v>0.016304255</v>
      </c>
      <c r="J257" s="1" t="n">
        <v>0.017833948</v>
      </c>
      <c r="K257" s="1" t="n">
        <v>0.015540123</v>
      </c>
      <c r="L257" s="1" t="n">
        <v>0.018345356</v>
      </c>
      <c r="M257" s="1" t="n">
        <v>0.015592813</v>
      </c>
      <c r="N257" s="1" t="n">
        <v>0.018803358</v>
      </c>
      <c r="O257" s="1" t="n">
        <v>0.015603304</v>
      </c>
      <c r="P257" s="1" t="n">
        <v>0.015032053</v>
      </c>
      <c r="R257" s="1" t="n">
        <f aca="false">PERCENTILE(G257:P257,0.9)</f>
        <v>0.019227457</v>
      </c>
      <c r="S257" s="5" t="n">
        <f aca="false">spmv_1!R$6/R257</f>
        <v>8.7497067656945</v>
      </c>
      <c r="T257" s="6" t="n">
        <f aca="false">S257/128</f>
        <v>0.0683570841069883</v>
      </c>
    </row>
    <row r="258" customFormat="false" ht="15" hidden="false" customHeight="false" outlineLevel="0" collapsed="false">
      <c r="A258" s="1" t="s">
        <v>16</v>
      </c>
      <c r="B258" s="1" t="n">
        <v>125</v>
      </c>
      <c r="D258" s="1" t="n">
        <v>865992</v>
      </c>
      <c r="E258" s="1" t="n">
        <v>0.102058</v>
      </c>
      <c r="G258" s="1" t="n">
        <v>0.022977829</v>
      </c>
      <c r="H258" s="1" t="n">
        <v>0.014686346</v>
      </c>
      <c r="I258" s="1" t="n">
        <v>0.016135454</v>
      </c>
      <c r="J258" s="1" t="n">
        <v>0.017560005</v>
      </c>
      <c r="K258" s="1" t="n">
        <v>0.01547575</v>
      </c>
      <c r="L258" s="1" t="n">
        <v>0.018079042</v>
      </c>
      <c r="M258" s="1" t="n">
        <v>0.015601635</v>
      </c>
      <c r="N258" s="1" t="n">
        <v>0.018684864</v>
      </c>
      <c r="O258" s="1" t="n">
        <v>0.015556335</v>
      </c>
      <c r="P258" s="1" t="n">
        <v>0.014948368</v>
      </c>
      <c r="R258" s="1" t="n">
        <f aca="false">PERCENTILE(G258:P258,0.9)</f>
        <v>0.0191141605</v>
      </c>
      <c r="S258" s="5" t="n">
        <f aca="false">spmv_1!R$6/R258</f>
        <v>8.80156942283707</v>
      </c>
      <c r="T258" s="6" t="n">
        <f aca="false">S258/128</f>
        <v>0.0687622611159146</v>
      </c>
    </row>
    <row r="259" customFormat="false" ht="15" hidden="false" customHeight="false" outlineLevel="0" collapsed="false">
      <c r="A259" s="1" t="s">
        <v>16</v>
      </c>
      <c r="B259" s="1" t="n">
        <v>126</v>
      </c>
      <c r="D259" s="1" t="n">
        <v>865644</v>
      </c>
      <c r="E259" s="1" t="n">
        <v>0.1025</v>
      </c>
      <c r="G259" s="1" t="n">
        <v>0.022987604</v>
      </c>
      <c r="H259" s="1" t="n">
        <v>0.014564991</v>
      </c>
      <c r="I259" s="1" t="n">
        <v>0.016018629</v>
      </c>
      <c r="J259" s="1" t="n">
        <v>0.017548561</v>
      </c>
      <c r="K259" s="1" t="n">
        <v>0.015360117</v>
      </c>
      <c r="L259" s="1" t="n">
        <v>0.018181324</v>
      </c>
      <c r="M259" s="1" t="n">
        <v>0.015508175</v>
      </c>
      <c r="N259" s="1" t="n">
        <v>0.018366337</v>
      </c>
      <c r="O259" s="1" t="n">
        <v>0.01550746</v>
      </c>
      <c r="P259" s="1" t="n">
        <v>0.014862776</v>
      </c>
      <c r="R259" s="1" t="n">
        <f aca="false">PERCENTILE(G259:P259,0.9)</f>
        <v>0.0188284637</v>
      </c>
      <c r="S259" s="5" t="n">
        <f aca="false">spmv_1!R$6/R259</f>
        <v>8.93512148843031</v>
      </c>
      <c r="T259" s="6" t="n">
        <f aca="false">S259/128</f>
        <v>0.0698056366283618</v>
      </c>
    </row>
    <row r="260" customFormat="false" ht="15" hidden="false" customHeight="false" outlineLevel="0" collapsed="false">
      <c r="A260" s="1" t="s">
        <v>16</v>
      </c>
      <c r="B260" s="1" t="n">
        <v>127</v>
      </c>
      <c r="D260" s="1" t="n">
        <v>865644</v>
      </c>
      <c r="E260" s="1" t="n">
        <v>0.104446</v>
      </c>
      <c r="G260" s="1" t="n">
        <v>0.022681952</v>
      </c>
      <c r="H260" s="1" t="n">
        <v>0.014352798</v>
      </c>
      <c r="I260" s="1" t="n">
        <v>0.015819073</v>
      </c>
      <c r="J260" s="1" t="n">
        <v>0.017359734</v>
      </c>
      <c r="K260" s="1" t="n">
        <v>0.014159441</v>
      </c>
      <c r="L260" s="1" t="n">
        <v>0.017933607</v>
      </c>
      <c r="M260" s="1" t="n">
        <v>0.015342951</v>
      </c>
      <c r="N260" s="1" t="n">
        <v>0.018091917</v>
      </c>
      <c r="O260" s="1" t="n">
        <v>0.015375376</v>
      </c>
      <c r="P260" s="1" t="n">
        <v>0.014641523</v>
      </c>
      <c r="R260" s="1" t="n">
        <f aca="false">PERCENTILE(G260:P260,0.9)</f>
        <v>0.0185509205</v>
      </c>
      <c r="S260" s="5" t="n">
        <f aca="false">spmv_1!R$6/R260</f>
        <v>9.06880122741079</v>
      </c>
      <c r="T260" s="6" t="n">
        <f aca="false">S260/128</f>
        <v>0.0708500095891468</v>
      </c>
    </row>
    <row r="261" customFormat="false" ht="15" hidden="false" customHeight="true" outlineLevel="0" collapsed="false">
      <c r="E261" s="10" t="n">
        <f aca="false">PERCENTILE(E133:E260,0.9)</f>
        <v>0.1297068</v>
      </c>
    </row>
    <row r="263" customFormat="false" ht="15" hidden="false" customHeight="false" outlineLevel="0" collapsed="false">
      <c r="A263" s="2" t="s">
        <v>0</v>
      </c>
      <c r="B263" s="2" t="s">
        <v>1</v>
      </c>
      <c r="C263" s="3"/>
      <c r="D263" s="2" t="s">
        <v>2</v>
      </c>
      <c r="E263" s="2" t="s">
        <v>3</v>
      </c>
      <c r="F263" s="3"/>
      <c r="G263" s="2" t="s">
        <v>4</v>
      </c>
      <c r="H263" s="2" t="s">
        <v>5</v>
      </c>
      <c r="I263" s="2" t="s">
        <v>6</v>
      </c>
      <c r="J263" s="2" t="s">
        <v>7</v>
      </c>
      <c r="K263" s="2" t="s">
        <v>8</v>
      </c>
      <c r="L263" s="2" t="s">
        <v>9</v>
      </c>
      <c r="M263" s="2" t="s">
        <v>10</v>
      </c>
      <c r="N263" s="2" t="s">
        <v>11</v>
      </c>
      <c r="O263" s="2" t="s">
        <v>12</v>
      </c>
      <c r="P263" s="2" t="s">
        <v>13</v>
      </c>
      <c r="R263" s="4" t="s">
        <v>14</v>
      </c>
      <c r="S263" s="7" t="s">
        <v>20</v>
      </c>
      <c r="T263" s="8" t="s">
        <v>21</v>
      </c>
    </row>
    <row r="264" customFormat="false" ht="15" hidden="false" customHeight="false" outlineLevel="0" collapsed="false">
      <c r="A264" s="1" t="s">
        <v>17</v>
      </c>
      <c r="B264" s="1" t="n">
        <v>0</v>
      </c>
      <c r="D264" s="1" t="n">
        <v>158175</v>
      </c>
      <c r="E264" s="1" t="n">
        <v>0.043679</v>
      </c>
      <c r="G264" s="1" t="n">
        <v>0.008079052</v>
      </c>
      <c r="H264" s="1" t="n">
        <v>0.007240295</v>
      </c>
      <c r="I264" s="1" t="n">
        <v>0.007109642</v>
      </c>
      <c r="J264" s="1" t="n">
        <v>0.007089138</v>
      </c>
      <c r="K264" s="1" t="n">
        <v>0.007127285</v>
      </c>
      <c r="L264" s="1" t="n">
        <v>0.007096767</v>
      </c>
      <c r="M264" s="1" t="n">
        <v>0.007086039</v>
      </c>
      <c r="N264" s="1" t="n">
        <v>0.007075548</v>
      </c>
      <c r="O264" s="1" t="n">
        <v>0.007097006</v>
      </c>
      <c r="P264" s="1" t="n">
        <v>0.007424593</v>
      </c>
      <c r="R264" s="1" t="n">
        <f aca="false">PERCENTILE(G264:P264,0.9)</f>
        <v>0.0074900389</v>
      </c>
      <c r="S264" s="5" t="n">
        <f aca="false">spmv_1!R$10/R264</f>
        <v>4.67710845934325</v>
      </c>
      <c r="T264" s="6" t="n">
        <f aca="false">S264/128</f>
        <v>0.0365399098386191</v>
      </c>
    </row>
    <row r="265" customFormat="false" ht="15" hidden="false" customHeight="false" outlineLevel="0" collapsed="false">
      <c r="A265" s="1" t="s">
        <v>17</v>
      </c>
      <c r="B265" s="1" t="n">
        <v>1</v>
      </c>
      <c r="D265" s="1" t="n">
        <v>158114</v>
      </c>
      <c r="E265" s="1" t="n">
        <v>0.045223</v>
      </c>
      <c r="G265" s="1" t="n">
        <v>0.007893324</v>
      </c>
      <c r="H265" s="1" t="n">
        <v>0.00696373</v>
      </c>
      <c r="I265" s="1" t="n">
        <v>0.006851435</v>
      </c>
      <c r="J265" s="1" t="n">
        <v>0.006840229</v>
      </c>
      <c r="K265" s="1" t="n">
        <v>0.006860971</v>
      </c>
      <c r="L265" s="1" t="n">
        <v>0.00683403</v>
      </c>
      <c r="M265" s="1" t="n">
        <v>0.006851435</v>
      </c>
      <c r="N265" s="1" t="n">
        <v>0.006831646</v>
      </c>
      <c r="O265" s="1" t="n">
        <v>0.006830692</v>
      </c>
      <c r="P265" s="1" t="n">
        <v>0.007169485</v>
      </c>
      <c r="R265" s="1" t="n">
        <f aca="false">PERCENTILE(G265:P265,0.9)</f>
        <v>0.0072418689</v>
      </c>
      <c r="S265" s="5" t="n">
        <f aca="false">spmv_1!R$10/R265</f>
        <v>4.83738725234311</v>
      </c>
      <c r="T265" s="6" t="n">
        <f aca="false">S265/128</f>
        <v>0.0377920879089305</v>
      </c>
    </row>
    <row r="266" customFormat="false" ht="15" hidden="false" customHeight="false" outlineLevel="0" collapsed="false">
      <c r="A266" s="1" t="s">
        <v>17</v>
      </c>
      <c r="B266" s="1" t="n">
        <v>2</v>
      </c>
      <c r="D266" s="1" t="n">
        <v>158224</v>
      </c>
      <c r="E266" s="1" t="n">
        <v>0.04574</v>
      </c>
      <c r="G266" s="1" t="n">
        <v>0.007801771</v>
      </c>
      <c r="H266" s="1" t="n">
        <v>0.006893158</v>
      </c>
      <c r="I266" s="1" t="n">
        <v>0.006766796</v>
      </c>
      <c r="J266" s="1" t="n">
        <v>0.006761789</v>
      </c>
      <c r="K266" s="1" t="n">
        <v>0.006785631</v>
      </c>
      <c r="L266" s="1" t="n">
        <v>0.006760359</v>
      </c>
      <c r="M266" s="1" t="n">
        <v>0.006780386</v>
      </c>
      <c r="N266" s="1" t="n">
        <v>0.006766319</v>
      </c>
      <c r="O266" s="1" t="n">
        <v>0.00676465</v>
      </c>
      <c r="P266" s="1" t="n">
        <v>0.007103205</v>
      </c>
      <c r="R266" s="1" t="n">
        <f aca="false">PERCENTILE(G266:P266,0.9)</f>
        <v>0.0071730616</v>
      </c>
      <c r="S266" s="5" t="n">
        <f aca="false">spmv_1!R$10/R266</f>
        <v>4.88378969169873</v>
      </c>
      <c r="T266" s="6" t="n">
        <f aca="false">S266/128</f>
        <v>0.0381546069663963</v>
      </c>
    </row>
    <row r="267" customFormat="false" ht="15" hidden="false" customHeight="false" outlineLevel="0" collapsed="false">
      <c r="A267" s="1" t="s">
        <v>17</v>
      </c>
      <c r="B267" s="1" t="n">
        <v>3</v>
      </c>
      <c r="D267" s="1" t="n">
        <v>158511</v>
      </c>
      <c r="E267" s="1" t="n">
        <v>0.045299</v>
      </c>
      <c r="G267" s="1" t="n">
        <v>0.007951736</v>
      </c>
      <c r="H267" s="1" t="n">
        <v>0.007000446</v>
      </c>
      <c r="I267" s="1" t="n">
        <v>0.006850243</v>
      </c>
      <c r="J267" s="1" t="n">
        <v>0.006836176</v>
      </c>
      <c r="K267" s="1" t="n">
        <v>0.006863117</v>
      </c>
      <c r="L267" s="1" t="n">
        <v>0.006834984</v>
      </c>
      <c r="M267" s="1" t="n">
        <v>0.006837845</v>
      </c>
      <c r="N267" s="1" t="n">
        <v>0.006833076</v>
      </c>
      <c r="O267" s="1" t="n">
        <v>0.006830692</v>
      </c>
      <c r="P267" s="1" t="n">
        <v>0.00714612</v>
      </c>
      <c r="R267" s="1" t="n">
        <f aca="false">PERCENTILE(G267:P267,0.9)</f>
        <v>0.0072266816</v>
      </c>
      <c r="S267" s="5" t="n">
        <f aca="false">spmv_1!R$10/R267</f>
        <v>4.84755330856143</v>
      </c>
      <c r="T267" s="6" t="n">
        <f aca="false">S267/128</f>
        <v>0.0378715102231362</v>
      </c>
    </row>
    <row r="268" customFormat="false" ht="15" hidden="false" customHeight="false" outlineLevel="0" collapsed="false">
      <c r="A268" s="1" t="s">
        <v>17</v>
      </c>
      <c r="B268" s="1" t="n">
        <v>4</v>
      </c>
      <c r="D268" s="1" t="n">
        <v>157981</v>
      </c>
      <c r="E268" s="1" t="n">
        <v>0.046154</v>
      </c>
      <c r="G268" s="1" t="n">
        <v>0.007727623</v>
      </c>
      <c r="H268" s="1" t="n">
        <v>0.006828547</v>
      </c>
      <c r="I268" s="1" t="n">
        <v>0.006700754</v>
      </c>
      <c r="J268" s="1" t="n">
        <v>0.00669384</v>
      </c>
      <c r="K268" s="1" t="n">
        <v>0.00671649</v>
      </c>
      <c r="L268" s="1" t="n">
        <v>0.00669837</v>
      </c>
      <c r="M268" s="1" t="n">
        <v>0.006701708</v>
      </c>
      <c r="N268" s="1" t="n">
        <v>0.0067029</v>
      </c>
      <c r="O268" s="1" t="n">
        <v>0.006697655</v>
      </c>
      <c r="P268" s="1" t="n">
        <v>0.006990433</v>
      </c>
      <c r="R268" s="1" t="n">
        <f aca="false">PERCENTILE(G268:P268,0.9)</f>
        <v>0.007064152</v>
      </c>
      <c r="S268" s="5" t="n">
        <f aca="false">spmv_1!R$10/R268</f>
        <v>4.9590841618357</v>
      </c>
      <c r="T268" s="6" t="n">
        <f aca="false">S268/128</f>
        <v>0.0387428450143414</v>
      </c>
    </row>
    <row r="269" customFormat="false" ht="15" hidden="false" customHeight="false" outlineLevel="0" collapsed="false">
      <c r="A269" s="1" t="s">
        <v>17</v>
      </c>
      <c r="B269" s="1" t="n">
        <v>5</v>
      </c>
      <c r="D269" s="1" t="n">
        <v>157992</v>
      </c>
      <c r="E269" s="1" t="n">
        <v>0.046072</v>
      </c>
      <c r="G269" s="1" t="n">
        <v>0.007740021</v>
      </c>
      <c r="H269" s="1" t="n">
        <v>0.006820202</v>
      </c>
      <c r="I269" s="1" t="n">
        <v>0.00673008</v>
      </c>
      <c r="J269" s="1" t="n">
        <v>0.006723166</v>
      </c>
      <c r="K269" s="1" t="n">
        <v>0.006723166</v>
      </c>
      <c r="L269" s="1" t="n">
        <v>0.006709814</v>
      </c>
      <c r="M269" s="1" t="n">
        <v>0.006720304</v>
      </c>
      <c r="N269" s="1" t="n">
        <v>0.006705523</v>
      </c>
      <c r="O269" s="1" t="n">
        <v>0.006709099</v>
      </c>
      <c r="P269" s="1" t="n">
        <v>0.007003546</v>
      </c>
      <c r="R269" s="1" t="n">
        <f aca="false">PERCENTILE(G269:P269,0.9)</f>
        <v>0.0070771935</v>
      </c>
      <c r="S269" s="5" t="n">
        <f aca="false">spmv_1!R$10/R269</f>
        <v>4.94994580832077</v>
      </c>
      <c r="T269" s="6" t="n">
        <f aca="false">S269/128</f>
        <v>0.038671451627506</v>
      </c>
    </row>
    <row r="270" customFormat="false" ht="15" hidden="false" customHeight="false" outlineLevel="0" collapsed="false">
      <c r="A270" s="1" t="s">
        <v>17</v>
      </c>
      <c r="B270" s="1" t="n">
        <v>6</v>
      </c>
      <c r="D270" s="1" t="n">
        <v>157918</v>
      </c>
      <c r="E270" s="1" t="n">
        <v>0.046068</v>
      </c>
      <c r="G270" s="1" t="n">
        <v>0.007827282</v>
      </c>
      <c r="H270" s="1" t="n">
        <v>0.006852627</v>
      </c>
      <c r="I270" s="1" t="n">
        <v>0.00671339</v>
      </c>
      <c r="J270" s="1" t="n">
        <v>0.006708384</v>
      </c>
      <c r="K270" s="1" t="n">
        <v>0.006712198</v>
      </c>
      <c r="L270" s="1" t="n">
        <v>0.006687403</v>
      </c>
      <c r="M270" s="1" t="n">
        <v>0.006703377</v>
      </c>
      <c r="N270" s="1" t="n">
        <v>0.006682396</v>
      </c>
      <c r="O270" s="1" t="n">
        <v>0.006694555</v>
      </c>
      <c r="P270" s="1" t="n">
        <v>0.006977081</v>
      </c>
      <c r="R270" s="1" t="n">
        <f aca="false">PERCENTILE(G270:P270,0.9)</f>
        <v>0.0070621011</v>
      </c>
      <c r="S270" s="5" t="n">
        <f aca="false">spmv_1!R$10/R270</f>
        <v>4.96052432611026</v>
      </c>
      <c r="T270" s="6" t="n">
        <f aca="false">S270/128</f>
        <v>0.0387540962977364</v>
      </c>
    </row>
    <row r="271" customFormat="false" ht="15" hidden="false" customHeight="false" outlineLevel="0" collapsed="false">
      <c r="A271" s="1" t="s">
        <v>17</v>
      </c>
      <c r="B271" s="1" t="n">
        <v>7</v>
      </c>
      <c r="D271" s="1" t="n">
        <v>158475</v>
      </c>
      <c r="E271" s="1" t="n">
        <v>0.046428</v>
      </c>
      <c r="G271" s="1" t="n">
        <v>0.007774591</v>
      </c>
      <c r="H271" s="1" t="n">
        <v>0.006836891</v>
      </c>
      <c r="I271" s="1" t="n">
        <v>0.00668335</v>
      </c>
      <c r="J271" s="1" t="n">
        <v>0.00667572</v>
      </c>
      <c r="K271" s="1" t="n">
        <v>0.006686449</v>
      </c>
      <c r="L271" s="1" t="n">
        <v>0.006666422</v>
      </c>
      <c r="M271" s="1" t="n">
        <v>0.006680965</v>
      </c>
      <c r="N271" s="1" t="n">
        <v>0.006661177</v>
      </c>
      <c r="O271" s="1" t="n">
        <v>0.006649971</v>
      </c>
      <c r="P271" s="1" t="n">
        <v>0.006951571</v>
      </c>
      <c r="R271" s="1" t="n">
        <f aca="false">PERCENTILE(G271:P271,0.9)</f>
        <v>0.007033873</v>
      </c>
      <c r="S271" s="5" t="n">
        <f aca="false">spmv_1!R$10/R271</f>
        <v>4.98043173369778</v>
      </c>
      <c r="T271" s="6" t="n">
        <f aca="false">S271/128</f>
        <v>0.0389096229195139</v>
      </c>
    </row>
    <row r="272" customFormat="false" ht="15" hidden="false" customHeight="false" outlineLevel="0" collapsed="false">
      <c r="A272" s="1" t="s">
        <v>17</v>
      </c>
      <c r="B272" s="1" t="n">
        <v>8</v>
      </c>
      <c r="D272" s="1" t="n">
        <v>159252</v>
      </c>
      <c r="E272" s="1" t="n">
        <v>0.04622</v>
      </c>
      <c r="G272" s="1" t="n">
        <v>0.007785559</v>
      </c>
      <c r="H272" s="1" t="n">
        <v>0.00690937</v>
      </c>
      <c r="I272" s="1" t="n">
        <v>0.006750345</v>
      </c>
      <c r="J272" s="1" t="n">
        <v>0.006750107</v>
      </c>
      <c r="K272" s="1" t="n">
        <v>0.006740332</v>
      </c>
      <c r="L272" s="1" t="n">
        <v>0.006696701</v>
      </c>
      <c r="M272" s="1" t="n">
        <v>0.006709099</v>
      </c>
      <c r="N272" s="1" t="n">
        <v>0.006715059</v>
      </c>
      <c r="O272" s="1" t="n">
        <v>0.00671339</v>
      </c>
      <c r="P272" s="1" t="n">
        <v>0.007141113</v>
      </c>
      <c r="R272" s="1" t="n">
        <f aca="false">PERCENTILE(G272:P272,0.9)</f>
        <v>0.0072055576</v>
      </c>
      <c r="S272" s="5" t="n">
        <f aca="false">spmv_1!R$10/R272</f>
        <v>4.86176452187406</v>
      </c>
      <c r="T272" s="6" t="n">
        <f aca="false">S272/128</f>
        <v>0.0379825353271411</v>
      </c>
    </row>
    <row r="273" customFormat="false" ht="15" hidden="false" customHeight="false" outlineLevel="0" collapsed="false">
      <c r="A273" s="1" t="s">
        <v>17</v>
      </c>
      <c r="B273" s="1" t="n">
        <v>9</v>
      </c>
      <c r="D273" s="1" t="n">
        <v>159097</v>
      </c>
      <c r="E273" s="1" t="n">
        <v>0.04693</v>
      </c>
      <c r="G273" s="1" t="n">
        <v>0.007720709</v>
      </c>
      <c r="H273" s="1" t="n">
        <v>0.006820917</v>
      </c>
      <c r="I273" s="1" t="n">
        <v>0.006635666</v>
      </c>
      <c r="J273" s="1" t="n">
        <v>0.00663662</v>
      </c>
      <c r="K273" s="1" t="n">
        <v>0.00663662</v>
      </c>
      <c r="L273" s="1" t="n">
        <v>0.006605387</v>
      </c>
      <c r="M273" s="1" t="n">
        <v>0.006619692</v>
      </c>
      <c r="N273" s="1" t="n">
        <v>0.006607056</v>
      </c>
      <c r="O273" s="1" t="n">
        <v>0.006605148</v>
      </c>
      <c r="P273" s="1" t="n">
        <v>0.006913424</v>
      </c>
      <c r="R273" s="1" t="n">
        <f aca="false">PERCENTILE(G273:P273,0.9)</f>
        <v>0.0069941525</v>
      </c>
      <c r="S273" s="5" t="n">
        <f aca="false">spmv_1!R$10/R273</f>
        <v>5.00871610963587</v>
      </c>
      <c r="T273" s="6" t="n">
        <f aca="false">S273/128</f>
        <v>0.0391305946065303</v>
      </c>
    </row>
    <row r="274" customFormat="false" ht="15" hidden="false" customHeight="false" outlineLevel="0" collapsed="false">
      <c r="A274" s="1" t="s">
        <v>17</v>
      </c>
      <c r="B274" s="1" t="n">
        <v>10</v>
      </c>
      <c r="D274" s="1" t="n">
        <v>158326</v>
      </c>
      <c r="E274" s="1" t="n">
        <v>0.046986</v>
      </c>
      <c r="G274" s="1" t="n">
        <v>0.007675171</v>
      </c>
      <c r="H274" s="1" t="n">
        <v>0.006770849</v>
      </c>
      <c r="I274" s="1" t="n">
        <v>0.006583691</v>
      </c>
      <c r="J274" s="1" t="n">
        <v>0.006582737</v>
      </c>
      <c r="K274" s="1" t="n">
        <v>0.006603479</v>
      </c>
      <c r="L274" s="1" t="n">
        <v>0.006565809</v>
      </c>
      <c r="M274" s="1" t="n">
        <v>0.006587267</v>
      </c>
      <c r="N274" s="1" t="n">
        <v>0.006577492</v>
      </c>
      <c r="O274" s="1" t="n">
        <v>0.006572485</v>
      </c>
      <c r="P274" s="1" t="n">
        <v>0.006874561</v>
      </c>
      <c r="R274" s="1" t="n">
        <f aca="false">PERCENTILE(G274:P274,0.9)</f>
        <v>0.006954622</v>
      </c>
      <c r="S274" s="5" t="n">
        <f aca="false">spmv_1!R$10/R274</f>
        <v>5.03718596064603</v>
      </c>
      <c r="T274" s="6" t="n">
        <f aca="false">S274/128</f>
        <v>0.0393530153175471</v>
      </c>
    </row>
    <row r="275" customFormat="false" ht="15" hidden="false" customHeight="false" outlineLevel="0" collapsed="false">
      <c r="A275" s="1" t="s">
        <v>17</v>
      </c>
      <c r="B275" s="1" t="n">
        <v>11</v>
      </c>
      <c r="D275" s="1" t="n">
        <v>158250</v>
      </c>
      <c r="E275" s="1" t="n">
        <v>0.046785</v>
      </c>
      <c r="G275" s="1" t="n">
        <v>0.007684946</v>
      </c>
      <c r="H275" s="1" t="n">
        <v>0.006795645</v>
      </c>
      <c r="I275" s="1" t="n">
        <v>0.006624222</v>
      </c>
      <c r="J275" s="1" t="n">
        <v>0.006639004</v>
      </c>
      <c r="K275" s="1" t="n">
        <v>0.006617546</v>
      </c>
      <c r="L275" s="1" t="n">
        <v>0.006596804</v>
      </c>
      <c r="M275" s="1" t="n">
        <v>0.006604433</v>
      </c>
      <c r="N275" s="1" t="n">
        <v>0.006596327</v>
      </c>
      <c r="O275" s="1" t="n">
        <v>0.006594419</v>
      </c>
      <c r="P275" s="1" t="n">
        <v>0.006896019</v>
      </c>
      <c r="R275" s="1" t="n">
        <f aca="false">PERCENTILE(G275:P275,0.9)</f>
        <v>0.0069749117</v>
      </c>
      <c r="S275" s="5" t="n">
        <f aca="false">spmv_1!R$10/R275</f>
        <v>5.02253301643948</v>
      </c>
      <c r="T275" s="6" t="n">
        <f aca="false">S275/128</f>
        <v>0.0392385391909334</v>
      </c>
    </row>
    <row r="276" customFormat="false" ht="15" hidden="false" customHeight="false" outlineLevel="0" collapsed="false">
      <c r="A276" s="1" t="s">
        <v>17</v>
      </c>
      <c r="B276" s="1" t="n">
        <v>12</v>
      </c>
      <c r="D276" s="1" t="n">
        <v>157333</v>
      </c>
      <c r="E276" s="1" t="n">
        <v>0.046753</v>
      </c>
      <c r="G276" s="1" t="n">
        <v>0.007661104</v>
      </c>
      <c r="H276" s="1" t="n">
        <v>0.006764412</v>
      </c>
      <c r="I276" s="1" t="n">
        <v>0.0065763</v>
      </c>
      <c r="J276" s="1" t="n">
        <v>0.006587267</v>
      </c>
      <c r="K276" s="1" t="n">
        <v>0.006599903</v>
      </c>
      <c r="L276" s="1" t="n">
        <v>0.006547451</v>
      </c>
      <c r="M276" s="1" t="n">
        <v>0.006575346</v>
      </c>
      <c r="N276" s="1" t="n">
        <v>0.006568193</v>
      </c>
      <c r="O276" s="1" t="n">
        <v>0.006562948</v>
      </c>
      <c r="P276" s="1" t="n">
        <v>0.006860733</v>
      </c>
      <c r="R276" s="1" t="n">
        <f aca="false">PERCENTILE(G276:P276,0.9)</f>
        <v>0.0069407701</v>
      </c>
      <c r="S276" s="5" t="n">
        <f aca="false">spmv_1!R$10/R276</f>
        <v>5.04723882152501</v>
      </c>
      <c r="T276" s="6" t="n">
        <f aca="false">S276/128</f>
        <v>0.0394315532931641</v>
      </c>
    </row>
    <row r="277" customFormat="false" ht="15" hidden="false" customHeight="false" outlineLevel="0" collapsed="false">
      <c r="A277" s="1" t="s">
        <v>17</v>
      </c>
      <c r="B277" s="1" t="n">
        <v>13</v>
      </c>
      <c r="D277" s="1" t="n">
        <v>157253</v>
      </c>
      <c r="E277" s="1" t="n">
        <v>0.047638</v>
      </c>
      <c r="G277" s="1" t="n">
        <v>0.007503271</v>
      </c>
      <c r="H277" s="1" t="n">
        <v>0.006626606</v>
      </c>
      <c r="I277" s="1" t="n">
        <v>0.00645566</v>
      </c>
      <c r="J277" s="1" t="n">
        <v>0.006459475</v>
      </c>
      <c r="K277" s="1" t="n">
        <v>0.006468534</v>
      </c>
      <c r="L277" s="1" t="n">
        <v>0.006425381</v>
      </c>
      <c r="M277" s="1" t="n">
        <v>0.006454468</v>
      </c>
      <c r="N277" s="1" t="n">
        <v>0.006446838</v>
      </c>
      <c r="O277" s="1" t="n">
        <v>0.006439209</v>
      </c>
      <c r="P277" s="1" t="n">
        <v>0.006739855</v>
      </c>
      <c r="R277" s="1" t="n">
        <f aca="false">PERCENTILE(G277:P277,0.9)</f>
        <v>0.0068161966</v>
      </c>
      <c r="S277" s="5" t="n">
        <f aca="false">spmv_1!R$10/R277</f>
        <v>5.1394826698514</v>
      </c>
      <c r="T277" s="6" t="n">
        <f aca="false">S277/128</f>
        <v>0.040152208358214</v>
      </c>
    </row>
    <row r="278" customFormat="false" ht="15" hidden="false" customHeight="false" outlineLevel="0" collapsed="false">
      <c r="A278" s="1" t="s">
        <v>17</v>
      </c>
      <c r="B278" s="1" t="n">
        <v>14</v>
      </c>
      <c r="D278" s="1" t="n">
        <v>156936</v>
      </c>
      <c r="E278" s="1" t="n">
        <v>0.04783</v>
      </c>
      <c r="G278" s="1" t="n">
        <v>0.007467747</v>
      </c>
      <c r="H278" s="1" t="n">
        <v>0.00658083</v>
      </c>
      <c r="I278" s="1" t="n">
        <v>0.00641489</v>
      </c>
      <c r="J278" s="1" t="n">
        <v>0.006415606</v>
      </c>
      <c r="K278" s="1" t="n">
        <v>0.006438255</v>
      </c>
      <c r="L278" s="1" t="n">
        <v>0.006398678</v>
      </c>
      <c r="M278" s="1" t="n">
        <v>0.006412506</v>
      </c>
      <c r="N278" s="1" t="n">
        <v>0.006412745</v>
      </c>
      <c r="O278" s="1" t="n">
        <v>0.006395578</v>
      </c>
      <c r="P278" s="1" t="n">
        <v>0.006685019</v>
      </c>
      <c r="R278" s="1" t="n">
        <f aca="false">PERCENTILE(G278:P278,0.9)</f>
        <v>0.0067632918</v>
      </c>
      <c r="S278" s="5" t="n">
        <f aca="false">spmv_1!R$10/R278</f>
        <v>5.17968547505225</v>
      </c>
      <c r="T278" s="6" t="n">
        <f aca="false">S278/128</f>
        <v>0.0404662927738457</v>
      </c>
    </row>
    <row r="279" customFormat="false" ht="15" hidden="false" customHeight="false" outlineLevel="0" collapsed="false">
      <c r="A279" s="1" t="s">
        <v>17</v>
      </c>
      <c r="B279" s="1" t="n">
        <v>15</v>
      </c>
      <c r="D279" s="1" t="n">
        <v>157029</v>
      </c>
      <c r="E279" s="1" t="n">
        <v>0.04785</v>
      </c>
      <c r="G279" s="1" t="n">
        <v>0.007451296</v>
      </c>
      <c r="H279" s="1" t="n">
        <v>0.006580353</v>
      </c>
      <c r="I279" s="1" t="n">
        <v>0.006439209</v>
      </c>
      <c r="J279" s="1" t="n">
        <v>0.006418467</v>
      </c>
      <c r="K279" s="1" t="n">
        <v>0.006431341</v>
      </c>
      <c r="L279" s="1" t="n">
        <v>0.00639987</v>
      </c>
      <c r="M279" s="1" t="n">
        <v>0.006409407</v>
      </c>
      <c r="N279" s="1" t="n">
        <v>0.006418228</v>
      </c>
      <c r="O279" s="1" t="n">
        <v>0.006401062</v>
      </c>
      <c r="P279" s="1" t="n">
        <v>0.006684065</v>
      </c>
      <c r="R279" s="1" t="n">
        <f aca="false">PERCENTILE(G279:P279,0.9)</f>
        <v>0.0067607881</v>
      </c>
      <c r="S279" s="5" t="n">
        <f aca="false">spmv_1!R$10/R279</f>
        <v>5.18160365061582</v>
      </c>
      <c r="T279" s="6" t="n">
        <f aca="false">S279/128</f>
        <v>0.0404812785204361</v>
      </c>
    </row>
    <row r="280" customFormat="false" ht="15" hidden="false" customHeight="false" outlineLevel="0" collapsed="false">
      <c r="A280" s="1" t="s">
        <v>17</v>
      </c>
      <c r="B280" s="1" t="n">
        <v>16</v>
      </c>
      <c r="D280" s="1" t="n">
        <v>158134</v>
      </c>
      <c r="E280" s="1" t="n">
        <v>0.046345</v>
      </c>
      <c r="G280" s="1" t="n">
        <v>0.007688999</v>
      </c>
      <c r="H280" s="1" t="n">
        <v>0.006901026</v>
      </c>
      <c r="I280" s="1" t="n">
        <v>0.006707191</v>
      </c>
      <c r="J280" s="1" t="n">
        <v>0.006741285</v>
      </c>
      <c r="K280" s="1" t="n">
        <v>0.006668568</v>
      </c>
      <c r="L280" s="1" t="n">
        <v>0.006626606</v>
      </c>
      <c r="M280" s="1" t="n">
        <v>0.006660223</v>
      </c>
      <c r="N280" s="1" t="n">
        <v>0.006669521</v>
      </c>
      <c r="O280" s="1" t="n">
        <v>0.0066576</v>
      </c>
      <c r="P280" s="1" t="n">
        <v>0.006921768</v>
      </c>
      <c r="R280" s="1" t="n">
        <f aca="false">PERCENTILE(G280:P280,0.9)</f>
        <v>0.0069984911</v>
      </c>
      <c r="S280" s="5" t="n">
        <f aca="false">spmv_1!R$10/R280</f>
        <v>5.00561103807076</v>
      </c>
      <c r="T280" s="6" t="n">
        <f aca="false">S280/128</f>
        <v>0.0391063362349278</v>
      </c>
    </row>
    <row r="281" customFormat="false" ht="15" hidden="false" customHeight="false" outlineLevel="0" collapsed="false">
      <c r="A281" s="1" t="s">
        <v>17</v>
      </c>
      <c r="B281" s="1" t="n">
        <v>17</v>
      </c>
      <c r="D281" s="1" t="n">
        <v>158352</v>
      </c>
      <c r="E281" s="1" t="n">
        <v>0.046751</v>
      </c>
      <c r="G281" s="1" t="n">
        <v>0.007632017</v>
      </c>
      <c r="H281" s="1" t="n">
        <v>0.00686264</v>
      </c>
      <c r="I281" s="1" t="n">
        <v>0.006674528</v>
      </c>
      <c r="J281" s="1" t="n">
        <v>0.00670433</v>
      </c>
      <c r="K281" s="1" t="n">
        <v>0.00661397</v>
      </c>
      <c r="L281" s="1" t="n">
        <v>0.006569862</v>
      </c>
      <c r="M281" s="1" t="n">
        <v>0.006599903</v>
      </c>
      <c r="N281" s="1" t="n">
        <v>0.006615162</v>
      </c>
      <c r="O281" s="1" t="n">
        <v>0.006603956</v>
      </c>
      <c r="P281" s="1" t="n">
        <v>0.006866932</v>
      </c>
      <c r="R281" s="1" t="n">
        <f aca="false">PERCENTILE(G281:P281,0.9)</f>
        <v>0.0069434405</v>
      </c>
      <c r="S281" s="5" t="n">
        <f aca="false">spmv_1!R$10/R281</f>
        <v>5.04529768779613</v>
      </c>
      <c r="T281" s="6" t="n">
        <f aca="false">S281/128</f>
        <v>0.0394163881859073</v>
      </c>
    </row>
    <row r="282" customFormat="false" ht="15" hidden="false" customHeight="false" outlineLevel="0" collapsed="false">
      <c r="A282" s="1" t="s">
        <v>17</v>
      </c>
      <c r="B282" s="1" t="n">
        <v>18</v>
      </c>
      <c r="D282" s="1" t="n">
        <v>158217</v>
      </c>
      <c r="E282" s="1" t="n">
        <v>0.046833</v>
      </c>
      <c r="G282" s="1" t="n">
        <v>0.007637024</v>
      </c>
      <c r="H282" s="1" t="n">
        <v>0.006852627</v>
      </c>
      <c r="I282" s="1" t="n">
        <v>0.006650448</v>
      </c>
      <c r="J282" s="1" t="n">
        <v>0.006688595</v>
      </c>
      <c r="K282" s="1" t="n">
        <v>0.006592512</v>
      </c>
      <c r="L282" s="1" t="n">
        <v>0.006554604</v>
      </c>
      <c r="M282" s="1" t="n">
        <v>0.006561041</v>
      </c>
      <c r="N282" s="1" t="n">
        <v>0.006603956</v>
      </c>
      <c r="O282" s="1" t="n">
        <v>0.006581068</v>
      </c>
      <c r="P282" s="1" t="n">
        <v>0.006844282</v>
      </c>
      <c r="R282" s="1" t="n">
        <f aca="false">PERCENTILE(G282:P282,0.9)</f>
        <v>0.0069310667</v>
      </c>
      <c r="S282" s="5" t="n">
        <f aca="false">spmv_1!R$10/R282</f>
        <v>5.05430488787534</v>
      </c>
      <c r="T282" s="6" t="n">
        <f aca="false">S282/128</f>
        <v>0.0394867569365261</v>
      </c>
    </row>
    <row r="283" customFormat="false" ht="15" hidden="false" customHeight="false" outlineLevel="0" collapsed="false">
      <c r="A283" s="1" t="s">
        <v>17</v>
      </c>
      <c r="B283" s="1" t="n">
        <v>19</v>
      </c>
      <c r="D283" s="1" t="n">
        <v>158676</v>
      </c>
      <c r="E283" s="1" t="n">
        <v>0.047843</v>
      </c>
      <c r="G283" s="1" t="n">
        <v>0.007493496</v>
      </c>
      <c r="H283" s="1" t="n">
        <v>0.006679058</v>
      </c>
      <c r="I283" s="1" t="n">
        <v>0.006546497</v>
      </c>
      <c r="J283" s="1" t="n">
        <v>0.006581783</v>
      </c>
      <c r="K283" s="1" t="n">
        <v>0.006486893</v>
      </c>
      <c r="L283" s="1" t="n">
        <v>0.006440639</v>
      </c>
      <c r="M283" s="1" t="n">
        <v>0.006458998</v>
      </c>
      <c r="N283" s="1" t="n">
        <v>0.00646472</v>
      </c>
      <c r="O283" s="1" t="n">
        <v>0.006457567</v>
      </c>
      <c r="P283" s="1" t="n">
        <v>0.006722212</v>
      </c>
      <c r="R283" s="1" t="n">
        <f aca="false">PERCENTILE(G283:P283,0.9)</f>
        <v>0.0067993404</v>
      </c>
      <c r="S283" s="5" t="n">
        <f aca="false">spmv_1!R$10/R283</f>
        <v>5.15222392748567</v>
      </c>
      <c r="T283" s="6" t="n">
        <f aca="false">S283/128</f>
        <v>0.0402517494334818</v>
      </c>
    </row>
    <row r="284" customFormat="false" ht="15" hidden="false" customHeight="false" outlineLevel="0" collapsed="false">
      <c r="A284" s="1" t="s">
        <v>17</v>
      </c>
      <c r="B284" s="1" t="n">
        <v>20</v>
      </c>
      <c r="D284" s="1" t="n">
        <v>157833</v>
      </c>
      <c r="E284" s="1" t="n">
        <v>0.047673</v>
      </c>
      <c r="G284" s="1" t="n">
        <v>0.00748229</v>
      </c>
      <c r="H284" s="1" t="n">
        <v>0.006695747</v>
      </c>
      <c r="I284" s="1" t="n">
        <v>0.006531954</v>
      </c>
      <c r="J284" s="1" t="n">
        <v>0.00658679</v>
      </c>
      <c r="K284" s="1" t="n">
        <v>0.006473064</v>
      </c>
      <c r="L284" s="1" t="n">
        <v>0.006416559</v>
      </c>
      <c r="M284" s="1" t="n">
        <v>0.006444216</v>
      </c>
      <c r="N284" s="1" t="n">
        <v>0.006464481</v>
      </c>
      <c r="O284" s="1" t="n">
        <v>0.006434441</v>
      </c>
      <c r="P284" s="1" t="n">
        <v>0.006685495</v>
      </c>
      <c r="R284" s="1" t="n">
        <f aca="false">PERCENTILE(G284:P284,0.9)</f>
        <v>0.0067744013</v>
      </c>
      <c r="S284" s="5" t="n">
        <f aca="false">spmv_1!R$10/R284</f>
        <v>5.17119118703523</v>
      </c>
      <c r="T284" s="6" t="n">
        <f aca="false">S284/128</f>
        <v>0.0403999311487127</v>
      </c>
    </row>
    <row r="285" customFormat="false" ht="15" hidden="false" customHeight="false" outlineLevel="0" collapsed="false">
      <c r="A285" s="1" t="s">
        <v>17</v>
      </c>
      <c r="B285" s="1" t="n">
        <v>21</v>
      </c>
      <c r="D285" s="1" t="n">
        <v>157773</v>
      </c>
      <c r="E285" s="1" t="n">
        <v>0.049488</v>
      </c>
      <c r="G285" s="1" t="n">
        <v>0.007185936</v>
      </c>
      <c r="H285" s="1" t="n">
        <v>0.006367683</v>
      </c>
      <c r="I285" s="1" t="n">
        <v>0.006242275</v>
      </c>
      <c r="J285" s="1" t="n">
        <v>0.006258726</v>
      </c>
      <c r="K285" s="1" t="n">
        <v>0.006258488</v>
      </c>
      <c r="L285" s="1" t="n">
        <v>0.006199837</v>
      </c>
      <c r="M285" s="1" t="n">
        <v>0.00624156</v>
      </c>
      <c r="N285" s="1" t="n">
        <v>0.006243229</v>
      </c>
      <c r="O285" s="1" t="n">
        <v>0.006259918</v>
      </c>
      <c r="P285" s="1" t="n">
        <v>0.006504297</v>
      </c>
      <c r="R285" s="1" t="n">
        <f aca="false">PERCENTILE(G285:P285,0.9)</f>
        <v>0.0065724609</v>
      </c>
      <c r="S285" s="5" t="n">
        <f aca="false">spmv_1!R$10/R285</f>
        <v>5.33007724701717</v>
      </c>
      <c r="T285" s="6" t="n">
        <f aca="false">S285/128</f>
        <v>0.0416412284923217</v>
      </c>
    </row>
    <row r="286" customFormat="false" ht="15" hidden="false" customHeight="false" outlineLevel="0" collapsed="false">
      <c r="A286" s="1" t="s">
        <v>17</v>
      </c>
      <c r="B286" s="1" t="n">
        <v>22</v>
      </c>
      <c r="D286" s="1" t="n">
        <v>157565</v>
      </c>
      <c r="E286" s="1" t="n">
        <v>0.047962</v>
      </c>
      <c r="G286" s="1" t="n">
        <v>0.007474422</v>
      </c>
      <c r="H286" s="1" t="n">
        <v>0.006680489</v>
      </c>
      <c r="I286" s="1" t="n">
        <v>0.006480932</v>
      </c>
      <c r="J286" s="1" t="n">
        <v>0.006551266</v>
      </c>
      <c r="K286" s="1" t="n">
        <v>0.006402016</v>
      </c>
      <c r="L286" s="1" t="n">
        <v>0.006352663</v>
      </c>
      <c r="M286" s="1" t="n">
        <v>0.006367922</v>
      </c>
      <c r="N286" s="1" t="n">
        <v>0.006390333</v>
      </c>
      <c r="O286" s="1" t="n">
        <v>0.00636816</v>
      </c>
      <c r="P286" s="1" t="n">
        <v>0.006636143</v>
      </c>
      <c r="R286" s="1" t="n">
        <f aca="false">PERCENTILE(G286:P286,0.9)</f>
        <v>0.0067598823</v>
      </c>
      <c r="S286" s="5" t="n">
        <f aca="false">spmv_1!R$10/R286</f>
        <v>5.18229796693354</v>
      </c>
      <c r="T286" s="6" t="n">
        <f aca="false">S286/128</f>
        <v>0.0404867028666683</v>
      </c>
    </row>
    <row r="287" customFormat="false" ht="15" hidden="false" customHeight="false" outlineLevel="0" collapsed="false">
      <c r="A287" s="1" t="s">
        <v>17</v>
      </c>
      <c r="B287" s="1" t="n">
        <v>23</v>
      </c>
      <c r="D287" s="1" t="n">
        <v>157323</v>
      </c>
      <c r="E287" s="1" t="n">
        <v>0.048486</v>
      </c>
      <c r="G287" s="1" t="n">
        <v>0.00729537</v>
      </c>
      <c r="H287" s="1" t="n">
        <v>0.006558418</v>
      </c>
      <c r="I287" s="1" t="n">
        <v>0.006418228</v>
      </c>
      <c r="J287" s="1" t="n">
        <v>0.006470919</v>
      </c>
      <c r="K287" s="1" t="n">
        <v>0.006336212</v>
      </c>
      <c r="L287" s="1" t="n">
        <v>0.006291389</v>
      </c>
      <c r="M287" s="1" t="n">
        <v>0.006330967</v>
      </c>
      <c r="N287" s="1" t="n">
        <v>0.006318092</v>
      </c>
      <c r="O287" s="1" t="n">
        <v>0.006317377</v>
      </c>
      <c r="P287" s="1" t="n">
        <v>0.006556749</v>
      </c>
      <c r="R287" s="1" t="n">
        <f aca="false">PERCENTILE(G287:P287,0.9)</f>
        <v>0.0066321132</v>
      </c>
      <c r="S287" s="5" t="n">
        <f aca="false">spmv_1!R$10/R287</f>
        <v>5.2821360618513</v>
      </c>
      <c r="T287" s="6" t="n">
        <f aca="false">S287/128</f>
        <v>0.0412666879832133</v>
      </c>
    </row>
    <row r="288" customFormat="false" ht="15" hidden="false" customHeight="false" outlineLevel="0" collapsed="false">
      <c r="A288" s="1" t="s">
        <v>17</v>
      </c>
      <c r="B288" s="1" t="n">
        <v>24</v>
      </c>
      <c r="D288" s="1" t="n">
        <v>158786</v>
      </c>
      <c r="E288" s="1" t="n">
        <v>0.049936</v>
      </c>
      <c r="G288" s="1" t="n">
        <v>0.007226229</v>
      </c>
      <c r="H288" s="1" t="n">
        <v>0.006321907</v>
      </c>
      <c r="I288" s="1" t="n">
        <v>0.006221771</v>
      </c>
      <c r="J288" s="1" t="n">
        <v>0.006213427</v>
      </c>
      <c r="K288" s="1" t="n">
        <v>0.006281614</v>
      </c>
      <c r="L288" s="1" t="n">
        <v>0.006169796</v>
      </c>
      <c r="M288" s="1" t="n">
        <v>0.006175756</v>
      </c>
      <c r="N288" s="1" t="n">
        <v>0.006249428</v>
      </c>
      <c r="O288" s="1" t="n">
        <v>0.00629282</v>
      </c>
      <c r="P288" s="1" t="n">
        <v>0.006442547</v>
      </c>
      <c r="R288" s="1" t="n">
        <f aca="false">PERCENTILE(G288:P288,0.9)</f>
        <v>0.0065209152</v>
      </c>
      <c r="S288" s="5" t="n">
        <f aca="false">spmv_1!R$10/R288</f>
        <v>5.37220976282593</v>
      </c>
      <c r="T288" s="6" t="n">
        <f aca="false">S288/128</f>
        <v>0.0419703887720776</v>
      </c>
    </row>
    <row r="289" customFormat="false" ht="15" hidden="false" customHeight="false" outlineLevel="0" collapsed="false">
      <c r="A289" s="1" t="s">
        <v>17</v>
      </c>
      <c r="B289" s="1" t="n">
        <v>25</v>
      </c>
      <c r="D289" s="1" t="n">
        <v>159348</v>
      </c>
      <c r="E289" s="1" t="n">
        <v>0.049686</v>
      </c>
      <c r="G289" s="1" t="n">
        <v>0.007193089</v>
      </c>
      <c r="H289" s="1" t="n">
        <v>0.006429911</v>
      </c>
      <c r="I289" s="1" t="n">
        <v>0.00635457</v>
      </c>
      <c r="J289" s="1" t="n">
        <v>0.006318808</v>
      </c>
      <c r="K289" s="1" t="n">
        <v>0.006308794</v>
      </c>
      <c r="L289" s="1" t="n">
        <v>0.00624752</v>
      </c>
      <c r="M289" s="1" t="n">
        <v>0.006263018</v>
      </c>
      <c r="N289" s="1" t="n">
        <v>0.006276846</v>
      </c>
      <c r="O289" s="1" t="n">
        <v>0.006252527</v>
      </c>
      <c r="P289" s="1" t="n">
        <v>0.006496668</v>
      </c>
      <c r="R289" s="1" t="n">
        <f aca="false">PERCENTILE(G289:P289,0.9)</f>
        <v>0.0065663101</v>
      </c>
      <c r="S289" s="5" t="n">
        <f aca="false">spmv_1!R$10/R289</f>
        <v>5.33507004184892</v>
      </c>
      <c r="T289" s="6" t="n">
        <f aca="false">S289/128</f>
        <v>0.0416802347019447</v>
      </c>
    </row>
    <row r="290" customFormat="false" ht="15" hidden="false" customHeight="false" outlineLevel="0" collapsed="false">
      <c r="A290" s="1" t="s">
        <v>17</v>
      </c>
      <c r="B290" s="1" t="n">
        <v>26</v>
      </c>
      <c r="D290" s="1" t="n">
        <v>159220</v>
      </c>
      <c r="E290" s="1" t="n">
        <v>0.050412</v>
      </c>
      <c r="G290" s="1" t="n">
        <v>0.007277012</v>
      </c>
      <c r="H290" s="1" t="n">
        <v>0.006298542</v>
      </c>
      <c r="I290" s="1" t="n">
        <v>0.006160498</v>
      </c>
      <c r="J290" s="1" t="n">
        <v>0.006161451</v>
      </c>
      <c r="K290" s="1" t="n">
        <v>0.006242514</v>
      </c>
      <c r="L290" s="1" t="n">
        <v>0.00611949</v>
      </c>
      <c r="M290" s="1" t="n">
        <v>0.006106615</v>
      </c>
      <c r="N290" s="1" t="n">
        <v>0.006187677</v>
      </c>
      <c r="O290" s="1" t="n">
        <v>0.006219864</v>
      </c>
      <c r="P290" s="1" t="n">
        <v>0.006394386</v>
      </c>
      <c r="R290" s="1" t="n">
        <f aca="false">PERCENTILE(G290:P290,0.9)</f>
        <v>0.0064826486</v>
      </c>
      <c r="S290" s="5" t="n">
        <f aca="false">spmv_1!R$10/R290</f>
        <v>5.40392152368092</v>
      </c>
      <c r="T290" s="6" t="n">
        <f aca="false">S290/128</f>
        <v>0.0422181369037572</v>
      </c>
    </row>
    <row r="291" customFormat="false" ht="15" hidden="false" customHeight="false" outlineLevel="0" collapsed="false">
      <c r="A291" s="1" t="s">
        <v>17</v>
      </c>
      <c r="B291" s="1" t="n">
        <v>27</v>
      </c>
      <c r="D291" s="1" t="n">
        <v>159132</v>
      </c>
      <c r="E291" s="1" t="n">
        <v>0.05095</v>
      </c>
      <c r="G291" s="1" t="n">
        <v>0.007137537</v>
      </c>
      <c r="H291" s="1" t="n">
        <v>0.006213903</v>
      </c>
      <c r="I291" s="1" t="n">
        <v>0.006168365</v>
      </c>
      <c r="J291" s="1" t="n">
        <v>0.006123543</v>
      </c>
      <c r="K291" s="1" t="n">
        <v>0.006137609</v>
      </c>
      <c r="L291" s="1" t="n">
        <v>0.006079674</v>
      </c>
      <c r="M291" s="1" t="n">
        <v>0.00608182</v>
      </c>
      <c r="N291" s="1" t="n">
        <v>0.006103516</v>
      </c>
      <c r="O291" s="1" t="n">
        <v>0.006098032</v>
      </c>
      <c r="P291" s="1" t="n">
        <v>0.006322384</v>
      </c>
      <c r="R291" s="1" t="n">
        <f aca="false">PERCENTILE(G291:P291,0.9)</f>
        <v>0.0064038993</v>
      </c>
      <c r="S291" s="5" t="n">
        <f aca="false">spmv_1!R$10/R291</f>
        <v>5.47037401103418</v>
      </c>
      <c r="T291" s="6" t="n">
        <f aca="false">S291/128</f>
        <v>0.0427372969612046</v>
      </c>
    </row>
    <row r="292" customFormat="false" ht="15" hidden="false" customHeight="false" outlineLevel="0" collapsed="false">
      <c r="A292" s="1" t="s">
        <v>17</v>
      </c>
      <c r="B292" s="1" t="n">
        <v>28</v>
      </c>
      <c r="D292" s="1" t="n">
        <v>157689</v>
      </c>
      <c r="E292" s="1" t="n">
        <v>0.050799</v>
      </c>
      <c r="G292" s="1" t="n">
        <v>0.007097244</v>
      </c>
      <c r="H292" s="1" t="n">
        <v>0.006156445</v>
      </c>
      <c r="I292" s="1" t="n">
        <v>0.006078959</v>
      </c>
      <c r="J292" s="1" t="n">
        <v>0.006052494</v>
      </c>
      <c r="K292" s="1" t="n">
        <v>0.006159782</v>
      </c>
      <c r="L292" s="1" t="n">
        <v>0.00602603</v>
      </c>
      <c r="M292" s="1" t="n">
        <v>0.006009579</v>
      </c>
      <c r="N292" s="1" t="n">
        <v>0.006101608</v>
      </c>
      <c r="O292" s="1" t="n">
        <v>0.006122112</v>
      </c>
      <c r="P292" s="1" t="n">
        <v>0.006278992</v>
      </c>
      <c r="R292" s="1" t="n">
        <f aca="false">PERCENTILE(G292:P292,0.9)</f>
        <v>0.0063608172</v>
      </c>
      <c r="S292" s="5" t="n">
        <f aca="false">spmv_1!R$10/R292</f>
        <v>5.5074250994039</v>
      </c>
      <c r="T292" s="6" t="n">
        <f aca="false">S292/128</f>
        <v>0.0430267585890929</v>
      </c>
    </row>
    <row r="293" customFormat="false" ht="15" hidden="false" customHeight="false" outlineLevel="0" collapsed="false">
      <c r="A293" s="1" t="s">
        <v>17</v>
      </c>
      <c r="B293" s="1" t="n">
        <v>29</v>
      </c>
      <c r="D293" s="1" t="n">
        <v>157934</v>
      </c>
      <c r="E293" s="1" t="n">
        <v>0.051195</v>
      </c>
      <c r="G293" s="1" t="n">
        <v>0.007014275</v>
      </c>
      <c r="H293" s="1" t="n">
        <v>0.006133318</v>
      </c>
      <c r="I293" s="1" t="n">
        <v>0.006131649</v>
      </c>
      <c r="J293" s="1" t="n">
        <v>0.006039381</v>
      </c>
      <c r="K293" s="1" t="n">
        <v>0.006057978</v>
      </c>
      <c r="L293" s="1" t="n">
        <v>0.006005049</v>
      </c>
      <c r="M293" s="1" t="n">
        <v>0.006014109</v>
      </c>
      <c r="N293" s="1" t="n">
        <v>0.006023407</v>
      </c>
      <c r="O293" s="1" t="n">
        <v>0.006026983</v>
      </c>
      <c r="P293" s="1" t="n">
        <v>0.006253242</v>
      </c>
      <c r="R293" s="1" t="n">
        <f aca="false">PERCENTILE(G293:P293,0.9)</f>
        <v>0.0063293453</v>
      </c>
      <c r="S293" s="5" t="n">
        <f aca="false">spmv_1!R$10/R293</f>
        <v>5.53481010113321</v>
      </c>
      <c r="T293" s="6" t="n">
        <f aca="false">S293/128</f>
        <v>0.0432407039151032</v>
      </c>
    </row>
    <row r="294" customFormat="false" ht="15" hidden="false" customHeight="false" outlineLevel="0" collapsed="false">
      <c r="A294" s="1" t="s">
        <v>17</v>
      </c>
      <c r="B294" s="1" t="n">
        <v>30</v>
      </c>
      <c r="D294" s="1" t="n">
        <v>157459</v>
      </c>
      <c r="E294" s="1" t="n">
        <v>0.051141</v>
      </c>
      <c r="G294" s="1" t="n">
        <v>0.007129669</v>
      </c>
      <c r="H294" s="1" t="n">
        <v>0.0061028</v>
      </c>
      <c r="I294" s="1" t="n">
        <v>0.00600028</v>
      </c>
      <c r="J294" s="1" t="n">
        <v>0.00600934</v>
      </c>
      <c r="K294" s="1" t="n">
        <v>0.006080151</v>
      </c>
      <c r="L294" s="1" t="n">
        <v>0.005999565</v>
      </c>
      <c r="M294" s="1" t="n">
        <v>0.005948544</v>
      </c>
      <c r="N294" s="1" t="n">
        <v>0.006037235</v>
      </c>
      <c r="O294" s="1" t="n">
        <v>0.006049871</v>
      </c>
      <c r="P294" s="1" t="n">
        <v>0.006220579</v>
      </c>
      <c r="R294" s="1" t="n">
        <f aca="false">PERCENTILE(G294:P294,0.9)</f>
        <v>0.006311488</v>
      </c>
      <c r="S294" s="5" t="n">
        <f aca="false">spmv_1!R$10/R294</f>
        <v>5.55046992088078</v>
      </c>
      <c r="T294" s="6" t="n">
        <f aca="false">S294/128</f>
        <v>0.0433630462568811</v>
      </c>
    </row>
    <row r="295" customFormat="false" ht="15" hidden="false" customHeight="false" outlineLevel="0" collapsed="false">
      <c r="A295" s="1" t="s">
        <v>17</v>
      </c>
      <c r="B295" s="1" t="n">
        <v>31</v>
      </c>
      <c r="D295" s="1" t="n">
        <v>157521</v>
      </c>
      <c r="E295" s="1" t="n">
        <v>0.05112</v>
      </c>
      <c r="G295" s="1" t="n">
        <v>0.007179022</v>
      </c>
      <c r="H295" s="1" t="n">
        <v>0.006155014</v>
      </c>
      <c r="I295" s="1" t="n">
        <v>0.006082058</v>
      </c>
      <c r="J295" s="1" t="n">
        <v>0.006051779</v>
      </c>
      <c r="K295" s="1" t="n">
        <v>0.00603056</v>
      </c>
      <c r="L295" s="1" t="n">
        <v>0.005968094</v>
      </c>
      <c r="M295" s="1" t="n">
        <v>0.005961418</v>
      </c>
      <c r="N295" s="1" t="n">
        <v>0.005988359</v>
      </c>
      <c r="O295" s="1" t="n">
        <v>0.005979538</v>
      </c>
      <c r="P295" s="1" t="n">
        <v>0.006231546</v>
      </c>
      <c r="R295" s="1" t="n">
        <f aca="false">PERCENTILE(G295:P295,0.9)</f>
        <v>0.0063262936</v>
      </c>
      <c r="S295" s="5" t="n">
        <f aca="false">spmv_1!R$10/R295</f>
        <v>5.5374800025089</v>
      </c>
      <c r="T295" s="6" t="n">
        <f aca="false">S295/128</f>
        <v>0.0432615625196007</v>
      </c>
    </row>
    <row r="296" customFormat="false" ht="15" hidden="false" customHeight="false" outlineLevel="0" collapsed="false">
      <c r="A296" s="1" t="s">
        <v>17</v>
      </c>
      <c r="B296" s="1" t="n">
        <v>32</v>
      </c>
      <c r="D296" s="1" t="n">
        <v>158423</v>
      </c>
      <c r="E296" s="1" t="n">
        <v>0.050068</v>
      </c>
      <c r="G296" s="1" t="n">
        <v>0.00864625</v>
      </c>
      <c r="H296" s="1" t="n">
        <v>0.00667429</v>
      </c>
      <c r="I296" s="1" t="n">
        <v>0.005907059</v>
      </c>
      <c r="J296" s="1" t="n">
        <v>0.005986214</v>
      </c>
      <c r="K296" s="1" t="n">
        <v>0.006026268</v>
      </c>
      <c r="L296" s="1" t="n">
        <v>0.005953789</v>
      </c>
      <c r="M296" s="1" t="n">
        <v>0.005959511</v>
      </c>
      <c r="N296" s="1" t="n">
        <v>0.00599575</v>
      </c>
      <c r="O296" s="1" t="n">
        <v>0.005971432</v>
      </c>
      <c r="P296" s="1" t="n">
        <v>0.006162167</v>
      </c>
      <c r="R296" s="1" t="n">
        <f aca="false">PERCENTILE(G296:P296,0.9)</f>
        <v>0.006871486</v>
      </c>
      <c r="S296" s="5" t="n">
        <f aca="false">spmv_1!R$10/R296</f>
        <v>5.09812932748462</v>
      </c>
      <c r="T296" s="6" t="n">
        <f aca="false">S296/128</f>
        <v>0.0398291353709736</v>
      </c>
    </row>
    <row r="297" customFormat="false" ht="15" hidden="false" customHeight="false" outlineLevel="0" collapsed="false">
      <c r="A297" s="1" t="s">
        <v>17</v>
      </c>
      <c r="B297" s="1" t="n">
        <v>33</v>
      </c>
      <c r="D297" s="1" t="n">
        <v>158518</v>
      </c>
      <c r="E297" s="1" t="n">
        <v>0.050301</v>
      </c>
      <c r="G297" s="1" t="n">
        <v>0.008740425</v>
      </c>
      <c r="H297" s="1" t="n">
        <v>0.006674767</v>
      </c>
      <c r="I297" s="1" t="n">
        <v>0.005890608</v>
      </c>
      <c r="J297" s="1" t="n">
        <v>0.005953074</v>
      </c>
      <c r="K297" s="1" t="n">
        <v>0.005992413</v>
      </c>
      <c r="L297" s="1" t="n">
        <v>0.005887985</v>
      </c>
      <c r="M297" s="1" t="n">
        <v>0.00589633</v>
      </c>
      <c r="N297" s="1" t="n">
        <v>0.005927563</v>
      </c>
      <c r="O297" s="1" t="n">
        <v>0.005940199</v>
      </c>
      <c r="P297" s="1" t="n">
        <v>0.00612402</v>
      </c>
      <c r="R297" s="1" t="n">
        <f aca="false">PERCENTILE(G297:P297,0.9)</f>
        <v>0.0068813328</v>
      </c>
      <c r="S297" s="5" t="n">
        <f aca="false">spmv_1!R$10/R297</f>
        <v>5.09083419130666</v>
      </c>
      <c r="T297" s="6" t="n">
        <f aca="false">S297/128</f>
        <v>0.0397721421195833</v>
      </c>
    </row>
    <row r="298" customFormat="false" ht="15" hidden="false" customHeight="false" outlineLevel="0" collapsed="false">
      <c r="A298" s="1" t="s">
        <v>17</v>
      </c>
      <c r="B298" s="1" t="n">
        <v>34</v>
      </c>
      <c r="D298" s="1" t="n">
        <v>158240</v>
      </c>
      <c r="E298" s="1" t="n">
        <v>0.050587</v>
      </c>
      <c r="G298" s="1" t="n">
        <v>0.008815527</v>
      </c>
      <c r="H298" s="1" t="n">
        <v>0.006643534</v>
      </c>
      <c r="I298" s="1" t="n">
        <v>0.005819559</v>
      </c>
      <c r="J298" s="1" t="n">
        <v>0.005908489</v>
      </c>
      <c r="K298" s="1" t="n">
        <v>0.005915165</v>
      </c>
      <c r="L298" s="1" t="n">
        <v>0.005832672</v>
      </c>
      <c r="M298" s="1" t="n">
        <v>0.005819798</v>
      </c>
      <c r="N298" s="1" t="n">
        <v>0.005881786</v>
      </c>
      <c r="O298" s="1" t="n">
        <v>0.005871773</v>
      </c>
      <c r="P298" s="1" t="n">
        <v>0.006053686</v>
      </c>
      <c r="R298" s="1" t="n">
        <f aca="false">PERCENTILE(G298:P298,0.9)</f>
        <v>0.0068607333</v>
      </c>
      <c r="S298" s="5" t="n">
        <f aca="false">spmv_1!R$10/R298</f>
        <v>5.10611953098366</v>
      </c>
      <c r="T298" s="6" t="n">
        <f aca="false">S298/128</f>
        <v>0.0398915588358099</v>
      </c>
    </row>
    <row r="299" customFormat="false" ht="15" hidden="false" customHeight="false" outlineLevel="0" collapsed="false">
      <c r="A299" s="1" t="s">
        <v>17</v>
      </c>
      <c r="B299" s="1" t="n">
        <v>35</v>
      </c>
      <c r="D299" s="1" t="n">
        <v>158121</v>
      </c>
      <c r="E299" s="1" t="n">
        <v>0.051023</v>
      </c>
      <c r="G299" s="1" t="n">
        <v>0.008648872</v>
      </c>
      <c r="H299" s="1" t="n">
        <v>0.00658536</v>
      </c>
      <c r="I299" s="1" t="n">
        <v>0.005784273</v>
      </c>
      <c r="J299" s="1" t="n">
        <v>0.005832195</v>
      </c>
      <c r="K299" s="1" t="n">
        <v>0.005873442</v>
      </c>
      <c r="L299" s="1" t="n">
        <v>0.005796194</v>
      </c>
      <c r="M299" s="1" t="n">
        <v>0.00578928</v>
      </c>
      <c r="N299" s="1" t="n">
        <v>0.005838871</v>
      </c>
      <c r="O299" s="1" t="n">
        <v>0.00584054</v>
      </c>
      <c r="P299" s="1" t="n">
        <v>0.005990744</v>
      </c>
      <c r="R299" s="1" t="n">
        <f aca="false">PERCENTILE(G299:P299,0.9)</f>
        <v>0.0067917112</v>
      </c>
      <c r="S299" s="5" t="n">
        <f aca="false">spmv_1!R$10/R299</f>
        <v>5.15801147433949</v>
      </c>
      <c r="T299" s="6" t="n">
        <f aca="false">S299/128</f>
        <v>0.0402969646432772</v>
      </c>
    </row>
    <row r="300" customFormat="false" ht="15" hidden="false" customHeight="false" outlineLevel="0" collapsed="false">
      <c r="A300" s="1" t="s">
        <v>17</v>
      </c>
      <c r="B300" s="1" t="n">
        <v>36</v>
      </c>
      <c r="D300" s="1" t="n">
        <v>156934</v>
      </c>
      <c r="E300" s="1" t="n">
        <v>0.050767</v>
      </c>
      <c r="G300" s="1" t="n">
        <v>0.008772373</v>
      </c>
      <c r="H300" s="1" t="n">
        <v>0.006588697</v>
      </c>
      <c r="I300" s="1" t="n">
        <v>0.00575757</v>
      </c>
      <c r="J300" s="1" t="n">
        <v>0.005776167</v>
      </c>
      <c r="K300" s="1" t="n">
        <v>0.005861759</v>
      </c>
      <c r="L300" s="1" t="n">
        <v>0.005765676</v>
      </c>
      <c r="M300" s="1" t="n">
        <v>0.005745649</v>
      </c>
      <c r="N300" s="1" t="n">
        <v>0.005801201</v>
      </c>
      <c r="O300" s="1" t="n">
        <v>0.005813599</v>
      </c>
      <c r="P300" s="1" t="n">
        <v>0.00594306</v>
      </c>
      <c r="R300" s="1" t="n">
        <f aca="false">PERCENTILE(G300:P300,0.9)</f>
        <v>0.0068070646</v>
      </c>
      <c r="S300" s="5" t="n">
        <f aca="false">spmv_1!R$10/R300</f>
        <v>5.14637752960358</v>
      </c>
      <c r="T300" s="6" t="n">
        <f aca="false">S300/128</f>
        <v>0.040206074450028</v>
      </c>
    </row>
    <row r="301" customFormat="false" ht="15" hidden="false" customHeight="false" outlineLevel="0" collapsed="false">
      <c r="A301" s="1" t="s">
        <v>17</v>
      </c>
      <c r="B301" s="1" t="n">
        <v>37</v>
      </c>
      <c r="D301" s="1" t="n">
        <v>157580</v>
      </c>
      <c r="E301" s="1" t="n">
        <v>0.05121</v>
      </c>
      <c r="G301" s="1" t="n">
        <v>0.008835793</v>
      </c>
      <c r="H301" s="1" t="n">
        <v>0.006584167</v>
      </c>
      <c r="I301" s="1" t="n">
        <v>0.005702972</v>
      </c>
      <c r="J301" s="1" t="n">
        <v>0.005750656</v>
      </c>
      <c r="K301" s="1" t="n">
        <v>0.005801678</v>
      </c>
      <c r="L301" s="1" t="n">
        <v>0.005724669</v>
      </c>
      <c r="M301" s="1" t="n">
        <v>0.005717754</v>
      </c>
      <c r="N301" s="1" t="n">
        <v>0.005762339</v>
      </c>
      <c r="O301" s="1" t="n">
        <v>0.005762577</v>
      </c>
      <c r="P301" s="1" t="n">
        <v>0.005900145</v>
      </c>
      <c r="R301" s="1" t="n">
        <f aca="false">PERCENTILE(G301:P301,0.9)</f>
        <v>0.0068093296</v>
      </c>
      <c r="S301" s="5" t="n">
        <f aca="false">spmv_1!R$10/R301</f>
        <v>5.14466568045113</v>
      </c>
      <c r="T301" s="6" t="n">
        <f aca="false">S301/128</f>
        <v>0.0401927006285244</v>
      </c>
    </row>
    <row r="302" customFormat="false" ht="15" hidden="false" customHeight="false" outlineLevel="0" collapsed="false">
      <c r="A302" s="1" t="s">
        <v>17</v>
      </c>
      <c r="B302" s="1" t="n">
        <v>38</v>
      </c>
      <c r="D302" s="1" t="n">
        <v>157618</v>
      </c>
      <c r="E302" s="1" t="n">
        <v>0.051486</v>
      </c>
      <c r="G302" s="1" t="n">
        <v>0.008757353</v>
      </c>
      <c r="H302" s="1" t="n">
        <v>0.006598473</v>
      </c>
      <c r="I302" s="1" t="n">
        <v>0.005643606</v>
      </c>
      <c r="J302" s="1" t="n">
        <v>0.005750179</v>
      </c>
      <c r="K302" s="1" t="n">
        <v>0.005784512</v>
      </c>
      <c r="L302" s="1" t="n">
        <v>0.00569725</v>
      </c>
      <c r="M302" s="1" t="n">
        <v>0.005702496</v>
      </c>
      <c r="N302" s="1" t="n">
        <v>0.00573802</v>
      </c>
      <c r="O302" s="1" t="n">
        <v>0.005699158</v>
      </c>
      <c r="P302" s="1" t="n">
        <v>0.005856037</v>
      </c>
      <c r="R302" s="1" t="n">
        <f aca="false">PERCENTILE(G302:P302,0.9)</f>
        <v>0.006814361</v>
      </c>
      <c r="S302" s="5" t="n">
        <f aca="false">spmv_1!R$10/R302</f>
        <v>5.14086710404688</v>
      </c>
      <c r="T302" s="6" t="n">
        <f aca="false">S302/128</f>
        <v>0.0401630242503663</v>
      </c>
    </row>
    <row r="303" customFormat="false" ht="15" hidden="false" customHeight="false" outlineLevel="0" collapsed="false">
      <c r="A303" s="1" t="s">
        <v>17</v>
      </c>
      <c r="B303" s="1" t="n">
        <v>39</v>
      </c>
      <c r="D303" s="1" t="n">
        <v>157802</v>
      </c>
      <c r="E303" s="1" t="n">
        <v>0.051581</v>
      </c>
      <c r="G303" s="1" t="n">
        <v>0.008977413</v>
      </c>
      <c r="H303" s="1" t="n">
        <v>0.006583691</v>
      </c>
      <c r="I303" s="1" t="n">
        <v>0.005634069</v>
      </c>
      <c r="J303" s="1" t="n">
        <v>0.005715132</v>
      </c>
      <c r="K303" s="1" t="n">
        <v>0.005741596</v>
      </c>
      <c r="L303" s="1" t="n">
        <v>0.00567627</v>
      </c>
      <c r="M303" s="1" t="n">
        <v>0.005663872</v>
      </c>
      <c r="N303" s="1" t="n">
        <v>0.005685329</v>
      </c>
      <c r="O303" s="1" t="n">
        <v>0.005682707</v>
      </c>
      <c r="P303" s="1" t="n">
        <v>0.005825996</v>
      </c>
      <c r="R303" s="1" t="n">
        <f aca="false">PERCENTILE(G303:P303,0.9)</f>
        <v>0.0068230632</v>
      </c>
      <c r="S303" s="5" t="n">
        <f aca="false">spmv_1!R$10/R303</f>
        <v>5.13431039302113</v>
      </c>
      <c r="T303" s="6" t="n">
        <f aca="false">S303/128</f>
        <v>0.0401117999454776</v>
      </c>
    </row>
    <row r="304" customFormat="false" ht="15" hidden="false" customHeight="false" outlineLevel="0" collapsed="false">
      <c r="A304" s="1" t="s">
        <v>17</v>
      </c>
      <c r="B304" s="1" t="n">
        <v>40</v>
      </c>
      <c r="D304" s="1" t="n">
        <v>157998</v>
      </c>
      <c r="E304" s="1" t="n">
        <v>0.052126</v>
      </c>
      <c r="G304" s="1" t="n">
        <v>0.008838415</v>
      </c>
      <c r="H304" s="1" t="n">
        <v>0.006543398</v>
      </c>
      <c r="I304" s="1" t="n">
        <v>0.005566835</v>
      </c>
      <c r="J304" s="1" t="n">
        <v>0.005640984</v>
      </c>
      <c r="K304" s="1" t="n">
        <v>0.005696058</v>
      </c>
      <c r="L304" s="1" t="n">
        <v>0.005633354</v>
      </c>
      <c r="M304" s="1" t="n">
        <v>0.005636215</v>
      </c>
      <c r="N304" s="1" t="n">
        <v>0.00564146</v>
      </c>
      <c r="O304" s="1" t="n">
        <v>0.005637169</v>
      </c>
      <c r="P304" s="1" t="n">
        <v>0.005787134</v>
      </c>
      <c r="R304" s="1" t="n">
        <f aca="false">PERCENTILE(G304:P304,0.9)</f>
        <v>0.0067728997</v>
      </c>
      <c r="S304" s="5" t="n">
        <f aca="false">spmv_1!R$10/R304</f>
        <v>5.17233767687421</v>
      </c>
      <c r="T304" s="6" t="n">
        <f aca="false">S304/128</f>
        <v>0.0404088881005797</v>
      </c>
    </row>
    <row r="305" customFormat="false" ht="15" hidden="false" customHeight="false" outlineLevel="0" collapsed="false">
      <c r="A305" s="1" t="s">
        <v>17</v>
      </c>
      <c r="B305" s="1" t="n">
        <v>41</v>
      </c>
      <c r="D305" s="1" t="n">
        <v>158435</v>
      </c>
      <c r="E305" s="1" t="n">
        <v>0.052405</v>
      </c>
      <c r="G305" s="1" t="n">
        <v>0.008936405</v>
      </c>
      <c r="H305" s="1" t="n">
        <v>0.006546736</v>
      </c>
      <c r="I305" s="1" t="n">
        <v>0.005546093</v>
      </c>
      <c r="J305" s="1" t="n">
        <v>0.005620718</v>
      </c>
      <c r="K305" s="1" t="n">
        <v>0.005680323</v>
      </c>
      <c r="L305" s="1" t="n">
        <v>0.005556822</v>
      </c>
      <c r="M305" s="1" t="n">
        <v>0.005622149</v>
      </c>
      <c r="N305" s="1" t="n">
        <v>0.005612612</v>
      </c>
      <c r="O305" s="1" t="n">
        <v>0.005601168</v>
      </c>
      <c r="P305" s="1" t="n">
        <v>0.005742073</v>
      </c>
      <c r="R305" s="1" t="n">
        <f aca="false">PERCENTILE(G305:P305,0.9)</f>
        <v>0.0067857029</v>
      </c>
      <c r="S305" s="5" t="n">
        <f aca="false">spmv_1!R$10/R305</f>
        <v>5.1625785591055</v>
      </c>
      <c r="T305" s="6" t="n">
        <f aca="false">S305/128</f>
        <v>0.0403326449930117</v>
      </c>
    </row>
    <row r="306" customFormat="false" ht="15" hidden="false" customHeight="false" outlineLevel="0" collapsed="false">
      <c r="A306" s="1" t="s">
        <v>17</v>
      </c>
      <c r="B306" s="1" t="n">
        <v>42</v>
      </c>
      <c r="D306" s="1" t="n">
        <v>158476</v>
      </c>
      <c r="E306" s="1" t="n">
        <v>0.052201</v>
      </c>
      <c r="G306" s="1" t="n">
        <v>0.009046078</v>
      </c>
      <c r="H306" s="1" t="n">
        <v>0.006592512</v>
      </c>
      <c r="I306" s="1" t="n">
        <v>0.00555563</v>
      </c>
      <c r="J306" s="1" t="n">
        <v>0.005621195</v>
      </c>
      <c r="K306" s="1" t="n">
        <v>0.005669594</v>
      </c>
      <c r="L306" s="1" t="n">
        <v>0.005571604</v>
      </c>
      <c r="M306" s="1" t="n">
        <v>0.005618811</v>
      </c>
      <c r="N306" s="1" t="n">
        <v>0.005616426</v>
      </c>
      <c r="O306" s="1" t="n">
        <v>0.005621672</v>
      </c>
      <c r="P306" s="1" t="n">
        <v>0.005804062</v>
      </c>
      <c r="R306" s="1" t="n">
        <f aca="false">PERCENTILE(G306:P306,0.9)</f>
        <v>0.0068378686</v>
      </c>
      <c r="S306" s="5" t="n">
        <f aca="false">spmv_1!R$10/R306</f>
        <v>5.12319354893717</v>
      </c>
      <c r="T306" s="6" t="n">
        <f aca="false">S306/128</f>
        <v>0.0400249496010716</v>
      </c>
    </row>
    <row r="307" customFormat="false" ht="15" hidden="false" customHeight="false" outlineLevel="0" collapsed="false">
      <c r="A307" s="1" t="s">
        <v>17</v>
      </c>
      <c r="B307" s="1" t="n">
        <v>43</v>
      </c>
      <c r="D307" s="1" t="n">
        <v>158677</v>
      </c>
      <c r="E307" s="1" t="n">
        <v>0.053155</v>
      </c>
      <c r="G307" s="1" t="n">
        <v>0.008886814</v>
      </c>
      <c r="H307" s="1" t="n">
        <v>0.006502151</v>
      </c>
      <c r="I307" s="1" t="n">
        <v>0.005464554</v>
      </c>
      <c r="J307" s="1" t="n">
        <v>0.005542278</v>
      </c>
      <c r="K307" s="1" t="n">
        <v>0.005589962</v>
      </c>
      <c r="L307" s="1" t="n">
        <v>0.005487442</v>
      </c>
      <c r="M307" s="1" t="n">
        <v>0.005517006</v>
      </c>
      <c r="N307" s="1" t="n">
        <v>0.005540848</v>
      </c>
      <c r="O307" s="1" t="n">
        <v>0.005519152</v>
      </c>
      <c r="P307" s="1" t="n">
        <v>0.005652905</v>
      </c>
      <c r="R307" s="1" t="n">
        <f aca="false">PERCENTILE(G307:P307,0.9)</f>
        <v>0.0067406173</v>
      </c>
      <c r="S307" s="5" t="n">
        <f aca="false">spmv_1!R$10/R307</f>
        <v>5.19710921728193</v>
      </c>
      <c r="T307" s="6" t="n">
        <f aca="false">S307/128</f>
        <v>0.040602415760015</v>
      </c>
    </row>
    <row r="308" customFormat="false" ht="15" hidden="false" customHeight="false" outlineLevel="0" collapsed="false">
      <c r="A308" s="1" t="s">
        <v>17</v>
      </c>
      <c r="B308" s="1" t="n">
        <v>44</v>
      </c>
      <c r="D308" s="1" t="n">
        <v>157566</v>
      </c>
      <c r="E308" s="1" t="n">
        <v>0.052739</v>
      </c>
      <c r="G308" s="1" t="n">
        <v>0.008974075</v>
      </c>
      <c r="H308" s="1" t="n">
        <v>0.006549835</v>
      </c>
      <c r="I308" s="1" t="n">
        <v>0.005482912</v>
      </c>
      <c r="J308" s="1" t="n">
        <v>0.00552392</v>
      </c>
      <c r="K308" s="1" t="n">
        <v>0.005599499</v>
      </c>
      <c r="L308" s="1" t="n">
        <v>0.005493164</v>
      </c>
      <c r="M308" s="1" t="n">
        <v>0.005484581</v>
      </c>
      <c r="N308" s="1" t="n">
        <v>0.005516768</v>
      </c>
      <c r="O308" s="1" t="n">
        <v>0.005514622</v>
      </c>
      <c r="P308" s="1" t="n">
        <v>0.005613804</v>
      </c>
      <c r="R308" s="1" t="n">
        <f aca="false">PERCENTILE(G308:P308,0.9)</f>
        <v>0.006792259</v>
      </c>
      <c r="S308" s="5" t="n">
        <f aca="false">spmv_1!R$10/R308</f>
        <v>5.15759547743983</v>
      </c>
      <c r="T308" s="6" t="n">
        <f aca="false">S308/128</f>
        <v>0.0402937146674987</v>
      </c>
    </row>
    <row r="309" customFormat="false" ht="15" hidden="false" customHeight="false" outlineLevel="0" collapsed="false">
      <c r="A309" s="1" t="s">
        <v>17</v>
      </c>
      <c r="B309" s="1" t="n">
        <v>45</v>
      </c>
      <c r="D309" s="1" t="n">
        <v>158009</v>
      </c>
      <c r="E309" s="1" t="n">
        <v>0.053324</v>
      </c>
      <c r="G309" s="1" t="n">
        <v>0.009026051</v>
      </c>
      <c r="H309" s="1" t="n">
        <v>0.006505966</v>
      </c>
      <c r="I309" s="1" t="n">
        <v>0.005407572</v>
      </c>
      <c r="J309" s="1" t="n">
        <v>0.005456686</v>
      </c>
      <c r="K309" s="1" t="n">
        <v>0.005553246</v>
      </c>
      <c r="L309" s="1" t="n">
        <v>0.005424261</v>
      </c>
      <c r="M309" s="1" t="n">
        <v>0.005424738</v>
      </c>
      <c r="N309" s="1" t="n">
        <v>0.005462646</v>
      </c>
      <c r="O309" s="1" t="n">
        <v>0.005437851</v>
      </c>
      <c r="P309" s="1" t="n">
        <v>0.005564451</v>
      </c>
      <c r="R309" s="1" t="n">
        <f aca="false">PERCENTILE(G309:P309,0.9)</f>
        <v>0.0067579745</v>
      </c>
      <c r="S309" s="5" t="n">
        <f aca="false">spmv_1!R$10/R309</f>
        <v>5.18376094789941</v>
      </c>
      <c r="T309" s="6" t="n">
        <f aca="false">S309/128</f>
        <v>0.0404981324054641</v>
      </c>
    </row>
    <row r="310" customFormat="false" ht="15" hidden="false" customHeight="false" outlineLevel="0" collapsed="false">
      <c r="A310" s="1" t="s">
        <v>17</v>
      </c>
      <c r="B310" s="1" t="n">
        <v>46</v>
      </c>
      <c r="D310" s="1" t="n">
        <v>157784</v>
      </c>
      <c r="E310" s="1" t="n">
        <v>0.053203</v>
      </c>
      <c r="G310" s="1" t="n">
        <v>0.009087086</v>
      </c>
      <c r="H310" s="1" t="n">
        <v>0.006511688</v>
      </c>
      <c r="I310" s="1" t="n">
        <v>0.005416632</v>
      </c>
      <c r="J310" s="1" t="n">
        <v>0.005465508</v>
      </c>
      <c r="K310" s="1" t="n">
        <v>0.005529642</v>
      </c>
      <c r="L310" s="1" t="n">
        <v>0.005405664</v>
      </c>
      <c r="M310" s="1" t="n">
        <v>0.005411863</v>
      </c>
      <c r="N310" s="1" t="n">
        <v>0.005484581</v>
      </c>
      <c r="O310" s="1" t="n">
        <v>0.005453587</v>
      </c>
      <c r="P310" s="1" t="n">
        <v>0.005547762</v>
      </c>
      <c r="R310" s="1" t="n">
        <f aca="false">PERCENTILE(G310:P310,0.9)</f>
        <v>0.0067692278</v>
      </c>
      <c r="S310" s="5" t="n">
        <f aca="false">spmv_1!R$10/R310</f>
        <v>5.17514335977879</v>
      </c>
      <c r="T310" s="6" t="n">
        <f aca="false">S310/128</f>
        <v>0.0404308074982718</v>
      </c>
    </row>
    <row r="311" customFormat="false" ht="15" hidden="false" customHeight="false" outlineLevel="0" collapsed="false">
      <c r="A311" s="1" t="s">
        <v>17</v>
      </c>
      <c r="B311" s="1" t="n">
        <v>47</v>
      </c>
      <c r="D311" s="1" t="n">
        <v>158695</v>
      </c>
      <c r="E311" s="1" t="n">
        <v>0.054044</v>
      </c>
      <c r="G311" s="1" t="n">
        <v>0.009027004</v>
      </c>
      <c r="H311" s="1" t="n">
        <v>0.006579638</v>
      </c>
      <c r="I311" s="1" t="n">
        <v>0.005322218</v>
      </c>
      <c r="J311" s="1" t="n">
        <v>0.005390882</v>
      </c>
      <c r="K311" s="1" t="n">
        <v>0.00545001</v>
      </c>
      <c r="L311" s="1" t="n">
        <v>0.005361319</v>
      </c>
      <c r="M311" s="1" t="n">
        <v>0.00534296</v>
      </c>
      <c r="N311" s="1" t="n">
        <v>0.005423784</v>
      </c>
      <c r="O311" s="1" t="n">
        <v>0.005392551</v>
      </c>
      <c r="P311" s="1" t="n">
        <v>0.005437374</v>
      </c>
      <c r="R311" s="1" t="n">
        <f aca="false">PERCENTILE(G311:P311,0.9)</f>
        <v>0.0068243746</v>
      </c>
      <c r="S311" s="5" t="n">
        <f aca="false">spmv_1!R$10/R311</f>
        <v>5.13332376273718</v>
      </c>
      <c r="T311" s="6" t="n">
        <f aca="false">S311/128</f>
        <v>0.0401040918963842</v>
      </c>
    </row>
    <row r="312" customFormat="false" ht="15" hidden="false" customHeight="false" outlineLevel="0" collapsed="false">
      <c r="A312" s="1" t="s">
        <v>17</v>
      </c>
      <c r="B312" s="1" t="n">
        <v>48</v>
      </c>
      <c r="D312" s="1" t="n">
        <v>159213</v>
      </c>
      <c r="E312" s="1" t="n">
        <v>0.054194</v>
      </c>
      <c r="G312" s="1" t="n">
        <v>0.009108543</v>
      </c>
      <c r="H312" s="1" t="n">
        <v>0.006597757</v>
      </c>
      <c r="I312" s="1" t="n">
        <v>0.00533843</v>
      </c>
      <c r="J312" s="1" t="n">
        <v>0.005365372</v>
      </c>
      <c r="K312" s="1" t="n">
        <v>0.005464315</v>
      </c>
      <c r="L312" s="1" t="n">
        <v>0.005377293</v>
      </c>
      <c r="M312" s="1" t="n">
        <v>0.005349636</v>
      </c>
      <c r="N312" s="1" t="n">
        <v>0.005351543</v>
      </c>
      <c r="O312" s="1" t="n">
        <v>0.005363703</v>
      </c>
      <c r="P312" s="1" t="n">
        <v>0.005440235</v>
      </c>
      <c r="R312" s="1" t="n">
        <f aca="false">PERCENTILE(G312:P312,0.9)</f>
        <v>0.0068488356</v>
      </c>
      <c r="S312" s="5" t="n">
        <f aca="false">spmv_1!R$10/R312</f>
        <v>5.11498980936263</v>
      </c>
      <c r="T312" s="6" t="n">
        <f aca="false">S312/128</f>
        <v>0.0399608578856456</v>
      </c>
    </row>
    <row r="313" customFormat="false" ht="15" hidden="false" customHeight="false" outlineLevel="0" collapsed="false">
      <c r="A313" s="1" t="s">
        <v>17</v>
      </c>
      <c r="B313" s="1" t="n">
        <v>49</v>
      </c>
      <c r="D313" s="1" t="n">
        <v>159206</v>
      </c>
      <c r="E313" s="1" t="n">
        <v>0.054866</v>
      </c>
      <c r="G313" s="1" t="n">
        <v>0.008975983</v>
      </c>
      <c r="H313" s="1" t="n">
        <v>0.006565094</v>
      </c>
      <c r="I313" s="1" t="n">
        <v>0.005269527</v>
      </c>
      <c r="J313" s="1" t="n">
        <v>0.005289793</v>
      </c>
      <c r="K313" s="1" t="n">
        <v>0.005389452</v>
      </c>
      <c r="L313" s="1" t="n">
        <v>0.005298376</v>
      </c>
      <c r="M313" s="1" t="n">
        <v>0.00527668</v>
      </c>
      <c r="N313" s="1" t="n">
        <v>0.005307674</v>
      </c>
      <c r="O313" s="1" t="n">
        <v>0.005269051</v>
      </c>
      <c r="P313" s="1" t="n">
        <v>0.00539279</v>
      </c>
      <c r="R313" s="1" t="n">
        <f aca="false">PERCENTILE(G313:P313,0.9)</f>
        <v>0.0068061829</v>
      </c>
      <c r="S313" s="5" t="n">
        <f aca="false">spmv_1!R$10/R313</f>
        <v>5.14704421181511</v>
      </c>
      <c r="T313" s="6" t="n">
        <f aca="false">S313/128</f>
        <v>0.0402112829048056</v>
      </c>
    </row>
    <row r="314" customFormat="false" ht="15" hidden="false" customHeight="false" outlineLevel="0" collapsed="false">
      <c r="A314" s="1" t="s">
        <v>17</v>
      </c>
      <c r="B314" s="1" t="n">
        <v>50</v>
      </c>
      <c r="D314" s="1" t="n">
        <v>158837</v>
      </c>
      <c r="E314" s="1" t="n">
        <v>0.055053</v>
      </c>
      <c r="G314" s="1" t="n">
        <v>0.008977175</v>
      </c>
      <c r="H314" s="1" t="n">
        <v>0.006555319</v>
      </c>
      <c r="I314" s="1" t="n">
        <v>0.005213976</v>
      </c>
      <c r="J314" s="1" t="n">
        <v>0.005228519</v>
      </c>
      <c r="K314" s="1" t="n">
        <v>0.005353451</v>
      </c>
      <c r="L314" s="1" t="n">
        <v>0.005261898</v>
      </c>
      <c r="M314" s="1" t="n">
        <v>0.005235195</v>
      </c>
      <c r="N314" s="1" t="n">
        <v>0.005283594</v>
      </c>
      <c r="O314" s="1" t="n">
        <v>0.005252838</v>
      </c>
      <c r="P314" s="1" t="n">
        <v>0.005341053</v>
      </c>
      <c r="R314" s="1" t="n">
        <f aca="false">PERCENTILE(G314:P314,0.9)</f>
        <v>0.0067975046</v>
      </c>
      <c r="S314" s="5" t="n">
        <f aca="false">spmv_1!R$10/R314</f>
        <v>5.15361538703483</v>
      </c>
      <c r="T314" s="6" t="n">
        <f aca="false">S314/128</f>
        <v>0.0402626202112096</v>
      </c>
    </row>
    <row r="315" customFormat="false" ht="15" hidden="false" customHeight="false" outlineLevel="0" collapsed="false">
      <c r="A315" s="1" t="s">
        <v>17</v>
      </c>
      <c r="B315" s="1" t="n">
        <v>51</v>
      </c>
      <c r="D315" s="1" t="n">
        <v>159383</v>
      </c>
      <c r="E315" s="1" t="n">
        <v>0.05547</v>
      </c>
      <c r="G315" s="1" t="n">
        <v>0.009016275</v>
      </c>
      <c r="H315" s="1" t="n">
        <v>0.006593466</v>
      </c>
      <c r="I315" s="1" t="n">
        <v>0.005147696</v>
      </c>
      <c r="J315" s="1" t="n">
        <v>0.005209923</v>
      </c>
      <c r="K315" s="1" t="n">
        <v>0.005311012</v>
      </c>
      <c r="L315" s="1" t="n">
        <v>0.005198002</v>
      </c>
      <c r="M315" s="1" t="n">
        <v>0.005219698</v>
      </c>
      <c r="N315" s="1" t="n">
        <v>0.005265713</v>
      </c>
      <c r="O315" s="1" t="n">
        <v>0.005246162</v>
      </c>
      <c r="P315" s="1" t="n">
        <v>0.00525856</v>
      </c>
      <c r="R315" s="1" t="n">
        <f aca="false">PERCENTILE(G315:P315,0.9)</f>
        <v>0.0068357469</v>
      </c>
      <c r="S315" s="5" t="n">
        <f aca="false">spmv_1!R$10/R315</f>
        <v>5.12478370139772</v>
      </c>
      <c r="T315" s="6" t="n">
        <f aca="false">S315/128</f>
        <v>0.0400373726671697</v>
      </c>
    </row>
    <row r="316" customFormat="false" ht="15" hidden="false" customHeight="false" outlineLevel="0" collapsed="false">
      <c r="A316" s="1" t="s">
        <v>17</v>
      </c>
      <c r="B316" s="1" t="n">
        <v>52</v>
      </c>
      <c r="D316" s="1" t="n">
        <v>158164</v>
      </c>
      <c r="E316" s="1" t="n">
        <v>0.055244</v>
      </c>
      <c r="G316" s="1" t="n">
        <v>0.00910306</v>
      </c>
      <c r="H316" s="1" t="n">
        <v>0.006575584</v>
      </c>
      <c r="I316" s="1" t="n">
        <v>0.005106688</v>
      </c>
      <c r="J316" s="1" t="n">
        <v>0.005185604</v>
      </c>
      <c r="K316" s="1" t="n">
        <v>0.005286455</v>
      </c>
      <c r="L316" s="1" t="n">
        <v>0.005169392</v>
      </c>
      <c r="M316" s="1" t="n">
        <v>0.005174875</v>
      </c>
      <c r="N316" s="1" t="n">
        <v>0.005227089</v>
      </c>
      <c r="O316" s="1" t="n">
        <v>0.005193949</v>
      </c>
      <c r="P316" s="1" t="n">
        <v>0.005237818</v>
      </c>
      <c r="R316" s="1" t="n">
        <f aca="false">PERCENTILE(G316:P316,0.9)</f>
        <v>0.0068283316</v>
      </c>
      <c r="S316" s="5" t="n">
        <f aca="false">spmv_1!R$10/R316</f>
        <v>5.13034901527044</v>
      </c>
      <c r="T316" s="6" t="n">
        <f aca="false">S316/128</f>
        <v>0.0400808516818003</v>
      </c>
    </row>
    <row r="317" customFormat="false" ht="15" hidden="false" customHeight="false" outlineLevel="0" collapsed="false">
      <c r="A317" s="1" t="s">
        <v>17</v>
      </c>
      <c r="B317" s="1" t="n">
        <v>53</v>
      </c>
      <c r="D317" s="1" t="n">
        <v>158284</v>
      </c>
      <c r="E317" s="1" t="n">
        <v>0.055281</v>
      </c>
      <c r="G317" s="1" t="n">
        <v>0.009017467</v>
      </c>
      <c r="H317" s="1" t="n">
        <v>0.006603718</v>
      </c>
      <c r="I317" s="1" t="n">
        <v>0.005131483</v>
      </c>
      <c r="J317" s="1" t="n">
        <v>0.005187273</v>
      </c>
      <c r="K317" s="1" t="n">
        <v>0.005293846</v>
      </c>
      <c r="L317" s="1" t="n">
        <v>0.005198956</v>
      </c>
      <c r="M317" s="1" t="n">
        <v>0.005175352</v>
      </c>
      <c r="N317" s="1" t="n">
        <v>0.005237579</v>
      </c>
      <c r="O317" s="1" t="n">
        <v>0.00521183</v>
      </c>
      <c r="P317" s="1" t="n">
        <v>0.0052073</v>
      </c>
      <c r="R317" s="1" t="n">
        <f aca="false">PERCENTILE(G317:P317,0.9)</f>
        <v>0.0068450929</v>
      </c>
      <c r="S317" s="5" t="n">
        <f aca="false">spmv_1!R$10/R317</f>
        <v>5.11778653873346</v>
      </c>
      <c r="T317" s="6" t="n">
        <f aca="false">S317/128</f>
        <v>0.0399827073338552</v>
      </c>
    </row>
    <row r="318" customFormat="false" ht="15" hidden="false" customHeight="false" outlineLevel="0" collapsed="false">
      <c r="A318" s="1" t="s">
        <v>17</v>
      </c>
      <c r="B318" s="1" t="n">
        <v>54</v>
      </c>
      <c r="D318" s="1" t="n">
        <v>158300</v>
      </c>
      <c r="E318" s="1" t="n">
        <v>0.05581</v>
      </c>
      <c r="G318" s="1" t="n">
        <v>0.009104967</v>
      </c>
      <c r="H318" s="1" t="n">
        <v>0.00660181</v>
      </c>
      <c r="I318" s="1" t="n">
        <v>0.005028725</v>
      </c>
      <c r="J318" s="1" t="n">
        <v>0.005121946</v>
      </c>
      <c r="K318" s="1" t="n">
        <v>0.005180836</v>
      </c>
      <c r="L318" s="1" t="n">
        <v>0.005102634</v>
      </c>
      <c r="M318" s="1" t="n">
        <v>0.005116224</v>
      </c>
      <c r="N318" s="1" t="n">
        <v>0.005180836</v>
      </c>
      <c r="O318" s="1" t="n">
        <v>0.005158186</v>
      </c>
      <c r="P318" s="1" t="n">
        <v>0.005131721</v>
      </c>
      <c r="R318" s="1" t="n">
        <f aca="false">PERCENTILE(G318:P318,0.9)</f>
        <v>0.0068521257</v>
      </c>
      <c r="S318" s="5" t="n">
        <f aca="false">spmv_1!R$10/R318</f>
        <v>5.11253380830419</v>
      </c>
      <c r="T318" s="6" t="n">
        <f aca="false">S318/128</f>
        <v>0.0399416703773765</v>
      </c>
    </row>
    <row r="319" customFormat="false" ht="15" hidden="false" customHeight="false" outlineLevel="0" collapsed="false">
      <c r="A319" s="1" t="s">
        <v>17</v>
      </c>
      <c r="B319" s="1" t="n">
        <v>55</v>
      </c>
      <c r="D319" s="1" t="n">
        <v>158108</v>
      </c>
      <c r="E319" s="1" t="n">
        <v>0.055408</v>
      </c>
      <c r="G319" s="1" t="n">
        <v>0.00920248</v>
      </c>
      <c r="H319" s="1" t="n">
        <v>0.006628275</v>
      </c>
      <c r="I319" s="1" t="n">
        <v>0.005073547</v>
      </c>
      <c r="J319" s="1" t="n">
        <v>0.005159616</v>
      </c>
      <c r="K319" s="1" t="n">
        <v>0.005211592</v>
      </c>
      <c r="L319" s="1" t="n">
        <v>0.005124092</v>
      </c>
      <c r="M319" s="1" t="n">
        <v>0.005138397</v>
      </c>
      <c r="N319" s="1" t="n">
        <v>0.005151749</v>
      </c>
      <c r="O319" s="1" t="n">
        <v>0.005184174</v>
      </c>
      <c r="P319" s="1" t="n">
        <v>0.005196333</v>
      </c>
      <c r="R319" s="1" t="n">
        <f aca="false">PERCENTILE(G319:P319,0.9)</f>
        <v>0.0068856955</v>
      </c>
      <c r="S319" s="5" t="n">
        <f aca="false">spmv_1!R$10/R319</f>
        <v>5.08760869544696</v>
      </c>
      <c r="T319" s="6" t="n">
        <f aca="false">S319/128</f>
        <v>0.0397469429331794</v>
      </c>
    </row>
    <row r="320" customFormat="false" ht="15" hidden="false" customHeight="false" outlineLevel="0" collapsed="false">
      <c r="A320" s="1" t="s">
        <v>17</v>
      </c>
      <c r="B320" s="1" t="n">
        <v>56</v>
      </c>
      <c r="D320" s="1" t="n">
        <v>159076</v>
      </c>
      <c r="E320" s="1" t="n">
        <v>0.056231</v>
      </c>
      <c r="G320" s="1" t="n">
        <v>0.009144545</v>
      </c>
      <c r="H320" s="1" t="n">
        <v>0.006620646</v>
      </c>
      <c r="I320" s="1" t="n">
        <v>0.005028963</v>
      </c>
      <c r="J320" s="1" t="n">
        <v>0.005118847</v>
      </c>
      <c r="K320" s="1" t="n">
        <v>0.005188227</v>
      </c>
      <c r="L320" s="1" t="n">
        <v>0.005058289</v>
      </c>
      <c r="M320" s="1" t="n">
        <v>0.005106688</v>
      </c>
      <c r="N320" s="1" t="n">
        <v>0.00510478</v>
      </c>
      <c r="O320" s="1" t="n">
        <v>0.005107403</v>
      </c>
      <c r="P320" s="1" t="n">
        <v>0.005100727</v>
      </c>
      <c r="R320" s="1" t="n">
        <f aca="false">PERCENTILE(G320:P320,0.9)</f>
        <v>0.0068730359</v>
      </c>
      <c r="S320" s="5" t="n">
        <f aca="false">spmv_1!R$10/R320</f>
        <v>5.09697967676846</v>
      </c>
      <c r="T320" s="6" t="n">
        <f aca="false">S320/128</f>
        <v>0.0398201537247536</v>
      </c>
    </row>
    <row r="321" customFormat="false" ht="15" hidden="false" customHeight="false" outlineLevel="0" collapsed="false">
      <c r="A321" s="1" t="s">
        <v>17</v>
      </c>
      <c r="B321" s="1" t="n">
        <v>57</v>
      </c>
      <c r="D321" s="1" t="n">
        <v>158947</v>
      </c>
      <c r="E321" s="1" t="n">
        <v>0.057168</v>
      </c>
      <c r="G321" s="1" t="n">
        <v>0.009156227</v>
      </c>
      <c r="H321" s="1" t="n">
        <v>0.00658083</v>
      </c>
      <c r="I321" s="1" t="n">
        <v>0.004892111</v>
      </c>
      <c r="J321" s="1" t="n">
        <v>0.004986048</v>
      </c>
      <c r="K321" s="1" t="n">
        <v>0.005048037</v>
      </c>
      <c r="L321" s="1" t="n">
        <v>0.004977465</v>
      </c>
      <c r="M321" s="1" t="n">
        <v>0.004970074</v>
      </c>
      <c r="N321" s="1" t="n">
        <v>0.005002975</v>
      </c>
      <c r="O321" s="1" t="n">
        <v>0.004987717</v>
      </c>
      <c r="P321" s="1" t="n">
        <v>0.00500536</v>
      </c>
      <c r="R321" s="1" t="n">
        <f aca="false">PERCENTILE(G321:P321,0.9)</f>
        <v>0.0068383697</v>
      </c>
      <c r="S321" s="5" t="n">
        <f aca="false">spmv_1!R$10/R321</f>
        <v>5.12281813309977</v>
      </c>
      <c r="T321" s="6" t="n">
        <f aca="false">S321/128</f>
        <v>0.0400220166648419</v>
      </c>
    </row>
    <row r="322" customFormat="false" ht="15" hidden="false" customHeight="false" outlineLevel="0" collapsed="false">
      <c r="A322" s="1" t="s">
        <v>17</v>
      </c>
      <c r="B322" s="1" t="n">
        <v>58</v>
      </c>
      <c r="D322" s="1" t="n">
        <v>158779</v>
      </c>
      <c r="E322" s="1" t="n">
        <v>0.057466</v>
      </c>
      <c r="G322" s="1" t="n">
        <v>0.009080172</v>
      </c>
      <c r="H322" s="1" t="n">
        <v>0.006560326</v>
      </c>
      <c r="I322" s="1" t="n">
        <v>0.004843712</v>
      </c>
      <c r="J322" s="1" t="n">
        <v>0.004928589</v>
      </c>
      <c r="K322" s="1" t="n">
        <v>0.004995584</v>
      </c>
      <c r="L322" s="1" t="n">
        <v>0.004978895</v>
      </c>
      <c r="M322" s="1" t="n">
        <v>0.004942417</v>
      </c>
      <c r="N322" s="1" t="n">
        <v>0.004995823</v>
      </c>
      <c r="O322" s="1" t="n">
        <v>0.004949808</v>
      </c>
      <c r="P322" s="1" t="n">
        <v>0.004985094</v>
      </c>
      <c r="R322" s="1" t="n">
        <f aca="false">PERCENTILE(G322:P322,0.9)</f>
        <v>0.0068123106</v>
      </c>
      <c r="S322" s="5" t="n">
        <f aca="false">spmv_1!R$10/R322</f>
        <v>5.14241442543739</v>
      </c>
      <c r="T322" s="6" t="n">
        <f aca="false">S322/128</f>
        <v>0.0401751126987296</v>
      </c>
    </row>
    <row r="323" customFormat="false" ht="15" hidden="false" customHeight="false" outlineLevel="0" collapsed="false">
      <c r="A323" s="1" t="s">
        <v>17</v>
      </c>
      <c r="B323" s="1" t="n">
        <v>59</v>
      </c>
      <c r="D323" s="1" t="n">
        <v>159343</v>
      </c>
      <c r="E323" s="1" t="n">
        <v>0.057559</v>
      </c>
      <c r="G323" s="1" t="n">
        <v>0.009172916</v>
      </c>
      <c r="H323" s="1" t="n">
        <v>0.006588697</v>
      </c>
      <c r="I323" s="1" t="n">
        <v>0.004866123</v>
      </c>
      <c r="J323" s="1" t="n">
        <v>0.004912615</v>
      </c>
      <c r="K323" s="1" t="n">
        <v>0.005011082</v>
      </c>
      <c r="L323" s="1" t="n">
        <v>0.004951</v>
      </c>
      <c r="M323" s="1" t="n">
        <v>0.004939079</v>
      </c>
      <c r="N323" s="1" t="n">
        <v>0.004979134</v>
      </c>
      <c r="O323" s="1" t="n">
        <v>0.004966736</v>
      </c>
      <c r="P323" s="1" t="n">
        <v>0.00497961</v>
      </c>
      <c r="R323" s="1" t="n">
        <f aca="false">PERCENTILE(G323:P323,0.9)</f>
        <v>0.0068471189</v>
      </c>
      <c r="S323" s="5" t="n">
        <f aca="false">spmv_1!R$10/R323</f>
        <v>5.11627223239836</v>
      </c>
      <c r="T323" s="6" t="n">
        <f aca="false">S323/128</f>
        <v>0.0399708768156122</v>
      </c>
    </row>
    <row r="324" customFormat="false" ht="15" hidden="false" customHeight="false" outlineLevel="0" collapsed="false">
      <c r="A324" s="1" t="s">
        <v>17</v>
      </c>
      <c r="B324" s="1" t="n">
        <v>60</v>
      </c>
      <c r="D324" s="1" t="n">
        <v>157861</v>
      </c>
      <c r="E324" s="1" t="n">
        <v>0.057318</v>
      </c>
      <c r="G324" s="1" t="n">
        <v>0.00916481</v>
      </c>
      <c r="H324" s="1" t="n">
        <v>0.006602764</v>
      </c>
      <c r="I324" s="1" t="n">
        <v>0.004836559</v>
      </c>
      <c r="J324" s="1" t="n">
        <v>0.004895926</v>
      </c>
      <c r="K324" s="1" t="n">
        <v>0.004991531</v>
      </c>
      <c r="L324" s="1" t="n">
        <v>0.0049088</v>
      </c>
      <c r="M324" s="1" t="n">
        <v>0.00491643</v>
      </c>
      <c r="N324" s="1" t="n">
        <v>0.004914522</v>
      </c>
      <c r="O324" s="1" t="n">
        <v>0.004907131</v>
      </c>
      <c r="P324" s="1" t="n">
        <v>0.004943848</v>
      </c>
      <c r="R324" s="1" t="n">
        <f aca="false">PERCENTILE(G324:P324,0.9)</f>
        <v>0.0068589686</v>
      </c>
      <c r="S324" s="5" t="n">
        <f aca="false">spmv_1!R$10/R324</f>
        <v>5.1074332516991</v>
      </c>
      <c r="T324" s="6" t="n">
        <f aca="false">S324/128</f>
        <v>0.0399018222788992</v>
      </c>
    </row>
    <row r="325" customFormat="false" ht="15" hidden="false" customHeight="false" outlineLevel="0" collapsed="false">
      <c r="A325" s="1" t="s">
        <v>17</v>
      </c>
      <c r="B325" s="1" t="n">
        <v>61</v>
      </c>
      <c r="D325" s="1" t="n">
        <v>157775</v>
      </c>
      <c r="E325" s="1" t="n">
        <v>0.057759</v>
      </c>
      <c r="G325" s="1" t="n">
        <v>0.009101391</v>
      </c>
      <c r="H325" s="1" t="n">
        <v>0.00658083</v>
      </c>
      <c r="I325" s="1" t="n">
        <v>0.004807234</v>
      </c>
      <c r="J325" s="1" t="n">
        <v>0.004831076</v>
      </c>
      <c r="K325" s="1" t="n">
        <v>0.004944324</v>
      </c>
      <c r="L325" s="1" t="n">
        <v>0.004859686</v>
      </c>
      <c r="M325" s="1" t="n">
        <v>0.004848242</v>
      </c>
      <c r="N325" s="1" t="n">
        <v>0.004889011</v>
      </c>
      <c r="O325" s="1" t="n">
        <v>0.00487709</v>
      </c>
      <c r="P325" s="1" t="n">
        <v>0.004892826</v>
      </c>
      <c r="R325" s="1" t="n">
        <f aca="false">PERCENTILE(G325:P325,0.9)</f>
        <v>0.0068328861</v>
      </c>
      <c r="S325" s="5" t="n">
        <f aca="false">spmv_1!R$10/R325</f>
        <v>5.12692935127369</v>
      </c>
      <c r="T325" s="6" t="n">
        <f aca="false">S325/128</f>
        <v>0.0400541355568257</v>
      </c>
    </row>
    <row r="326" customFormat="false" ht="15" hidden="false" customHeight="false" outlineLevel="0" collapsed="false">
      <c r="A326" s="1" t="s">
        <v>17</v>
      </c>
      <c r="B326" s="1" t="n">
        <v>62</v>
      </c>
      <c r="D326" s="1" t="n">
        <v>158022</v>
      </c>
      <c r="E326" s="1" t="n">
        <v>0.058346</v>
      </c>
      <c r="G326" s="1" t="n">
        <v>0.009184837</v>
      </c>
      <c r="H326" s="1" t="n">
        <v>0.006588697</v>
      </c>
      <c r="I326" s="1" t="n">
        <v>0.004716396</v>
      </c>
      <c r="J326" s="1" t="n">
        <v>0.004734039</v>
      </c>
      <c r="K326" s="1" t="n">
        <v>0.004863024</v>
      </c>
      <c r="L326" s="1" t="n">
        <v>0.004817009</v>
      </c>
      <c r="M326" s="1" t="n">
        <v>0.00480175</v>
      </c>
      <c r="N326" s="1" t="n">
        <v>0.004846096</v>
      </c>
      <c r="O326" s="1" t="n">
        <v>0.004824162</v>
      </c>
      <c r="P326" s="1" t="n">
        <v>0.004791021</v>
      </c>
      <c r="R326" s="1" t="n">
        <f aca="false">PERCENTILE(G326:P326,0.9)</f>
        <v>0.006848311</v>
      </c>
      <c r="S326" s="5" t="n">
        <f aca="false">spmv_1!R$10/R326</f>
        <v>5.11538163205497</v>
      </c>
      <c r="T326" s="6" t="n">
        <f aca="false">S326/128</f>
        <v>0.0399639190004295</v>
      </c>
    </row>
    <row r="327" customFormat="false" ht="15" hidden="false" customHeight="false" outlineLevel="0" collapsed="false">
      <c r="A327" s="1" t="s">
        <v>17</v>
      </c>
      <c r="B327" s="1" t="n">
        <v>63</v>
      </c>
      <c r="D327" s="1" t="n">
        <v>158153</v>
      </c>
      <c r="E327" s="1" t="n">
        <v>0.05832</v>
      </c>
      <c r="G327" s="1" t="n">
        <v>0.009353399</v>
      </c>
      <c r="H327" s="1" t="n">
        <v>0.006604195</v>
      </c>
      <c r="I327" s="1" t="n">
        <v>0.004687548</v>
      </c>
      <c r="J327" s="1" t="n">
        <v>0.004744053</v>
      </c>
      <c r="K327" s="1" t="n">
        <v>0.004868269</v>
      </c>
      <c r="L327" s="1" t="n">
        <v>0.004780531</v>
      </c>
      <c r="M327" s="1" t="n">
        <v>0.004781723</v>
      </c>
      <c r="N327" s="1" t="n">
        <v>0.004813194</v>
      </c>
      <c r="O327" s="1" t="n">
        <v>0.004799366</v>
      </c>
      <c r="P327" s="1" t="n">
        <v>0.004803658</v>
      </c>
      <c r="R327" s="1" t="n">
        <f aca="false">PERCENTILE(G327:P327,0.9)</f>
        <v>0.0068791154</v>
      </c>
      <c r="S327" s="5" t="n">
        <f aca="false">spmv_1!R$10/R327</f>
        <v>5.09247516039635</v>
      </c>
      <c r="T327" s="6" t="n">
        <f aca="false">S327/128</f>
        <v>0.0397849621905965</v>
      </c>
    </row>
    <row r="328" customFormat="false" ht="15" hidden="false" customHeight="false" outlineLevel="0" collapsed="false">
      <c r="A328" s="1" t="s">
        <v>17</v>
      </c>
      <c r="B328" s="1" t="n">
        <v>64</v>
      </c>
      <c r="D328" s="1" t="n">
        <v>159680</v>
      </c>
      <c r="E328" s="1" t="n">
        <v>0.053533</v>
      </c>
      <c r="G328" s="1" t="n">
        <v>0.010447264</v>
      </c>
      <c r="H328" s="1" t="n">
        <v>0.007619619</v>
      </c>
      <c r="I328" s="1" t="n">
        <v>0.005315304</v>
      </c>
      <c r="J328" s="1" t="n">
        <v>0.004992247</v>
      </c>
      <c r="K328" s="1" t="n">
        <v>0.005085468</v>
      </c>
      <c r="L328" s="1" t="n">
        <v>0.005186081</v>
      </c>
      <c r="M328" s="1" t="n">
        <v>0.005343676</v>
      </c>
      <c r="N328" s="1" t="n">
        <v>0.005362749</v>
      </c>
      <c r="O328" s="1" t="n">
        <v>0.005218983</v>
      </c>
      <c r="P328" s="1" t="n">
        <v>0.005085707</v>
      </c>
      <c r="R328" s="1" t="n">
        <f aca="false">PERCENTILE(G328:P328,0.9)</f>
        <v>0.0079023835</v>
      </c>
      <c r="S328" s="5" t="n">
        <f aca="false">spmv_1!R$10/R328</f>
        <v>4.43305798813738</v>
      </c>
      <c r="T328" s="6" t="n">
        <f aca="false">S328/128</f>
        <v>0.0346332655323233</v>
      </c>
    </row>
    <row r="329" customFormat="false" ht="15" hidden="false" customHeight="false" outlineLevel="0" collapsed="false">
      <c r="A329" s="1" t="s">
        <v>17</v>
      </c>
      <c r="B329" s="1" t="n">
        <v>65</v>
      </c>
      <c r="D329" s="1" t="n">
        <v>159770</v>
      </c>
      <c r="E329" s="1" t="n">
        <v>0.054456</v>
      </c>
      <c r="G329" s="1" t="n">
        <v>0.010839462</v>
      </c>
      <c r="H329" s="1" t="n">
        <v>0.007623434</v>
      </c>
      <c r="I329" s="1" t="n">
        <v>0.005149603</v>
      </c>
      <c r="J329" s="1" t="n">
        <v>0.004882336</v>
      </c>
      <c r="K329" s="1" t="n">
        <v>0.004920483</v>
      </c>
      <c r="L329" s="1" t="n">
        <v>0.004908085</v>
      </c>
      <c r="M329" s="1" t="n">
        <v>0.004935503</v>
      </c>
      <c r="N329" s="1" t="n">
        <v>0.004966497</v>
      </c>
      <c r="O329" s="1" t="n">
        <v>0.005324364</v>
      </c>
      <c r="P329" s="1" t="n">
        <v>0.005129099</v>
      </c>
      <c r="R329" s="1" t="n">
        <f aca="false">PERCENTILE(G329:P329,0.9)</f>
        <v>0.0079450368</v>
      </c>
      <c r="S329" s="5" t="n">
        <f aca="false">spmv_1!R$10/R329</f>
        <v>4.40925890991468</v>
      </c>
      <c r="T329" s="6" t="n">
        <f aca="false">S329/128</f>
        <v>0.0344473352337084</v>
      </c>
    </row>
    <row r="330" customFormat="false" ht="15" hidden="false" customHeight="false" outlineLevel="0" collapsed="false">
      <c r="A330" s="1" t="s">
        <v>17</v>
      </c>
      <c r="B330" s="1" t="n">
        <v>66</v>
      </c>
      <c r="D330" s="1" t="n">
        <v>159185</v>
      </c>
      <c r="E330" s="1" t="n">
        <v>0.053657</v>
      </c>
      <c r="G330" s="1" t="n">
        <v>0.01043129</v>
      </c>
      <c r="H330" s="1" t="n">
        <v>0.007658005</v>
      </c>
      <c r="I330" s="1" t="n">
        <v>0.005509377</v>
      </c>
      <c r="J330" s="1" t="n">
        <v>0.005138159</v>
      </c>
      <c r="K330" s="1" t="n">
        <v>0.004998446</v>
      </c>
      <c r="L330" s="1" t="n">
        <v>0.00500536</v>
      </c>
      <c r="M330" s="1" t="n">
        <v>0.005095959</v>
      </c>
      <c r="N330" s="1" t="n">
        <v>0.005019665</v>
      </c>
      <c r="O330" s="1" t="n">
        <v>0.005401611</v>
      </c>
      <c r="P330" s="1" t="n">
        <v>0.00507617</v>
      </c>
      <c r="R330" s="1" t="n">
        <f aca="false">PERCENTILE(G330:P330,0.9)</f>
        <v>0.0079353335</v>
      </c>
      <c r="S330" s="5" t="n">
        <f aca="false">spmv_1!R$10/R330</f>
        <v>4.41465053737187</v>
      </c>
      <c r="T330" s="6" t="n">
        <f aca="false">S330/128</f>
        <v>0.0344894573232177</v>
      </c>
    </row>
    <row r="331" customFormat="false" ht="15" hidden="false" customHeight="false" outlineLevel="0" collapsed="false">
      <c r="A331" s="1" t="s">
        <v>17</v>
      </c>
      <c r="B331" s="1" t="n">
        <v>67</v>
      </c>
      <c r="D331" s="1" t="n">
        <v>159301</v>
      </c>
      <c r="E331" s="1" t="n">
        <v>0.051953</v>
      </c>
      <c r="G331" s="1" t="n">
        <v>0.010676384</v>
      </c>
      <c r="H331" s="1" t="n">
        <v>0.007783651</v>
      </c>
      <c r="I331" s="1" t="n">
        <v>0.005469561</v>
      </c>
      <c r="J331" s="1" t="n">
        <v>0.005371094</v>
      </c>
      <c r="K331" s="1" t="n">
        <v>0.005478859</v>
      </c>
      <c r="L331" s="1" t="n">
        <v>0.005530596</v>
      </c>
      <c r="M331" s="1" t="n">
        <v>0.005317926</v>
      </c>
      <c r="N331" s="1" t="n">
        <v>0.005176306</v>
      </c>
      <c r="O331" s="1" t="n">
        <v>0.005347729</v>
      </c>
      <c r="P331" s="1" t="n">
        <v>0.005172729</v>
      </c>
      <c r="R331" s="1" t="n">
        <f aca="false">PERCENTILE(G331:P331,0.9)</f>
        <v>0.0080729243</v>
      </c>
      <c r="S331" s="5" t="n">
        <f aca="false">spmv_1!R$10/R331</f>
        <v>4.33940948758804</v>
      </c>
      <c r="T331" s="6" t="n">
        <f aca="false">S331/128</f>
        <v>0.0339016366217815</v>
      </c>
    </row>
    <row r="332" customFormat="false" ht="15" hidden="false" customHeight="false" outlineLevel="0" collapsed="false">
      <c r="A332" s="1" t="s">
        <v>17</v>
      </c>
      <c r="B332" s="1" t="n">
        <v>68</v>
      </c>
      <c r="D332" s="1" t="n">
        <v>157153</v>
      </c>
      <c r="E332" s="1" t="n">
        <v>0.05432</v>
      </c>
      <c r="G332" s="1" t="n">
        <v>0.010861397</v>
      </c>
      <c r="H332" s="1" t="n">
        <v>0.007598877</v>
      </c>
      <c r="I332" s="1" t="n">
        <v>0.005105257</v>
      </c>
      <c r="J332" s="1" t="n">
        <v>0.004791021</v>
      </c>
      <c r="K332" s="1" t="n">
        <v>0.004822969</v>
      </c>
      <c r="L332" s="1" t="n">
        <v>0.004836321</v>
      </c>
      <c r="M332" s="1" t="n">
        <v>0.004812479</v>
      </c>
      <c r="N332" s="1" t="n">
        <v>0.004864931</v>
      </c>
      <c r="O332" s="1" t="n">
        <v>0.005234718</v>
      </c>
      <c r="P332" s="1" t="n">
        <v>0.004933834</v>
      </c>
      <c r="R332" s="1" t="n">
        <f aca="false">PERCENTILE(G332:P332,0.9)</f>
        <v>0.007925129</v>
      </c>
      <c r="S332" s="5" t="n">
        <f aca="false">spmv_1!R$10/R332</f>
        <v>4.42033489928051</v>
      </c>
      <c r="T332" s="6" t="n">
        <f aca="false">S332/128</f>
        <v>0.0345338664006289</v>
      </c>
    </row>
    <row r="333" customFormat="false" ht="15" hidden="false" customHeight="false" outlineLevel="0" collapsed="false">
      <c r="A333" s="1" t="s">
        <v>17</v>
      </c>
      <c r="B333" s="1" t="n">
        <v>69</v>
      </c>
      <c r="D333" s="1" t="n">
        <v>156873</v>
      </c>
      <c r="E333" s="1" t="n">
        <v>0.055043</v>
      </c>
      <c r="G333" s="1" t="n">
        <v>0.010392427</v>
      </c>
      <c r="H333" s="1" t="n">
        <v>0.007329702</v>
      </c>
      <c r="I333" s="1" t="n">
        <v>0.004986286</v>
      </c>
      <c r="J333" s="1" t="n">
        <v>0.004884243</v>
      </c>
      <c r="K333" s="1" t="n">
        <v>0.004968166</v>
      </c>
      <c r="L333" s="1" t="n">
        <v>0.005411386</v>
      </c>
      <c r="M333" s="1" t="n">
        <v>0.00480175</v>
      </c>
      <c r="N333" s="1" t="n">
        <v>0.004756927</v>
      </c>
      <c r="O333" s="1" t="n">
        <v>0.004697084</v>
      </c>
      <c r="P333" s="1" t="n">
        <v>0.004772425</v>
      </c>
      <c r="R333" s="1" t="n">
        <f aca="false">PERCENTILE(G333:P333,0.9)</f>
        <v>0.0076359745</v>
      </c>
      <c r="S333" s="5" t="n">
        <f aca="false">spmv_1!R$10/R333</f>
        <v>4.58772148859324</v>
      </c>
      <c r="T333" s="6" t="n">
        <f aca="false">S333/128</f>
        <v>0.0358415741296347</v>
      </c>
    </row>
    <row r="334" customFormat="false" ht="15" hidden="false" customHeight="false" outlineLevel="0" collapsed="false">
      <c r="A334" s="1" t="s">
        <v>17</v>
      </c>
      <c r="B334" s="1" t="n">
        <v>70</v>
      </c>
      <c r="D334" s="1" t="n">
        <v>156624</v>
      </c>
      <c r="E334" s="1" t="n">
        <v>0.050599</v>
      </c>
      <c r="G334" s="1" t="n">
        <v>0.010796785</v>
      </c>
      <c r="H334" s="1" t="n">
        <v>0.007887363</v>
      </c>
      <c r="I334" s="1" t="n">
        <v>0.005623341</v>
      </c>
      <c r="J334" s="1" t="n">
        <v>0.005429268</v>
      </c>
      <c r="K334" s="1" t="n">
        <v>0.005338907</v>
      </c>
      <c r="L334" s="1" t="n">
        <v>0.005632877</v>
      </c>
      <c r="M334" s="1" t="n">
        <v>0.005289316</v>
      </c>
      <c r="N334" s="1" t="n">
        <v>0.005247593</v>
      </c>
      <c r="O334" s="1" t="n">
        <v>0.005354881</v>
      </c>
      <c r="P334" s="1" t="n">
        <v>0.005308151</v>
      </c>
      <c r="R334" s="1" t="n">
        <f aca="false">PERCENTILE(G334:P334,0.9)</f>
        <v>0.0081783052</v>
      </c>
      <c r="S334" s="5" t="n">
        <f aca="false">spmv_1!R$10/R334</f>
        <v>4.28349437240371</v>
      </c>
      <c r="T334" s="6" t="n">
        <f aca="false">S334/128</f>
        <v>0.033464799784404</v>
      </c>
    </row>
    <row r="335" customFormat="false" ht="15" hidden="false" customHeight="false" outlineLevel="0" collapsed="false">
      <c r="A335" s="1" t="s">
        <v>17</v>
      </c>
      <c r="B335" s="1" t="n">
        <v>71</v>
      </c>
      <c r="D335" s="1" t="n">
        <v>156435</v>
      </c>
      <c r="E335" s="1" t="n">
        <v>0.054426</v>
      </c>
      <c r="G335" s="1" t="n">
        <v>0.010485411</v>
      </c>
      <c r="H335" s="1" t="n">
        <v>0.007404327</v>
      </c>
      <c r="I335" s="1" t="n">
        <v>0.005102873</v>
      </c>
      <c r="J335" s="1" t="n">
        <v>0.004759312</v>
      </c>
      <c r="K335" s="1" t="n">
        <v>0.004806042</v>
      </c>
      <c r="L335" s="1" t="n">
        <v>0.004953623</v>
      </c>
      <c r="M335" s="1" t="n">
        <v>0.005093575</v>
      </c>
      <c r="N335" s="1" t="n">
        <v>0.005212307</v>
      </c>
      <c r="O335" s="1" t="n">
        <v>0.00480628</v>
      </c>
      <c r="P335" s="1" t="n">
        <v>0.004861355</v>
      </c>
      <c r="R335" s="1" t="n">
        <f aca="false">PERCENTILE(G335:P335,0.9)</f>
        <v>0.0077124354</v>
      </c>
      <c r="S335" s="5" t="n">
        <f aca="false">spmv_1!R$10/R335</f>
        <v>4.54223892753773</v>
      </c>
      <c r="T335" s="6" t="n">
        <f aca="false">S335/128</f>
        <v>0.0354862416213885</v>
      </c>
    </row>
    <row r="336" customFormat="false" ht="15" hidden="false" customHeight="false" outlineLevel="0" collapsed="false">
      <c r="A336" s="1" t="s">
        <v>17</v>
      </c>
      <c r="B336" s="1" t="n">
        <v>72</v>
      </c>
      <c r="D336" s="1" t="n">
        <v>157697</v>
      </c>
      <c r="E336" s="1" t="n">
        <v>0.055276</v>
      </c>
      <c r="G336" s="1" t="n">
        <v>0.010486841</v>
      </c>
      <c r="H336" s="1" t="n">
        <v>0.007378101</v>
      </c>
      <c r="I336" s="1" t="n">
        <v>0.005054712</v>
      </c>
      <c r="J336" s="1" t="n">
        <v>0.004737139</v>
      </c>
      <c r="K336" s="1" t="n">
        <v>0.004755497</v>
      </c>
      <c r="L336" s="1" t="n">
        <v>0.00494194</v>
      </c>
      <c r="M336" s="1" t="n">
        <v>0.005049944</v>
      </c>
      <c r="N336" s="1" t="n">
        <v>0.005169153</v>
      </c>
      <c r="O336" s="1" t="n">
        <v>0.00476265</v>
      </c>
      <c r="P336" s="1" t="n">
        <v>0.004722357</v>
      </c>
      <c r="R336" s="1" t="n">
        <f aca="false">PERCENTILE(G336:P336,0.9)</f>
        <v>0.007688975</v>
      </c>
      <c r="S336" s="5" t="n">
        <f aca="false">spmv_1!R$10/R336</f>
        <v>4.55609808849684</v>
      </c>
      <c r="T336" s="6" t="n">
        <f aca="false">S336/128</f>
        <v>0.0355945163163816</v>
      </c>
    </row>
    <row r="337" customFormat="false" ht="15" hidden="false" customHeight="false" outlineLevel="0" collapsed="false">
      <c r="A337" s="1" t="s">
        <v>17</v>
      </c>
      <c r="B337" s="1" t="n">
        <v>73</v>
      </c>
      <c r="D337" s="1" t="n">
        <v>158206</v>
      </c>
      <c r="E337" s="1" t="n">
        <v>0.056934</v>
      </c>
      <c r="G337" s="1" t="n">
        <v>0.010262251</v>
      </c>
      <c r="H337" s="1" t="n">
        <v>0.007196903</v>
      </c>
      <c r="I337" s="1" t="n">
        <v>0.004930019</v>
      </c>
      <c r="J337" s="1" t="n">
        <v>0.004724741</v>
      </c>
      <c r="K337" s="1" t="n">
        <v>0.00476265</v>
      </c>
      <c r="L337" s="1" t="n">
        <v>0.005328178</v>
      </c>
      <c r="M337" s="1" t="n">
        <v>0.004677296</v>
      </c>
      <c r="N337" s="1" t="n">
        <v>0.00458312</v>
      </c>
      <c r="O337" s="1" t="n">
        <v>0.004547834</v>
      </c>
      <c r="P337" s="1" t="n">
        <v>0.004562378</v>
      </c>
      <c r="R337" s="1" t="n">
        <f aca="false">PERCENTILE(G337:P337,0.9)</f>
        <v>0.0075034378</v>
      </c>
      <c r="S337" s="5" t="n">
        <f aca="false">spmv_1!R$10/R337</f>
        <v>4.66875653983565</v>
      </c>
      <c r="T337" s="6" t="n">
        <f aca="false">S337/128</f>
        <v>0.036474660467466</v>
      </c>
    </row>
    <row r="338" customFormat="false" ht="15" hidden="false" customHeight="false" outlineLevel="0" collapsed="false">
      <c r="A338" s="1" t="s">
        <v>17</v>
      </c>
      <c r="B338" s="1" t="n">
        <v>74</v>
      </c>
      <c r="D338" s="1" t="n">
        <v>157948</v>
      </c>
      <c r="E338" s="1" t="n">
        <v>0.055743</v>
      </c>
      <c r="G338" s="1" t="n">
        <v>0.010368109</v>
      </c>
      <c r="H338" s="1" t="n">
        <v>0.007361889</v>
      </c>
      <c r="I338" s="1" t="n">
        <v>0.005092621</v>
      </c>
      <c r="J338" s="1" t="n">
        <v>0.004667044</v>
      </c>
      <c r="K338" s="1" t="n">
        <v>0.00470686</v>
      </c>
      <c r="L338" s="1" t="n">
        <v>0.004844427</v>
      </c>
      <c r="M338" s="1" t="n">
        <v>0.005064726</v>
      </c>
      <c r="N338" s="1" t="n">
        <v>0.005161047</v>
      </c>
      <c r="O338" s="1" t="n">
        <v>0.004696608</v>
      </c>
      <c r="P338" s="1" t="n">
        <v>0.004706621</v>
      </c>
      <c r="R338" s="1" t="n">
        <f aca="false">PERCENTILE(G338:P338,0.9)</f>
        <v>0.007662511</v>
      </c>
      <c r="S338" s="5" t="n">
        <f aca="false">spmv_1!R$10/R338</f>
        <v>4.57183347599762</v>
      </c>
      <c r="T338" s="6" t="n">
        <f aca="false">S338/128</f>
        <v>0.0357174490312314</v>
      </c>
    </row>
    <row r="339" customFormat="false" ht="15" hidden="false" customHeight="false" outlineLevel="0" collapsed="false">
      <c r="A339" s="1" t="s">
        <v>17</v>
      </c>
      <c r="B339" s="1" t="n">
        <v>75</v>
      </c>
      <c r="D339" s="1" t="n">
        <v>158428</v>
      </c>
      <c r="E339" s="1" t="n">
        <v>0.055828</v>
      </c>
      <c r="G339" s="1" t="n">
        <v>0.010281324</v>
      </c>
      <c r="H339" s="1" t="n">
        <v>0.007501841</v>
      </c>
      <c r="I339" s="1" t="n">
        <v>0.005413771</v>
      </c>
      <c r="J339" s="1" t="n">
        <v>0.004784346</v>
      </c>
      <c r="K339" s="1" t="n">
        <v>0.004700422</v>
      </c>
      <c r="L339" s="1" t="n">
        <v>0.004705191</v>
      </c>
      <c r="M339" s="1" t="n">
        <v>0.004773378</v>
      </c>
      <c r="N339" s="1" t="n">
        <v>0.004686832</v>
      </c>
      <c r="O339" s="1" t="n">
        <v>0.005138159</v>
      </c>
      <c r="P339" s="1" t="n">
        <v>0.004770279</v>
      </c>
      <c r="R339" s="1" t="n">
        <f aca="false">PERCENTILE(G339:P339,0.9)</f>
        <v>0.0077797893</v>
      </c>
      <c r="S339" s="5" t="n">
        <f aca="false">spmv_1!R$10/R339</f>
        <v>4.50291427558327</v>
      </c>
      <c r="T339" s="6" t="n">
        <f aca="false">S339/128</f>
        <v>0.0351790177779943</v>
      </c>
    </row>
    <row r="340" customFormat="false" ht="15" hidden="false" customHeight="false" outlineLevel="0" collapsed="false">
      <c r="A340" s="1" t="s">
        <v>17</v>
      </c>
      <c r="B340" s="1" t="n">
        <v>76</v>
      </c>
      <c r="D340" s="1" t="n">
        <v>157013</v>
      </c>
      <c r="E340" s="1" t="n">
        <v>0.055143</v>
      </c>
      <c r="G340" s="1" t="n">
        <v>0.0103333</v>
      </c>
      <c r="H340" s="1" t="n">
        <v>0.007375002</v>
      </c>
      <c r="I340" s="1" t="n">
        <v>0.005195856</v>
      </c>
      <c r="J340" s="1" t="n">
        <v>0.00457716</v>
      </c>
      <c r="K340" s="1" t="n">
        <v>0.004651785</v>
      </c>
      <c r="L340" s="1" t="n">
        <v>0.004974127</v>
      </c>
      <c r="M340" s="1" t="n">
        <v>0.004992962</v>
      </c>
      <c r="N340" s="1" t="n">
        <v>0.005136013</v>
      </c>
      <c r="O340" s="1" t="n">
        <v>0.004850149</v>
      </c>
      <c r="P340" s="1" t="n">
        <v>0.004861116</v>
      </c>
      <c r="R340" s="1" t="n">
        <f aca="false">PERCENTILE(G340:P340,0.9)</f>
        <v>0.0076708318</v>
      </c>
      <c r="S340" s="5" t="n">
        <f aca="false">spmv_1!R$10/R340</f>
        <v>4.56687425997269</v>
      </c>
      <c r="T340" s="6" t="n">
        <f aca="false">S340/128</f>
        <v>0.0356787051560367</v>
      </c>
    </row>
    <row r="341" customFormat="false" ht="15" hidden="false" customHeight="false" outlineLevel="0" collapsed="false">
      <c r="A341" s="1" t="s">
        <v>17</v>
      </c>
      <c r="B341" s="1" t="n">
        <v>77</v>
      </c>
      <c r="D341" s="1" t="n">
        <v>157343</v>
      </c>
      <c r="E341" s="1" t="n">
        <v>0.056233</v>
      </c>
      <c r="G341" s="1" t="n">
        <v>0.010812521</v>
      </c>
      <c r="H341" s="1" t="n">
        <v>0.007530689</v>
      </c>
      <c r="I341" s="1" t="n">
        <v>0.005042791</v>
      </c>
      <c r="J341" s="1" t="n">
        <v>0.004482985</v>
      </c>
      <c r="K341" s="1" t="n">
        <v>0.004534006</v>
      </c>
      <c r="L341" s="1" t="n">
        <v>0.004573107</v>
      </c>
      <c r="M341" s="1" t="n">
        <v>0.004516363</v>
      </c>
      <c r="N341" s="1" t="n">
        <v>0.004626036</v>
      </c>
      <c r="O341" s="1" t="n">
        <v>0.005065203</v>
      </c>
      <c r="P341" s="1" t="n">
        <v>0.004776955</v>
      </c>
      <c r="R341" s="1" t="n">
        <f aca="false">PERCENTILE(G341:P341,0.9)</f>
        <v>0.0078588722</v>
      </c>
      <c r="S341" s="5" t="n">
        <f aca="false">spmv_1!R$10/R341</f>
        <v>4.45760198263563</v>
      </c>
      <c r="T341" s="6" t="n">
        <f aca="false">S341/128</f>
        <v>0.0348250154893408</v>
      </c>
    </row>
    <row r="342" customFormat="false" ht="15" hidden="false" customHeight="false" outlineLevel="0" collapsed="false">
      <c r="A342" s="1" t="s">
        <v>17</v>
      </c>
      <c r="B342" s="1" t="n">
        <v>78</v>
      </c>
      <c r="D342" s="1" t="n">
        <v>157667</v>
      </c>
      <c r="E342" s="1" t="n">
        <v>0.057014</v>
      </c>
      <c r="G342" s="1" t="n">
        <v>0.010791063</v>
      </c>
      <c r="H342" s="1" t="n">
        <v>0.007519245</v>
      </c>
      <c r="I342" s="1" t="n">
        <v>0.005038023</v>
      </c>
      <c r="J342" s="1" t="n">
        <v>0.004401207</v>
      </c>
      <c r="K342" s="1" t="n">
        <v>0.004443884</v>
      </c>
      <c r="L342" s="1" t="n">
        <v>0.004468203</v>
      </c>
      <c r="M342" s="1" t="n">
        <v>0.004450321</v>
      </c>
      <c r="N342" s="1" t="n">
        <v>0.004503012</v>
      </c>
      <c r="O342" s="1" t="n">
        <v>0.005017519</v>
      </c>
      <c r="P342" s="1" t="n">
        <v>0.004676104</v>
      </c>
      <c r="R342" s="1" t="n">
        <f aca="false">PERCENTILE(G342:P342,0.9)</f>
        <v>0.0078464268</v>
      </c>
      <c r="S342" s="5" t="n">
        <f aca="false">spmv_1!R$10/R342</f>
        <v>4.46467228879265</v>
      </c>
      <c r="T342" s="6" t="n">
        <f aca="false">S342/128</f>
        <v>0.0348802522561926</v>
      </c>
    </row>
    <row r="343" customFormat="false" ht="15" hidden="false" customHeight="false" outlineLevel="0" collapsed="false">
      <c r="A343" s="1" t="s">
        <v>17</v>
      </c>
      <c r="B343" s="1" t="n">
        <v>79</v>
      </c>
      <c r="D343" s="1" t="n">
        <v>158081</v>
      </c>
      <c r="E343" s="1" t="n">
        <v>0.056327</v>
      </c>
      <c r="G343" s="1" t="n">
        <v>0.01032877</v>
      </c>
      <c r="H343" s="1" t="n">
        <v>0.007504463</v>
      </c>
      <c r="I343" s="1" t="n">
        <v>0.005413771</v>
      </c>
      <c r="J343" s="1" t="n">
        <v>0.004736423</v>
      </c>
      <c r="K343" s="1" t="n">
        <v>0.004561186</v>
      </c>
      <c r="L343" s="1" t="n">
        <v>0.004597425</v>
      </c>
      <c r="M343" s="1" t="n">
        <v>0.004689217</v>
      </c>
      <c r="N343" s="1" t="n">
        <v>0.004584074</v>
      </c>
      <c r="O343" s="1" t="n">
        <v>0.005057573</v>
      </c>
      <c r="P343" s="1" t="n">
        <v>0.00465703</v>
      </c>
      <c r="R343" s="1" t="n">
        <f aca="false">PERCENTILE(G343:P343,0.9)</f>
        <v>0.0077868937</v>
      </c>
      <c r="S343" s="5" t="n">
        <f aca="false">spmv_1!R$10/R343</f>
        <v>4.4988060258226</v>
      </c>
      <c r="T343" s="6" t="n">
        <f aca="false">S343/128</f>
        <v>0.035146922076739</v>
      </c>
    </row>
    <row r="344" customFormat="false" ht="15" hidden="false" customHeight="false" outlineLevel="0" collapsed="false">
      <c r="A344" s="1" t="s">
        <v>17</v>
      </c>
      <c r="B344" s="1" t="n">
        <v>80</v>
      </c>
      <c r="D344" s="1" t="n">
        <v>159102</v>
      </c>
      <c r="E344" s="1" t="n">
        <v>0.057248</v>
      </c>
      <c r="G344" s="1" t="n">
        <v>0.010414362</v>
      </c>
      <c r="H344" s="1" t="n">
        <v>0.007506609</v>
      </c>
      <c r="I344" s="1" t="n">
        <v>0.005411148</v>
      </c>
      <c r="J344" s="1" t="n">
        <v>0.004645109</v>
      </c>
      <c r="K344" s="1" t="n">
        <v>0.00446105</v>
      </c>
      <c r="L344" s="1" t="n">
        <v>0.004500866</v>
      </c>
      <c r="M344" s="1" t="n">
        <v>0.00462389</v>
      </c>
      <c r="N344" s="1" t="n">
        <v>0.004504681</v>
      </c>
      <c r="O344" s="1" t="n">
        <v>0.00497508</v>
      </c>
      <c r="P344" s="1" t="n">
        <v>0.004540443</v>
      </c>
      <c r="R344" s="1" t="n">
        <f aca="false">PERCENTILE(G344:P344,0.9)</f>
        <v>0.0077973843</v>
      </c>
      <c r="S344" s="5" t="n">
        <f aca="false">spmv_1!R$10/R344</f>
        <v>4.4927533326785</v>
      </c>
      <c r="T344" s="6" t="n">
        <f aca="false">S344/128</f>
        <v>0.0350996354115508</v>
      </c>
    </row>
    <row r="345" customFormat="false" ht="15" hidden="false" customHeight="false" outlineLevel="0" collapsed="false">
      <c r="A345" s="1" t="s">
        <v>17</v>
      </c>
      <c r="B345" s="1" t="n">
        <v>81</v>
      </c>
      <c r="D345" s="1" t="n">
        <v>159586</v>
      </c>
      <c r="E345" s="1" t="n">
        <v>0.058647</v>
      </c>
      <c r="G345" s="1" t="n">
        <v>0.010710716</v>
      </c>
      <c r="H345" s="1" t="n">
        <v>0.00748992</v>
      </c>
      <c r="I345" s="1" t="n">
        <v>0.005002975</v>
      </c>
      <c r="J345" s="1" t="n">
        <v>0.004330397</v>
      </c>
      <c r="K345" s="1" t="n">
        <v>0.004361868</v>
      </c>
      <c r="L345" s="1" t="n">
        <v>0.004359961</v>
      </c>
      <c r="M345" s="1" t="n">
        <v>0.004374504</v>
      </c>
      <c r="N345" s="1" t="n">
        <v>0.004399776</v>
      </c>
      <c r="O345" s="1" t="n">
        <v>0.004927874</v>
      </c>
      <c r="P345" s="1" t="n">
        <v>0.004464865</v>
      </c>
      <c r="R345" s="1" t="n">
        <f aca="false">PERCENTILE(G345:P345,0.9)</f>
        <v>0.0078119996</v>
      </c>
      <c r="S345" s="5" t="n">
        <f aca="false">spmv_1!R$10/R345</f>
        <v>4.48434793826667</v>
      </c>
      <c r="T345" s="6" t="n">
        <f aca="false">S345/128</f>
        <v>0.0350339682677083</v>
      </c>
    </row>
    <row r="346" customFormat="false" ht="15" hidden="false" customHeight="false" outlineLevel="0" collapsed="false">
      <c r="A346" s="1" t="s">
        <v>17</v>
      </c>
      <c r="B346" s="1" t="n">
        <v>82</v>
      </c>
      <c r="D346" s="1" t="n">
        <v>159214</v>
      </c>
      <c r="E346" s="1" t="n">
        <v>0.059168</v>
      </c>
      <c r="G346" s="1" t="n">
        <v>0.010751247</v>
      </c>
      <c r="H346" s="1" t="n">
        <v>0.007459879</v>
      </c>
      <c r="I346" s="1" t="n">
        <v>0.004930973</v>
      </c>
      <c r="J346" s="1" t="n">
        <v>0.004217625</v>
      </c>
      <c r="K346" s="1" t="n">
        <v>0.004277945</v>
      </c>
      <c r="L346" s="1" t="n">
        <v>0.00430131</v>
      </c>
      <c r="M346" s="1" t="n">
        <v>0.004311562</v>
      </c>
      <c r="N346" s="1" t="n">
        <v>0.004298687</v>
      </c>
      <c r="O346" s="1" t="n">
        <v>0.004851341</v>
      </c>
      <c r="P346" s="1" t="n">
        <v>0.004417181</v>
      </c>
      <c r="R346" s="1" t="n">
        <f aca="false">PERCENTILE(G346:P346,0.9)</f>
        <v>0.0077890158</v>
      </c>
      <c r="S346" s="5" t="n">
        <f aca="false">spmv_1!R$10/R346</f>
        <v>4.49758033614465</v>
      </c>
      <c r="T346" s="6" t="n">
        <f aca="false">S346/128</f>
        <v>0.0351373463761301</v>
      </c>
    </row>
    <row r="347" customFormat="false" ht="15" hidden="false" customHeight="false" outlineLevel="0" collapsed="false">
      <c r="A347" s="1" t="s">
        <v>17</v>
      </c>
      <c r="B347" s="1" t="n">
        <v>83</v>
      </c>
      <c r="D347" s="1" t="n">
        <v>159484</v>
      </c>
      <c r="E347" s="1" t="n">
        <v>0.060233</v>
      </c>
      <c r="G347" s="1" t="n">
        <v>0.010172367</v>
      </c>
      <c r="H347" s="1" t="n">
        <v>0.007050991</v>
      </c>
      <c r="I347" s="1" t="n">
        <v>0.00475955</v>
      </c>
      <c r="J347" s="1" t="n">
        <v>0.004293203</v>
      </c>
      <c r="K347" s="1" t="n">
        <v>0.004495144</v>
      </c>
      <c r="L347" s="1" t="n">
        <v>0.005153894</v>
      </c>
      <c r="M347" s="1" t="n">
        <v>0.004343987</v>
      </c>
      <c r="N347" s="1" t="n">
        <v>0.004220486</v>
      </c>
      <c r="O347" s="1" t="n">
        <v>0.004244804</v>
      </c>
      <c r="P347" s="1" t="n">
        <v>0.004221678</v>
      </c>
      <c r="R347" s="1" t="n">
        <f aca="false">PERCENTILE(G347:P347,0.9)</f>
        <v>0.0073631286</v>
      </c>
      <c r="S347" s="5" t="n">
        <f aca="false">spmv_1!R$10/R347</f>
        <v>4.75772272943868</v>
      </c>
      <c r="T347" s="6" t="n">
        <f aca="false">S347/128</f>
        <v>0.0371697088237397</v>
      </c>
    </row>
    <row r="348" customFormat="false" ht="15" hidden="false" customHeight="false" outlineLevel="0" collapsed="false">
      <c r="A348" s="1" t="s">
        <v>17</v>
      </c>
      <c r="B348" s="1" t="n">
        <v>84</v>
      </c>
      <c r="D348" s="1" t="n">
        <v>158059</v>
      </c>
      <c r="E348" s="1" t="n">
        <v>0.058659</v>
      </c>
      <c r="G348" s="1" t="n">
        <v>0.010903835</v>
      </c>
      <c r="H348" s="1" t="n">
        <v>0.007486343</v>
      </c>
      <c r="I348" s="1" t="n">
        <v>0.004936934</v>
      </c>
      <c r="J348" s="1" t="n">
        <v>0.004141808</v>
      </c>
      <c r="K348" s="1" t="n">
        <v>0.004206419</v>
      </c>
      <c r="L348" s="1" t="n">
        <v>0.004312277</v>
      </c>
      <c r="M348" s="1" t="n">
        <v>0.004261255</v>
      </c>
      <c r="N348" s="1" t="n">
        <v>0.004304409</v>
      </c>
      <c r="O348" s="1" t="n">
        <v>0.004915953</v>
      </c>
      <c r="P348" s="1" t="n">
        <v>0.004421711</v>
      </c>
      <c r="R348" s="1" t="n">
        <f aca="false">PERCENTILE(G348:P348,0.9)</f>
        <v>0.0078280922</v>
      </c>
      <c r="S348" s="5" t="n">
        <f aca="false">spmv_1!R$10/R348</f>
        <v>4.475129240302</v>
      </c>
      <c r="T348" s="6" t="n">
        <f aca="false">S348/128</f>
        <v>0.0349619471898594</v>
      </c>
    </row>
    <row r="349" customFormat="false" ht="15" hidden="false" customHeight="false" outlineLevel="0" collapsed="false">
      <c r="A349" s="1" t="s">
        <v>17</v>
      </c>
      <c r="B349" s="1" t="n">
        <v>85</v>
      </c>
      <c r="D349" s="1" t="n">
        <v>158004</v>
      </c>
      <c r="E349" s="1" t="n">
        <v>0.058724</v>
      </c>
      <c r="G349" s="1" t="n">
        <v>0.010356665</v>
      </c>
      <c r="H349" s="1" t="n">
        <v>0.007253408</v>
      </c>
      <c r="I349" s="1" t="n">
        <v>0.00495553</v>
      </c>
      <c r="J349" s="1" t="n">
        <v>0.004206896</v>
      </c>
      <c r="K349" s="1" t="n">
        <v>0.004282951</v>
      </c>
      <c r="L349" s="1" t="n">
        <v>0.004467964</v>
      </c>
      <c r="M349" s="1" t="n">
        <v>0.004765987</v>
      </c>
      <c r="N349" s="1" t="n">
        <v>0.004792929</v>
      </c>
      <c r="O349" s="1" t="n">
        <v>0.004370928</v>
      </c>
      <c r="P349" s="1" t="n">
        <v>0.004358768</v>
      </c>
      <c r="R349" s="1" t="n">
        <f aca="false">PERCENTILE(G349:P349,0.9)</f>
        <v>0.0075637337</v>
      </c>
      <c r="S349" s="5" t="n">
        <f aca="false">spmv_1!R$10/R349</f>
        <v>4.63153856143825</v>
      </c>
      <c r="T349" s="6" t="n">
        <f aca="false">S349/128</f>
        <v>0.0361838950112363</v>
      </c>
    </row>
    <row r="350" customFormat="false" ht="15" hidden="false" customHeight="false" outlineLevel="0" collapsed="false">
      <c r="A350" s="1" t="s">
        <v>17</v>
      </c>
      <c r="B350" s="1" t="n">
        <v>86</v>
      </c>
      <c r="D350" s="1" t="n">
        <v>157224</v>
      </c>
      <c r="E350" s="1" t="n">
        <v>0.059231</v>
      </c>
      <c r="G350" s="1" t="n">
        <v>0.01026988</v>
      </c>
      <c r="H350" s="1" t="n">
        <v>0.007286072</v>
      </c>
      <c r="I350" s="1" t="n">
        <v>0.005269766</v>
      </c>
      <c r="J350" s="1" t="n">
        <v>0.004264116</v>
      </c>
      <c r="K350" s="1" t="n">
        <v>0.004179478</v>
      </c>
      <c r="L350" s="1" t="n">
        <v>0.004317522</v>
      </c>
      <c r="M350" s="1" t="n">
        <v>0.004377604</v>
      </c>
      <c r="N350" s="1" t="n">
        <v>0.004213572</v>
      </c>
      <c r="O350" s="1" t="n">
        <v>0.004713535</v>
      </c>
      <c r="P350" s="1" t="n">
        <v>0.004196644</v>
      </c>
      <c r="R350" s="1" t="n">
        <f aca="false">PERCENTILE(G350:P350,0.9)</f>
        <v>0.0075844528</v>
      </c>
      <c r="S350" s="5" t="n">
        <f aca="false">spmv_1!R$10/R350</f>
        <v>4.61888619044475</v>
      </c>
      <c r="T350" s="6" t="n">
        <f aca="false">S350/128</f>
        <v>0.0360850483628496</v>
      </c>
    </row>
    <row r="351" customFormat="false" ht="15" hidden="false" customHeight="false" outlineLevel="0" collapsed="false">
      <c r="A351" s="1" t="s">
        <v>17</v>
      </c>
      <c r="B351" s="1" t="n">
        <v>87</v>
      </c>
      <c r="D351" s="1" t="n">
        <v>157637</v>
      </c>
      <c r="E351" s="1" t="n">
        <v>0.06215</v>
      </c>
      <c r="G351" s="1" t="n">
        <v>0.010019779</v>
      </c>
      <c r="H351" s="1" t="n">
        <v>0.006877422</v>
      </c>
      <c r="I351" s="1" t="n">
        <v>0.004597425</v>
      </c>
      <c r="J351" s="1" t="n">
        <v>0.004056931</v>
      </c>
      <c r="K351" s="1" t="n">
        <v>0.004204273</v>
      </c>
      <c r="L351" s="1" t="n">
        <v>0.005029678</v>
      </c>
      <c r="M351" s="1" t="n">
        <v>0.004097223</v>
      </c>
      <c r="N351" s="1" t="n">
        <v>0.003934145</v>
      </c>
      <c r="O351" s="1" t="n">
        <v>0.003965378</v>
      </c>
      <c r="P351" s="1" t="n">
        <v>0.003946066</v>
      </c>
      <c r="R351" s="1" t="n">
        <f aca="false">PERCENTILE(G351:P351,0.9)</f>
        <v>0.0071916577</v>
      </c>
      <c r="S351" s="5" t="n">
        <f aca="false">spmv_1!R$10/R351</f>
        <v>4.87116124840035</v>
      </c>
      <c r="T351" s="6" t="n">
        <f aca="false">S351/128</f>
        <v>0.0380559472531278</v>
      </c>
    </row>
    <row r="352" customFormat="false" ht="15" hidden="false" customHeight="false" outlineLevel="0" collapsed="false">
      <c r="A352" s="1" t="s">
        <v>17</v>
      </c>
      <c r="B352" s="1" t="n">
        <v>88</v>
      </c>
      <c r="D352" s="1" t="n">
        <v>158561</v>
      </c>
      <c r="E352" s="1" t="n">
        <v>0.063201</v>
      </c>
      <c r="G352" s="1" t="n">
        <v>0.009943724</v>
      </c>
      <c r="H352" s="1" t="n">
        <v>0.006872654</v>
      </c>
      <c r="I352" s="1" t="n">
        <v>0.004583359</v>
      </c>
      <c r="J352" s="1" t="n">
        <v>0.003987789</v>
      </c>
      <c r="K352" s="1" t="n">
        <v>0.004115343</v>
      </c>
      <c r="L352" s="1" t="n">
        <v>0.004962444</v>
      </c>
      <c r="M352" s="1" t="n">
        <v>0.004039526</v>
      </c>
      <c r="N352" s="1" t="n">
        <v>0.003875971</v>
      </c>
      <c r="O352" s="1" t="n">
        <v>0.003885031</v>
      </c>
      <c r="P352" s="1" t="n">
        <v>0.003910542</v>
      </c>
      <c r="R352" s="1" t="n">
        <f aca="false">PERCENTILE(G352:P352,0.9)</f>
        <v>0.007179761</v>
      </c>
      <c r="S352" s="5" t="n">
        <f aca="false">spmv_1!R$10/R352</f>
        <v>4.87923265133756</v>
      </c>
      <c r="T352" s="6" t="n">
        <f aca="false">S352/128</f>
        <v>0.0381190050885747</v>
      </c>
    </row>
    <row r="353" customFormat="false" ht="15" hidden="false" customHeight="false" outlineLevel="0" collapsed="false">
      <c r="A353" s="1" t="s">
        <v>17</v>
      </c>
      <c r="B353" s="1" t="n">
        <v>89</v>
      </c>
      <c r="D353" s="1" t="n">
        <v>158820</v>
      </c>
      <c r="E353" s="1" t="n">
        <v>0.06201</v>
      </c>
      <c r="G353" s="1" t="n">
        <v>0.010730267</v>
      </c>
      <c r="H353" s="1" t="n">
        <v>0.00729847</v>
      </c>
      <c r="I353" s="1" t="n">
        <v>0.004750252</v>
      </c>
      <c r="J353" s="1" t="n">
        <v>0.003936529</v>
      </c>
      <c r="K353" s="1" t="n">
        <v>0.003906488</v>
      </c>
      <c r="L353" s="1" t="n">
        <v>0.003964901</v>
      </c>
      <c r="M353" s="1" t="n">
        <v>0.004024029</v>
      </c>
      <c r="N353" s="1" t="n">
        <v>0.004041433</v>
      </c>
      <c r="O353" s="1" t="n">
        <v>0.004463673</v>
      </c>
      <c r="P353" s="1" t="n">
        <v>0.004107714</v>
      </c>
      <c r="R353" s="1" t="n">
        <f aca="false">PERCENTILE(G353:P353,0.9)</f>
        <v>0.0076416497</v>
      </c>
      <c r="S353" s="5" t="n">
        <f aca="false">spmv_1!R$10/R353</f>
        <v>4.5843143398735</v>
      </c>
      <c r="T353" s="6" t="n">
        <f aca="false">S353/128</f>
        <v>0.0358149557802617</v>
      </c>
    </row>
    <row r="354" customFormat="false" ht="15" hidden="false" customHeight="false" outlineLevel="0" collapsed="false">
      <c r="A354" s="1" t="s">
        <v>17</v>
      </c>
      <c r="B354" s="1" t="n">
        <v>90</v>
      </c>
      <c r="D354" s="1" t="n">
        <v>158395</v>
      </c>
      <c r="E354" s="1" t="n">
        <v>0.062448</v>
      </c>
      <c r="G354" s="1" t="n">
        <v>0.010645628</v>
      </c>
      <c r="H354" s="1" t="n">
        <v>0.007262945</v>
      </c>
      <c r="I354" s="1" t="n">
        <v>0.00471282</v>
      </c>
      <c r="J354" s="1" t="n">
        <v>0.00387454</v>
      </c>
      <c r="K354" s="1" t="n">
        <v>0.003859282</v>
      </c>
      <c r="L354" s="1" t="n">
        <v>0.003891468</v>
      </c>
      <c r="M354" s="1" t="n">
        <v>0.003996372</v>
      </c>
      <c r="N354" s="1" t="n">
        <v>0.003988504</v>
      </c>
      <c r="O354" s="1" t="n">
        <v>0.00442934</v>
      </c>
      <c r="P354" s="1" t="n">
        <v>0.004067659</v>
      </c>
      <c r="R354" s="1" t="n">
        <f aca="false">PERCENTILE(G354:P354,0.9)</f>
        <v>0.0076012133</v>
      </c>
      <c r="S354" s="5" t="n">
        <f aca="false">spmv_1!R$10/R354</f>
        <v>4.60870165293217</v>
      </c>
      <c r="T354" s="6" t="n">
        <f aca="false">S354/128</f>
        <v>0.0360054816635326</v>
      </c>
    </row>
    <row r="355" customFormat="false" ht="15" hidden="false" customHeight="false" outlineLevel="0" collapsed="false">
      <c r="A355" s="1" t="s">
        <v>17</v>
      </c>
      <c r="B355" s="1" t="n">
        <v>91</v>
      </c>
      <c r="D355" s="1" t="n">
        <v>158452</v>
      </c>
      <c r="E355" s="1" t="n">
        <v>0.061825</v>
      </c>
      <c r="G355" s="1" t="n">
        <v>0.010203362</v>
      </c>
      <c r="H355" s="1" t="n">
        <v>0.007182598</v>
      </c>
      <c r="I355" s="1" t="n">
        <v>0.005203247</v>
      </c>
      <c r="J355" s="1" t="n">
        <v>0.004074812</v>
      </c>
      <c r="K355" s="1" t="n">
        <v>0.003924131</v>
      </c>
      <c r="L355" s="1" t="n">
        <v>0.00404954</v>
      </c>
      <c r="M355" s="1" t="n">
        <v>0.004305124</v>
      </c>
      <c r="N355" s="1" t="n">
        <v>0.004016876</v>
      </c>
      <c r="O355" s="1" t="n">
        <v>0.004330158</v>
      </c>
      <c r="P355" s="1" t="n">
        <v>0.003968</v>
      </c>
      <c r="R355" s="1" t="n">
        <f aca="false">PERCENTILE(G355:P355,0.9)</f>
        <v>0.0074846744</v>
      </c>
      <c r="S355" s="5" t="n">
        <f aca="false">spmv_1!R$10/R355</f>
        <v>4.68046068911161</v>
      </c>
      <c r="T355" s="6" t="n">
        <f aca="false">S355/128</f>
        <v>0.0365660991336844</v>
      </c>
    </row>
    <row r="356" customFormat="false" ht="15" hidden="false" customHeight="false" outlineLevel="0" collapsed="false">
      <c r="A356" s="1" t="s">
        <v>17</v>
      </c>
      <c r="B356" s="1" t="n">
        <v>92</v>
      </c>
      <c r="D356" s="1" t="n">
        <v>157118</v>
      </c>
      <c r="E356" s="1" t="n">
        <v>0.062778</v>
      </c>
      <c r="G356" s="1" t="n">
        <v>0.010543585</v>
      </c>
      <c r="H356" s="1" t="n">
        <v>0.007266283</v>
      </c>
      <c r="I356" s="1" t="n">
        <v>0.004659414</v>
      </c>
      <c r="J356" s="1" t="n">
        <v>0.0037992</v>
      </c>
      <c r="K356" s="1" t="n">
        <v>0.003762484</v>
      </c>
      <c r="L356" s="1" t="n">
        <v>0.003834248</v>
      </c>
      <c r="M356" s="1" t="n">
        <v>0.004000902</v>
      </c>
      <c r="N356" s="1" t="n">
        <v>0.003949404</v>
      </c>
      <c r="O356" s="1" t="n">
        <v>0.004337311</v>
      </c>
      <c r="P356" s="1" t="n">
        <v>0.003902674</v>
      </c>
      <c r="R356" s="1" t="n">
        <f aca="false">PERCENTILE(G356:P356,0.9)</f>
        <v>0.0075940132</v>
      </c>
      <c r="S356" s="5" t="n">
        <f aca="false">spmv_1!R$10/R356</f>
        <v>4.61307129410837</v>
      </c>
      <c r="T356" s="6" t="n">
        <f aca="false">S356/128</f>
        <v>0.0360396194852216</v>
      </c>
    </row>
    <row r="357" customFormat="false" ht="15" hidden="false" customHeight="false" outlineLevel="0" collapsed="false">
      <c r="A357" s="1" t="s">
        <v>17</v>
      </c>
      <c r="B357" s="1" t="n">
        <v>93</v>
      </c>
      <c r="D357" s="1" t="n">
        <v>157307</v>
      </c>
      <c r="E357" s="1" t="n">
        <v>0.063213</v>
      </c>
      <c r="G357" s="1" t="n">
        <v>0.010071278</v>
      </c>
      <c r="H357" s="1" t="n">
        <v>0.006973505</v>
      </c>
      <c r="I357" s="1" t="n">
        <v>0.004658937</v>
      </c>
      <c r="J357" s="1" t="n">
        <v>0.003842115</v>
      </c>
      <c r="K357" s="1" t="n">
        <v>0.003821373</v>
      </c>
      <c r="L357" s="1" t="n">
        <v>0.003949404</v>
      </c>
      <c r="M357" s="1" t="n">
        <v>0.004471779</v>
      </c>
      <c r="N357" s="1" t="n">
        <v>0.004255772</v>
      </c>
      <c r="O357" s="1" t="n">
        <v>0.003927231</v>
      </c>
      <c r="P357" s="1" t="n">
        <v>0.003799438</v>
      </c>
      <c r="R357" s="1" t="n">
        <f aca="false">PERCENTILE(G357:P357,0.9)</f>
        <v>0.0072832823</v>
      </c>
      <c r="S357" s="5" t="n">
        <f aca="false">spmv_1!R$10/R357</f>
        <v>4.80988143216692</v>
      </c>
      <c r="T357" s="6" t="n">
        <f aca="false">S357/128</f>
        <v>0.0375771986888041</v>
      </c>
    </row>
    <row r="358" customFormat="false" ht="15" hidden="false" customHeight="false" outlineLevel="0" collapsed="false">
      <c r="A358" s="1" t="s">
        <v>17</v>
      </c>
      <c r="B358" s="1" t="n">
        <v>94</v>
      </c>
      <c r="D358" s="1" t="n">
        <v>156313</v>
      </c>
      <c r="E358" s="1" t="n">
        <v>0.062898</v>
      </c>
      <c r="G358" s="1" t="n">
        <v>0.010456324</v>
      </c>
      <c r="H358" s="1" t="n">
        <v>0.007299423</v>
      </c>
      <c r="I358" s="1" t="n">
        <v>0.004651546</v>
      </c>
      <c r="J358" s="1" t="n">
        <v>0.0037117</v>
      </c>
      <c r="K358" s="1" t="n">
        <v>0.003755808</v>
      </c>
      <c r="L358" s="1" t="n">
        <v>0.003766775</v>
      </c>
      <c r="M358" s="1" t="n">
        <v>0.003999472</v>
      </c>
      <c r="N358" s="1" t="n">
        <v>0.003952742</v>
      </c>
      <c r="O358" s="1" t="n">
        <v>0.004244566</v>
      </c>
      <c r="P358" s="1" t="n">
        <v>0.003865004</v>
      </c>
      <c r="R358" s="1" t="n">
        <f aca="false">PERCENTILE(G358:P358,0.9)</f>
        <v>0.0076151131</v>
      </c>
      <c r="S358" s="5" t="n">
        <f aca="false">spmv_1!R$10/R358</f>
        <v>4.60028942971313</v>
      </c>
      <c r="T358" s="6" t="n">
        <f aca="false">S358/128</f>
        <v>0.0359397611696339</v>
      </c>
    </row>
    <row r="359" customFormat="false" ht="15" hidden="false" customHeight="false" outlineLevel="0" collapsed="false">
      <c r="A359" s="1" t="s">
        <v>17</v>
      </c>
      <c r="B359" s="1" t="n">
        <v>95</v>
      </c>
      <c r="D359" s="1" t="n">
        <v>156407</v>
      </c>
      <c r="E359" s="1" t="n">
        <v>0.063113</v>
      </c>
      <c r="G359" s="1" t="n">
        <v>0.009895563</v>
      </c>
      <c r="H359" s="1" t="n">
        <v>0.007101297</v>
      </c>
      <c r="I359" s="1" t="n">
        <v>0.00510931</v>
      </c>
      <c r="J359" s="1" t="n">
        <v>0.003826141</v>
      </c>
      <c r="K359" s="1" t="n">
        <v>0.003753424</v>
      </c>
      <c r="L359" s="1" t="n">
        <v>0.003817558</v>
      </c>
      <c r="M359" s="1" t="n">
        <v>0.004254103</v>
      </c>
      <c r="N359" s="1" t="n">
        <v>0.003961086</v>
      </c>
      <c r="O359" s="1" t="n">
        <v>0.004090786</v>
      </c>
      <c r="P359" s="1" t="n">
        <v>0.003754854</v>
      </c>
      <c r="R359" s="1" t="n">
        <f aca="false">PERCENTILE(G359:P359,0.9)</f>
        <v>0.0073807236</v>
      </c>
      <c r="S359" s="5" t="n">
        <f aca="false">spmv_1!R$10/R359</f>
        <v>4.74638073426839</v>
      </c>
      <c r="T359" s="6" t="n">
        <f aca="false">S359/128</f>
        <v>0.0370810994864718</v>
      </c>
    </row>
    <row r="360" customFormat="false" ht="15" hidden="false" customHeight="false" outlineLevel="0" collapsed="false">
      <c r="A360" s="1" t="s">
        <v>17</v>
      </c>
      <c r="B360" s="1" t="n">
        <v>96</v>
      </c>
      <c r="D360" s="1" t="n">
        <v>157384</v>
      </c>
      <c r="E360" s="1" t="n">
        <v>0.059373</v>
      </c>
      <c r="G360" s="1" t="n">
        <v>0.010282755</v>
      </c>
      <c r="H360" s="1" t="n">
        <v>0.007090569</v>
      </c>
      <c r="I360" s="1" t="n">
        <v>0.004982948</v>
      </c>
      <c r="J360" s="1" t="n">
        <v>0.004492521</v>
      </c>
      <c r="K360" s="1" t="n">
        <v>0.004478455</v>
      </c>
      <c r="L360" s="1" t="n">
        <v>0.00432682</v>
      </c>
      <c r="M360" s="1" t="n">
        <v>0.004156828</v>
      </c>
      <c r="N360" s="1" t="n">
        <v>0.004311085</v>
      </c>
      <c r="O360" s="1" t="n">
        <v>0.004520655</v>
      </c>
      <c r="P360" s="1" t="n">
        <v>0.004373074</v>
      </c>
      <c r="R360" s="1" t="n">
        <f aca="false">PERCENTILE(G360:P360,0.9)</f>
        <v>0.0074097876</v>
      </c>
      <c r="S360" s="5" t="n">
        <f aca="false">spmv_1!R$10/R360</f>
        <v>4.72776362712475</v>
      </c>
      <c r="T360" s="6" t="n">
        <f aca="false">S360/128</f>
        <v>0.0369356533369121</v>
      </c>
    </row>
    <row r="361" customFormat="false" ht="15" hidden="false" customHeight="false" outlineLevel="0" collapsed="false">
      <c r="A361" s="1" t="s">
        <v>17</v>
      </c>
      <c r="B361" s="1" t="n">
        <v>97</v>
      </c>
      <c r="D361" s="1" t="n">
        <v>157270</v>
      </c>
      <c r="E361" s="1" t="n">
        <v>0.054298</v>
      </c>
      <c r="G361" s="1" t="n">
        <v>0.010762215</v>
      </c>
      <c r="H361" s="1" t="n">
        <v>0.007693768</v>
      </c>
      <c r="I361" s="1" t="n">
        <v>0.005425215</v>
      </c>
      <c r="J361" s="1" t="n">
        <v>0.004974365</v>
      </c>
      <c r="K361" s="1" t="n">
        <v>0.004954338</v>
      </c>
      <c r="L361" s="1" t="n">
        <v>0.004812717</v>
      </c>
      <c r="M361" s="1" t="n">
        <v>0.004729986</v>
      </c>
      <c r="N361" s="1" t="n">
        <v>0.004768372</v>
      </c>
      <c r="O361" s="1" t="n">
        <v>0.004964113</v>
      </c>
      <c r="P361" s="1" t="n">
        <v>0.004843235</v>
      </c>
      <c r="R361" s="1" t="n">
        <f aca="false">PERCENTILE(G361:P361,0.9)</f>
        <v>0.0080006127</v>
      </c>
      <c r="S361" s="5" t="n">
        <f aca="false">spmv_1!R$10/R361</f>
        <v>4.37863018916039</v>
      </c>
      <c r="T361" s="6" t="n">
        <f aca="false">S361/128</f>
        <v>0.0342080483528155</v>
      </c>
    </row>
    <row r="362" customFormat="false" ht="15" hidden="false" customHeight="false" outlineLevel="0" collapsed="false">
      <c r="A362" s="1" t="s">
        <v>17</v>
      </c>
      <c r="B362" s="1" t="n">
        <v>98</v>
      </c>
      <c r="D362" s="1" t="n">
        <v>157125</v>
      </c>
      <c r="E362" s="1" t="n">
        <v>0.060925</v>
      </c>
      <c r="G362" s="1" t="n">
        <v>0.010081768</v>
      </c>
      <c r="H362" s="1" t="n">
        <v>0.006985903</v>
      </c>
      <c r="I362" s="1" t="n">
        <v>0.004868269</v>
      </c>
      <c r="J362" s="1" t="n">
        <v>0.004315853</v>
      </c>
      <c r="K362" s="1" t="n">
        <v>0.004295826</v>
      </c>
      <c r="L362" s="1" t="n">
        <v>0.004221201</v>
      </c>
      <c r="M362" s="1" t="n">
        <v>0.004101276</v>
      </c>
      <c r="N362" s="1" t="n">
        <v>0.004162788</v>
      </c>
      <c r="O362" s="1" t="n">
        <v>0.004358053</v>
      </c>
      <c r="P362" s="1" t="n">
        <v>0.004189014</v>
      </c>
      <c r="R362" s="1" t="n">
        <f aca="false">PERCENTILE(G362:P362,0.9)</f>
        <v>0.0072954895</v>
      </c>
      <c r="S362" s="5" t="n">
        <f aca="false">spmv_1!R$10/R362</f>
        <v>4.80183328342807</v>
      </c>
      <c r="T362" s="6" t="n">
        <f aca="false">S362/128</f>
        <v>0.0375143225267818</v>
      </c>
    </row>
    <row r="363" customFormat="false" ht="15" hidden="false" customHeight="false" outlineLevel="0" collapsed="false">
      <c r="A363" s="1" t="s">
        <v>17</v>
      </c>
      <c r="B363" s="1" t="n">
        <v>99</v>
      </c>
      <c r="D363" s="1" t="n">
        <v>157722</v>
      </c>
      <c r="E363" s="1" t="n">
        <v>0.061404</v>
      </c>
      <c r="G363" s="1" t="n">
        <v>0.010054588</v>
      </c>
      <c r="H363" s="1" t="n">
        <v>0.00696063</v>
      </c>
      <c r="I363" s="1" t="n">
        <v>0.004822016</v>
      </c>
      <c r="J363" s="1" t="n">
        <v>0.004312754</v>
      </c>
      <c r="K363" s="1" t="n">
        <v>0.004285812</v>
      </c>
      <c r="L363" s="1" t="n">
        <v>0.004212379</v>
      </c>
      <c r="M363" s="1" t="n">
        <v>0.004085302</v>
      </c>
      <c r="N363" s="1" t="n">
        <v>0.004155397</v>
      </c>
      <c r="O363" s="1" t="n">
        <v>0.004318714</v>
      </c>
      <c r="P363" s="1" t="n">
        <v>0.004164696</v>
      </c>
      <c r="R363" s="1" t="n">
        <f aca="false">PERCENTILE(G363:P363,0.9)</f>
        <v>0.0072700258</v>
      </c>
      <c r="S363" s="5" t="n">
        <f aca="false">spmv_1!R$10/R363</f>
        <v>4.8186519915789</v>
      </c>
      <c r="T363" s="6" t="n">
        <f aca="false">S363/128</f>
        <v>0.0376457186842102</v>
      </c>
    </row>
    <row r="364" customFormat="false" ht="15" hidden="false" customHeight="false" outlineLevel="0" collapsed="false">
      <c r="A364" s="1" t="s">
        <v>17</v>
      </c>
      <c r="B364" s="1" t="n">
        <v>100</v>
      </c>
      <c r="D364" s="1" t="n">
        <v>157085</v>
      </c>
      <c r="E364" s="1" t="n">
        <v>0.061513</v>
      </c>
      <c r="G364" s="1" t="n">
        <v>0.009927511</v>
      </c>
      <c r="H364" s="1" t="n">
        <v>0.006940365</v>
      </c>
      <c r="I364" s="1" t="n">
        <v>0.004781723</v>
      </c>
      <c r="J364" s="1" t="n">
        <v>0.004292488</v>
      </c>
      <c r="K364" s="1" t="n">
        <v>0.004270077</v>
      </c>
      <c r="L364" s="1" t="n">
        <v>0.00418973</v>
      </c>
      <c r="M364" s="1" t="n">
        <v>0.00407052</v>
      </c>
      <c r="N364" s="1" t="n">
        <v>0.004137516</v>
      </c>
      <c r="O364" s="1" t="n">
        <v>0.00428915</v>
      </c>
      <c r="P364" s="1" t="n">
        <v>0.004174471</v>
      </c>
      <c r="R364" s="1" t="n">
        <f aca="false">PERCENTILE(G364:P364,0.9)</f>
        <v>0.0072390796</v>
      </c>
      <c r="S364" s="5" t="n">
        <f aca="false">spmv_1!R$10/R364</f>
        <v>4.83925115286756</v>
      </c>
      <c r="T364" s="6" t="n">
        <f aca="false">S364/128</f>
        <v>0.0378066496317778</v>
      </c>
    </row>
    <row r="365" customFormat="false" ht="15" hidden="false" customHeight="false" outlineLevel="0" collapsed="false">
      <c r="A365" s="1" t="s">
        <v>17</v>
      </c>
      <c r="B365" s="1" t="n">
        <v>101</v>
      </c>
      <c r="D365" s="1" t="n">
        <v>157490</v>
      </c>
      <c r="E365" s="1" t="n">
        <v>0.062336</v>
      </c>
      <c r="G365" s="1" t="n">
        <v>0.00979352</v>
      </c>
      <c r="H365" s="1" t="n">
        <v>0.006856441</v>
      </c>
      <c r="I365" s="1" t="n">
        <v>0.004786491</v>
      </c>
      <c r="J365" s="1" t="n">
        <v>0.004259109</v>
      </c>
      <c r="K365" s="1" t="n">
        <v>0.004236221</v>
      </c>
      <c r="L365" s="1" t="n">
        <v>0.00416255</v>
      </c>
      <c r="M365" s="1" t="n">
        <v>0.004033566</v>
      </c>
      <c r="N365" s="1" t="n">
        <v>0.004089594</v>
      </c>
      <c r="O365" s="1" t="n">
        <v>0.004225492</v>
      </c>
      <c r="P365" s="1" t="n">
        <v>0.004086018</v>
      </c>
      <c r="R365" s="1" t="n">
        <f aca="false">PERCENTILE(G365:P365,0.9)</f>
        <v>0.0071501489</v>
      </c>
      <c r="S365" s="5" t="n">
        <f aca="false">spmv_1!R$10/R365</f>
        <v>4.89943982844889</v>
      </c>
      <c r="T365" s="6" t="n">
        <f aca="false">S365/128</f>
        <v>0.0382768736597569</v>
      </c>
    </row>
    <row r="366" customFormat="false" ht="15" hidden="false" customHeight="false" outlineLevel="0" collapsed="false">
      <c r="A366" s="1" t="s">
        <v>17</v>
      </c>
      <c r="B366" s="1" t="n">
        <v>102</v>
      </c>
      <c r="D366" s="1" t="n">
        <v>157486</v>
      </c>
      <c r="E366" s="1" t="n">
        <v>0.060261</v>
      </c>
      <c r="G366" s="1" t="n">
        <v>0.010043383</v>
      </c>
      <c r="H366" s="1" t="n">
        <v>0.007003069</v>
      </c>
      <c r="I366" s="1" t="n">
        <v>0.004985332</v>
      </c>
      <c r="J366" s="1" t="n">
        <v>0.004459381</v>
      </c>
      <c r="K366" s="1" t="n">
        <v>0.004448891</v>
      </c>
      <c r="L366" s="1" t="n">
        <v>0.004303217</v>
      </c>
      <c r="M366" s="1" t="n">
        <v>0.004131317</v>
      </c>
      <c r="N366" s="1" t="n">
        <v>0.004249573</v>
      </c>
      <c r="O366" s="1" t="n">
        <v>0.004359961</v>
      </c>
      <c r="P366" s="1" t="n">
        <v>0.004284143</v>
      </c>
      <c r="R366" s="1" t="n">
        <f aca="false">PERCENTILE(G366:P366,0.9)</f>
        <v>0.0073071004</v>
      </c>
      <c r="S366" s="5" t="n">
        <f aca="false">spmv_1!R$10/R366</f>
        <v>4.79420322457866</v>
      </c>
      <c r="T366" s="6" t="n">
        <f aca="false">S366/128</f>
        <v>0.0374547126920208</v>
      </c>
    </row>
    <row r="367" customFormat="false" ht="15" hidden="false" customHeight="false" outlineLevel="0" collapsed="false">
      <c r="A367" s="1" t="s">
        <v>17</v>
      </c>
      <c r="B367" s="1" t="n">
        <v>103</v>
      </c>
      <c r="D367" s="1" t="n">
        <v>157854</v>
      </c>
      <c r="E367" s="1" t="n">
        <v>0.060592</v>
      </c>
      <c r="G367" s="1" t="n">
        <v>0.009979725</v>
      </c>
      <c r="H367" s="1" t="n">
        <v>0.006969929</v>
      </c>
      <c r="I367" s="1" t="n">
        <v>0.004994392</v>
      </c>
      <c r="J367" s="1" t="n">
        <v>0.004443884</v>
      </c>
      <c r="K367" s="1" t="n">
        <v>0.004343033</v>
      </c>
      <c r="L367" s="1" t="n">
        <v>0.004284143</v>
      </c>
      <c r="M367" s="1" t="n">
        <v>0.004169464</v>
      </c>
      <c r="N367" s="1" t="n">
        <v>0.004261732</v>
      </c>
      <c r="O367" s="1" t="n">
        <v>0.004366159</v>
      </c>
      <c r="P367" s="1" t="n">
        <v>0.004291296</v>
      </c>
      <c r="R367" s="1" t="n">
        <f aca="false">PERCENTILE(G367:P367,0.9)</f>
        <v>0.0072709086</v>
      </c>
      <c r="S367" s="5" t="n">
        <f aca="false">spmv_1!R$10/R367</f>
        <v>4.81806693320282</v>
      </c>
      <c r="T367" s="6" t="n">
        <f aca="false">S367/128</f>
        <v>0.037641147915647</v>
      </c>
    </row>
    <row r="368" customFormat="false" ht="15" hidden="false" customHeight="false" outlineLevel="0" collapsed="false">
      <c r="A368" s="1" t="s">
        <v>17</v>
      </c>
      <c r="B368" s="1" t="n">
        <v>104</v>
      </c>
      <c r="D368" s="1" t="n">
        <v>159051</v>
      </c>
      <c r="E368" s="1" t="n">
        <v>0.063567</v>
      </c>
      <c r="G368" s="1" t="n">
        <v>0.009770393</v>
      </c>
      <c r="H368" s="1" t="n">
        <v>0.006757259</v>
      </c>
      <c r="I368" s="1" t="n">
        <v>0.004792213</v>
      </c>
      <c r="J368" s="1" t="n">
        <v>0.00423646</v>
      </c>
      <c r="K368" s="1" t="n">
        <v>0.004152536</v>
      </c>
      <c r="L368" s="1" t="n">
        <v>0.004113674</v>
      </c>
      <c r="M368" s="1" t="n">
        <v>0.003993034</v>
      </c>
      <c r="N368" s="1" t="n">
        <v>0.004062414</v>
      </c>
      <c r="O368" s="1" t="n">
        <v>0.00413084</v>
      </c>
      <c r="P368" s="1" t="n">
        <v>0.004033089</v>
      </c>
      <c r="R368" s="1" t="n">
        <f aca="false">PERCENTILE(G368:P368,0.9)</f>
        <v>0.0070585724</v>
      </c>
      <c r="S368" s="5" t="n">
        <f aca="false">spmv_1!R$10/R368</f>
        <v>4.96300417631191</v>
      </c>
      <c r="T368" s="6" t="n">
        <f aca="false">S368/128</f>
        <v>0.0387734701274368</v>
      </c>
    </row>
    <row r="369" customFormat="false" ht="15" hidden="false" customHeight="false" outlineLevel="0" collapsed="false">
      <c r="A369" s="1" t="s">
        <v>17</v>
      </c>
      <c r="B369" s="1" t="n">
        <v>105</v>
      </c>
      <c r="D369" s="1" t="n">
        <v>159240</v>
      </c>
      <c r="E369" s="1" t="n">
        <v>0.064065</v>
      </c>
      <c r="G369" s="1" t="n">
        <v>0.009677887</v>
      </c>
      <c r="H369" s="1" t="n">
        <v>0.0067451</v>
      </c>
      <c r="I369" s="1" t="n">
        <v>0.004793406</v>
      </c>
      <c r="J369" s="1" t="n">
        <v>0.004227161</v>
      </c>
      <c r="K369" s="1" t="n">
        <v>0.004120827</v>
      </c>
      <c r="L369" s="1" t="n">
        <v>0.004088402</v>
      </c>
      <c r="M369" s="1" t="n">
        <v>0.003948689</v>
      </c>
      <c r="N369" s="1" t="n">
        <v>0.004031897</v>
      </c>
      <c r="O369" s="1" t="n">
        <v>0.004078627</v>
      </c>
      <c r="P369" s="1" t="n">
        <v>0.004000187</v>
      </c>
      <c r="R369" s="1" t="n">
        <f aca="false">PERCENTILE(G369:P369,0.9)</f>
        <v>0.0070383787</v>
      </c>
      <c r="S369" s="5" t="n">
        <f aca="false">spmv_1!R$10/R369</f>
        <v>4.97724345238769</v>
      </c>
      <c r="T369" s="6" t="n">
        <f aca="false">S369/128</f>
        <v>0.0388847144717789</v>
      </c>
    </row>
    <row r="370" customFormat="false" ht="15" hidden="false" customHeight="false" outlineLevel="0" collapsed="false">
      <c r="A370" s="1" t="s">
        <v>17</v>
      </c>
      <c r="B370" s="1" t="n">
        <v>106</v>
      </c>
      <c r="D370" s="1" t="n">
        <v>159008</v>
      </c>
      <c r="E370" s="1" t="n">
        <v>0.061632</v>
      </c>
      <c r="G370" s="1" t="n">
        <v>0.009852886</v>
      </c>
      <c r="H370" s="1" t="n">
        <v>0.006933212</v>
      </c>
      <c r="I370" s="1" t="n">
        <v>0.004954576</v>
      </c>
      <c r="J370" s="1" t="n">
        <v>0.004418135</v>
      </c>
      <c r="K370" s="1" t="n">
        <v>0.004313231</v>
      </c>
      <c r="L370" s="1" t="n">
        <v>0.004261971</v>
      </c>
      <c r="M370" s="1" t="n">
        <v>0.004117489</v>
      </c>
      <c r="N370" s="1" t="n">
        <v>0.004227877</v>
      </c>
      <c r="O370" s="1" t="n">
        <v>0.00425458</v>
      </c>
      <c r="P370" s="1" t="n">
        <v>0.004265547</v>
      </c>
      <c r="R370" s="1" t="n">
        <f aca="false">PERCENTILE(G370:P370,0.9)</f>
        <v>0.0072251794</v>
      </c>
      <c r="S370" s="5" t="n">
        <f aca="false">spmv_1!R$10/R370</f>
        <v>4.84856117205893</v>
      </c>
      <c r="T370" s="6" t="n">
        <f aca="false">S370/128</f>
        <v>0.0378793841567104</v>
      </c>
    </row>
    <row r="371" customFormat="false" ht="15" hidden="false" customHeight="false" outlineLevel="0" collapsed="false">
      <c r="A371" s="1" t="s">
        <v>17</v>
      </c>
      <c r="B371" s="1" t="n">
        <v>107</v>
      </c>
      <c r="D371" s="1" t="n">
        <v>159238</v>
      </c>
      <c r="E371" s="1" t="n">
        <v>0.056033</v>
      </c>
      <c r="G371" s="1" t="n">
        <v>0.010543823</v>
      </c>
      <c r="H371" s="1" t="n">
        <v>0.00755477</v>
      </c>
      <c r="I371" s="1" t="n">
        <v>0.005481243</v>
      </c>
      <c r="J371" s="1" t="n">
        <v>0.004893303</v>
      </c>
      <c r="K371" s="1" t="n">
        <v>0.004858494</v>
      </c>
      <c r="L371" s="1" t="n">
        <v>0.004739046</v>
      </c>
      <c r="M371" s="1" t="n">
        <v>0.004629374</v>
      </c>
      <c r="N371" s="1" t="n">
        <v>0.004688263</v>
      </c>
      <c r="O371" s="1" t="n">
        <v>0.00471282</v>
      </c>
      <c r="P371" s="1" t="n">
        <v>0.004735708</v>
      </c>
      <c r="R371" s="1" t="n">
        <f aca="false">PERCENTILE(G371:P371,0.9)</f>
        <v>0.0078536753</v>
      </c>
      <c r="S371" s="5" t="n">
        <f aca="false">spmv_1!R$10/R371</f>
        <v>4.46055164771072</v>
      </c>
      <c r="T371" s="6" t="n">
        <f aca="false">S371/128</f>
        <v>0.03484805974774</v>
      </c>
    </row>
    <row r="372" customFormat="false" ht="15" hidden="false" customHeight="false" outlineLevel="0" collapsed="false">
      <c r="A372" s="1" t="s">
        <v>17</v>
      </c>
      <c r="B372" s="1" t="n">
        <v>108</v>
      </c>
      <c r="D372" s="1" t="n">
        <v>158133</v>
      </c>
      <c r="E372" s="1" t="n">
        <v>0.061251</v>
      </c>
      <c r="G372" s="1" t="n">
        <v>0.009825945</v>
      </c>
      <c r="H372" s="1" t="n">
        <v>0.00695467</v>
      </c>
      <c r="I372" s="1" t="n">
        <v>0.005057096</v>
      </c>
      <c r="J372" s="1" t="n">
        <v>0.004418135</v>
      </c>
      <c r="K372" s="1" t="n">
        <v>0.004312277</v>
      </c>
      <c r="L372" s="1" t="n">
        <v>0.004236937</v>
      </c>
      <c r="M372" s="1" t="n">
        <v>0.004095316</v>
      </c>
      <c r="N372" s="1" t="n">
        <v>0.004233837</v>
      </c>
      <c r="O372" s="1" t="n">
        <v>0.004235744</v>
      </c>
      <c r="P372" s="1" t="n">
        <v>0.004264116</v>
      </c>
      <c r="R372" s="1" t="n">
        <f aca="false">PERCENTILE(G372:P372,0.9)</f>
        <v>0.0072417975</v>
      </c>
      <c r="S372" s="5" t="n">
        <f aca="false">spmv_1!R$10/R372</f>
        <v>4.8374349462271</v>
      </c>
      <c r="T372" s="6" t="n">
        <f aca="false">S372/128</f>
        <v>0.0377924605173992</v>
      </c>
    </row>
    <row r="373" customFormat="false" ht="15" hidden="false" customHeight="false" outlineLevel="0" collapsed="false">
      <c r="A373" s="1" t="s">
        <v>17</v>
      </c>
      <c r="B373" s="1" t="n">
        <v>109</v>
      </c>
      <c r="D373" s="1" t="n">
        <v>157722</v>
      </c>
      <c r="E373" s="1" t="n">
        <v>0.061267</v>
      </c>
      <c r="G373" s="1" t="n">
        <v>0.00991416</v>
      </c>
      <c r="H373" s="1" t="n">
        <v>0.006891012</v>
      </c>
      <c r="I373" s="1" t="n">
        <v>0.005036831</v>
      </c>
      <c r="J373" s="1" t="n">
        <v>0.004422665</v>
      </c>
      <c r="K373" s="1" t="n">
        <v>0.004351377</v>
      </c>
      <c r="L373" s="1" t="n">
        <v>0.004234314</v>
      </c>
      <c r="M373" s="1" t="n">
        <v>0.004039764</v>
      </c>
      <c r="N373" s="1" t="n">
        <v>0.004213572</v>
      </c>
      <c r="O373" s="1" t="n">
        <v>0.004173517</v>
      </c>
      <c r="P373" s="1" t="n">
        <v>0.004209518</v>
      </c>
      <c r="R373" s="1" t="n">
        <f aca="false">PERCENTILE(G373:P373,0.9)</f>
        <v>0.0071933268</v>
      </c>
      <c r="S373" s="5" t="n">
        <f aca="false">spmv_1!R$10/R373</f>
        <v>4.87003097092711</v>
      </c>
      <c r="T373" s="6" t="n">
        <f aca="false">S373/128</f>
        <v>0.0380471169603681</v>
      </c>
    </row>
    <row r="374" customFormat="false" ht="15" hidden="false" customHeight="false" outlineLevel="0" collapsed="false">
      <c r="A374" s="1" t="s">
        <v>17</v>
      </c>
      <c r="B374" s="1" t="n">
        <v>110</v>
      </c>
      <c r="D374" s="1" t="n">
        <v>157542</v>
      </c>
      <c r="E374" s="1" t="n">
        <v>0.061516</v>
      </c>
      <c r="G374" s="1" t="n">
        <v>0.00973773</v>
      </c>
      <c r="H374" s="1" t="n">
        <v>0.006894112</v>
      </c>
      <c r="I374" s="1" t="n">
        <v>0.004999399</v>
      </c>
      <c r="J374" s="1" t="n">
        <v>0.00439477</v>
      </c>
      <c r="K374" s="1" t="n">
        <v>0.004280567</v>
      </c>
      <c r="L374" s="1" t="n">
        <v>0.004228115</v>
      </c>
      <c r="M374" s="1" t="n">
        <v>0.004065037</v>
      </c>
      <c r="N374" s="1" t="n">
        <v>0.004210234</v>
      </c>
      <c r="O374" s="1" t="n">
        <v>0.004184961</v>
      </c>
      <c r="P374" s="1" t="n">
        <v>0.004225254</v>
      </c>
      <c r="R374" s="1" t="n">
        <f aca="false">PERCENTILE(G374:P374,0.9)</f>
        <v>0.0071784738</v>
      </c>
      <c r="S374" s="5" t="n">
        <f aca="false">spmv_1!R$10/R374</f>
        <v>4.88010756548279</v>
      </c>
      <c r="T374" s="6" t="n">
        <f aca="false">S374/128</f>
        <v>0.0381258403553343</v>
      </c>
    </row>
    <row r="375" customFormat="false" ht="15" hidden="false" customHeight="false" outlineLevel="0" collapsed="false">
      <c r="A375" s="1" t="s">
        <v>17</v>
      </c>
      <c r="B375" s="1" t="n">
        <v>111</v>
      </c>
      <c r="D375" s="1" t="n">
        <v>157126</v>
      </c>
      <c r="E375" s="1" t="n">
        <v>0.061399</v>
      </c>
      <c r="G375" s="1" t="n">
        <v>0.009813547</v>
      </c>
      <c r="H375" s="1" t="n">
        <v>0.006910563</v>
      </c>
      <c r="I375" s="1" t="n">
        <v>0.004960775</v>
      </c>
      <c r="J375" s="1" t="n">
        <v>0.004405022</v>
      </c>
      <c r="K375" s="1" t="n">
        <v>0.004333019</v>
      </c>
      <c r="L375" s="1" t="n">
        <v>0.0042274</v>
      </c>
      <c r="M375" s="1" t="n">
        <v>0.004004478</v>
      </c>
      <c r="N375" s="1" t="n">
        <v>0.004191875</v>
      </c>
      <c r="O375" s="1" t="n">
        <v>0.004113913</v>
      </c>
      <c r="P375" s="1" t="n">
        <v>0.004221439</v>
      </c>
      <c r="R375" s="1" t="n">
        <f aca="false">PERCENTILE(G375:P375,0.9)</f>
        <v>0.0072008614</v>
      </c>
      <c r="S375" s="5" t="n">
        <f aca="false">spmv_1!R$10/R375</f>
        <v>4.86493522844364</v>
      </c>
      <c r="T375" s="6" t="n">
        <f aca="false">S375/128</f>
        <v>0.038007306472216</v>
      </c>
    </row>
    <row r="376" customFormat="false" ht="15" hidden="false" customHeight="false" outlineLevel="0" collapsed="false">
      <c r="A376" s="1" t="s">
        <v>17</v>
      </c>
      <c r="B376" s="1" t="n">
        <v>112</v>
      </c>
      <c r="D376" s="1" t="n">
        <v>157884</v>
      </c>
      <c r="E376" s="1" t="n">
        <v>0.059946</v>
      </c>
      <c r="G376" s="1" t="n">
        <v>0.009743214</v>
      </c>
      <c r="H376" s="1" t="n">
        <v>0.006817102</v>
      </c>
      <c r="I376" s="1" t="n">
        <v>0.004895926</v>
      </c>
      <c r="J376" s="1" t="n">
        <v>0.004647732</v>
      </c>
      <c r="K376" s="1" t="n">
        <v>0.004484415</v>
      </c>
      <c r="L376" s="1" t="n">
        <v>0.004333735</v>
      </c>
      <c r="M376" s="1" t="n">
        <v>0.004417896</v>
      </c>
      <c r="N376" s="1" t="n">
        <v>0.004401207</v>
      </c>
      <c r="O376" s="1" t="n">
        <v>0.00445056</v>
      </c>
      <c r="P376" s="1" t="n">
        <v>0.0044837</v>
      </c>
      <c r="R376" s="1" t="n">
        <f aca="false">PERCENTILE(G376:P376,0.9)</f>
        <v>0.0071097132</v>
      </c>
      <c r="S376" s="5" t="n">
        <f aca="false">spmv_1!R$10/R376</f>
        <v>4.92730484543315</v>
      </c>
      <c r="T376" s="6" t="n">
        <f aca="false">S376/128</f>
        <v>0.0384945691049465</v>
      </c>
    </row>
    <row r="377" customFormat="false" ht="15" hidden="false" customHeight="false" outlineLevel="0" collapsed="false">
      <c r="A377" s="1" t="s">
        <v>17</v>
      </c>
      <c r="B377" s="1" t="n">
        <v>113</v>
      </c>
      <c r="D377" s="1" t="n">
        <v>158133</v>
      </c>
      <c r="E377" s="1" t="n">
        <v>0.058878</v>
      </c>
      <c r="G377" s="1" t="n">
        <v>0.00975132</v>
      </c>
      <c r="H377" s="1" t="n">
        <v>0.006883383</v>
      </c>
      <c r="I377" s="1" t="n">
        <v>0.004954815</v>
      </c>
      <c r="J377" s="1" t="n">
        <v>0.004734755</v>
      </c>
      <c r="K377" s="1" t="n">
        <v>0.004596949</v>
      </c>
      <c r="L377" s="1" t="n">
        <v>0.004441023</v>
      </c>
      <c r="M377" s="1" t="n">
        <v>0.004531384</v>
      </c>
      <c r="N377" s="1" t="n">
        <v>0.004533291</v>
      </c>
      <c r="O377" s="1" t="n">
        <v>0.00454998</v>
      </c>
      <c r="P377" s="1" t="n">
        <v>0.004738808</v>
      </c>
      <c r="R377" s="1" t="n">
        <f aca="false">PERCENTILE(G377:P377,0.9)</f>
        <v>0.0071701767</v>
      </c>
      <c r="S377" s="5" t="n">
        <f aca="false">spmv_1!R$10/R377</f>
        <v>4.88575467045324</v>
      </c>
      <c r="T377" s="6" t="n">
        <f aca="false">S377/128</f>
        <v>0.0381699583629159</v>
      </c>
    </row>
    <row r="378" customFormat="false" ht="15" hidden="false" customHeight="false" outlineLevel="0" collapsed="false">
      <c r="A378" s="1" t="s">
        <v>17</v>
      </c>
      <c r="B378" s="1" t="n">
        <v>114</v>
      </c>
      <c r="D378" s="1" t="n">
        <v>157212</v>
      </c>
      <c r="E378" s="1" t="n">
        <v>0.059825</v>
      </c>
      <c r="G378" s="1" t="n">
        <v>0.009514093</v>
      </c>
      <c r="H378" s="1" t="n">
        <v>0.006802797</v>
      </c>
      <c r="I378" s="1" t="n">
        <v>0.004834175</v>
      </c>
      <c r="J378" s="1" t="n">
        <v>0.004662991</v>
      </c>
      <c r="K378" s="1" t="n">
        <v>0.004509211</v>
      </c>
      <c r="L378" s="1" t="n">
        <v>0.004362106</v>
      </c>
      <c r="M378" s="1" t="n">
        <v>0.004430771</v>
      </c>
      <c r="N378" s="1" t="n">
        <v>0.004454136</v>
      </c>
      <c r="O378" s="1" t="n">
        <v>0.004473209</v>
      </c>
      <c r="P378" s="1" t="n">
        <v>0.004514217</v>
      </c>
      <c r="R378" s="1" t="n">
        <f aca="false">PERCENTILE(G378:P378,0.9)</f>
        <v>0.0070739266</v>
      </c>
      <c r="S378" s="5" t="n">
        <f aca="false">spmv_1!R$10/R378</f>
        <v>4.95223180574138</v>
      </c>
      <c r="T378" s="6" t="n">
        <f aca="false">S378/128</f>
        <v>0.0386893109823546</v>
      </c>
    </row>
    <row r="379" customFormat="false" ht="15" hidden="false" customHeight="false" outlineLevel="0" collapsed="false">
      <c r="A379" s="1" t="s">
        <v>17</v>
      </c>
      <c r="B379" s="1" t="n">
        <v>115</v>
      </c>
      <c r="D379" s="1" t="n">
        <v>157541</v>
      </c>
      <c r="E379" s="1" t="n">
        <v>0.060486</v>
      </c>
      <c r="G379" s="1" t="n">
        <v>0.008386135</v>
      </c>
      <c r="H379" s="1" t="n">
        <v>0.006884813</v>
      </c>
      <c r="I379" s="1" t="n">
        <v>0.004924774</v>
      </c>
      <c r="J379" s="1" t="n">
        <v>0.004797697</v>
      </c>
      <c r="K379" s="1" t="n">
        <v>0.004541397</v>
      </c>
      <c r="L379" s="1" t="n">
        <v>0.004486799</v>
      </c>
      <c r="M379" s="1" t="n">
        <v>0.004485846</v>
      </c>
      <c r="N379" s="1" t="n">
        <v>0.00448513</v>
      </c>
      <c r="O379" s="1" t="n">
        <v>0.00452137</v>
      </c>
      <c r="P379" s="1" t="n">
        <v>0.004577398</v>
      </c>
      <c r="R379" s="1" t="n">
        <f aca="false">PERCENTILE(G379:P379,0.9)</f>
        <v>0.0070349452</v>
      </c>
      <c r="S379" s="5" t="n">
        <f aca="false">spmv_1!R$10/R379</f>
        <v>4.97967266326396</v>
      </c>
      <c r="T379" s="6" t="n">
        <f aca="false">S379/128</f>
        <v>0.0389036926817497</v>
      </c>
    </row>
    <row r="380" customFormat="false" ht="15" hidden="false" customHeight="false" outlineLevel="0" collapsed="false">
      <c r="A380" s="1" t="s">
        <v>17</v>
      </c>
      <c r="B380" s="1" t="n">
        <v>116</v>
      </c>
      <c r="D380" s="1" t="n">
        <v>157082</v>
      </c>
      <c r="E380" s="1" t="n">
        <v>0.060501</v>
      </c>
      <c r="G380" s="1" t="n">
        <v>0.008394718</v>
      </c>
      <c r="H380" s="1" t="n">
        <v>0.006853342</v>
      </c>
      <c r="I380" s="1" t="n">
        <v>0.004900932</v>
      </c>
      <c r="J380" s="1" t="n">
        <v>0.004781485</v>
      </c>
      <c r="K380" s="1" t="n">
        <v>0.004539013</v>
      </c>
      <c r="L380" s="1" t="n">
        <v>0.004426003</v>
      </c>
      <c r="M380" s="1" t="n">
        <v>0.004462242</v>
      </c>
      <c r="N380" s="1" t="n">
        <v>0.004489899</v>
      </c>
      <c r="O380" s="1" t="n">
        <v>0.004530668</v>
      </c>
      <c r="P380" s="1" t="n">
        <v>0.00454855</v>
      </c>
      <c r="R380" s="1" t="n">
        <f aca="false">PERCENTILE(G380:P380,0.9)</f>
        <v>0.0070074796</v>
      </c>
      <c r="S380" s="5" t="n">
        <f aca="false">spmv_1!R$10/R380</f>
        <v>4.99919033656552</v>
      </c>
      <c r="T380" s="6" t="n">
        <f aca="false">S380/128</f>
        <v>0.0390561745044181</v>
      </c>
    </row>
    <row r="381" customFormat="false" ht="15" hidden="false" customHeight="false" outlineLevel="0" collapsed="false">
      <c r="A381" s="1" t="s">
        <v>17</v>
      </c>
      <c r="B381" s="1" t="n">
        <v>117</v>
      </c>
      <c r="D381" s="1" t="n">
        <v>157451</v>
      </c>
      <c r="E381" s="1" t="n">
        <v>0.06232</v>
      </c>
      <c r="G381" s="1" t="n">
        <v>0.008231878</v>
      </c>
      <c r="H381" s="1" t="n">
        <v>0.006724119</v>
      </c>
      <c r="I381" s="1" t="n">
        <v>0.004818916</v>
      </c>
      <c r="J381" s="1" t="n">
        <v>0.004650593</v>
      </c>
      <c r="K381" s="1" t="n">
        <v>0.004421711</v>
      </c>
      <c r="L381" s="1" t="n">
        <v>0.004256487</v>
      </c>
      <c r="M381" s="1" t="n">
        <v>0.004338026</v>
      </c>
      <c r="N381" s="1" t="n">
        <v>0.004318953</v>
      </c>
      <c r="O381" s="1" t="n">
        <v>0.004365683</v>
      </c>
      <c r="P381" s="1" t="n">
        <v>0.00440383</v>
      </c>
      <c r="R381" s="1" t="n">
        <f aca="false">PERCENTILE(G381:P381,0.9)</f>
        <v>0.0068748949</v>
      </c>
      <c r="S381" s="5" t="n">
        <f aca="false">spmv_1!R$10/R381</f>
        <v>5.09560143239426</v>
      </c>
      <c r="T381" s="6" t="n">
        <f aca="false">S381/128</f>
        <v>0.0398093861905802</v>
      </c>
    </row>
    <row r="382" customFormat="false" ht="15" hidden="false" customHeight="false" outlineLevel="0" collapsed="false">
      <c r="A382" s="1" t="s">
        <v>17</v>
      </c>
      <c r="B382" s="1" t="n">
        <v>118</v>
      </c>
      <c r="D382" s="1" t="n">
        <v>157751</v>
      </c>
      <c r="E382" s="1" t="n">
        <v>0.061308</v>
      </c>
      <c r="G382" s="1" t="n">
        <v>0.008300066</v>
      </c>
      <c r="H382" s="1" t="n">
        <v>0.006750345</v>
      </c>
      <c r="I382" s="1" t="n">
        <v>0.004849672</v>
      </c>
      <c r="J382" s="1" t="n">
        <v>0.004693747</v>
      </c>
      <c r="K382" s="1" t="n">
        <v>0.004499912</v>
      </c>
      <c r="L382" s="1" t="n">
        <v>0.00438571</v>
      </c>
      <c r="M382" s="1" t="n">
        <v>0.00448823</v>
      </c>
      <c r="N382" s="1" t="n">
        <v>0.004472494</v>
      </c>
      <c r="O382" s="1" t="n">
        <v>0.004492044</v>
      </c>
      <c r="P382" s="1" t="n">
        <v>0.004529953</v>
      </c>
      <c r="R382" s="1" t="n">
        <f aca="false">PERCENTILE(G382:P382,0.9)</f>
        <v>0.0069053171</v>
      </c>
      <c r="S382" s="5" t="n">
        <f aca="false">spmv_1!R$10/R382</f>
        <v>5.07315215111555</v>
      </c>
      <c r="T382" s="6" t="n">
        <f aca="false">S382/128</f>
        <v>0.0396340011805903</v>
      </c>
    </row>
    <row r="383" customFormat="false" ht="15" hidden="false" customHeight="false" outlineLevel="0" collapsed="false">
      <c r="A383" s="1" t="s">
        <v>17</v>
      </c>
      <c r="B383" s="1" t="n">
        <v>119</v>
      </c>
      <c r="D383" s="1" t="n">
        <v>158456</v>
      </c>
      <c r="E383" s="1" t="n">
        <v>0.063161</v>
      </c>
      <c r="G383" s="1" t="n">
        <v>0.008194685</v>
      </c>
      <c r="H383" s="1" t="n">
        <v>0.006652832</v>
      </c>
      <c r="I383" s="1" t="n">
        <v>0.004759789</v>
      </c>
      <c r="J383" s="1" t="n">
        <v>0.004593372</v>
      </c>
      <c r="K383" s="1" t="n">
        <v>0.004393578</v>
      </c>
      <c r="L383" s="1" t="n">
        <v>0.004240036</v>
      </c>
      <c r="M383" s="1" t="n">
        <v>0.004304647</v>
      </c>
      <c r="N383" s="1" t="n">
        <v>0.004303455</v>
      </c>
      <c r="O383" s="1" t="n">
        <v>0.004353046</v>
      </c>
      <c r="P383" s="1" t="n">
        <v>0.004379511</v>
      </c>
      <c r="R383" s="1" t="n">
        <f aca="false">PERCENTILE(G383:P383,0.9)</f>
        <v>0.0068070173</v>
      </c>
      <c r="S383" s="5" t="n">
        <f aca="false">spmv_1!R$10/R383</f>
        <v>5.14641329029677</v>
      </c>
      <c r="T383" s="6" t="n">
        <f aca="false">S383/128</f>
        <v>0.0402063538304435</v>
      </c>
    </row>
    <row r="384" customFormat="false" ht="15" hidden="false" customHeight="false" outlineLevel="0" collapsed="false">
      <c r="A384" s="1" t="s">
        <v>17</v>
      </c>
      <c r="B384" s="1" t="n">
        <v>120</v>
      </c>
      <c r="D384" s="1" t="n">
        <v>159026</v>
      </c>
      <c r="E384" s="1" t="n">
        <v>0.062675</v>
      </c>
      <c r="G384" s="1" t="n">
        <v>0.008284569</v>
      </c>
      <c r="H384" s="1" t="n">
        <v>0.006677628</v>
      </c>
      <c r="I384" s="1" t="n">
        <v>0.004759789</v>
      </c>
      <c r="J384" s="1" t="n">
        <v>0.004593134</v>
      </c>
      <c r="K384" s="1" t="n">
        <v>0.004450798</v>
      </c>
      <c r="L384" s="1" t="n">
        <v>0.004293919</v>
      </c>
      <c r="M384" s="1" t="n">
        <v>0.0043993</v>
      </c>
      <c r="N384" s="1" t="n">
        <v>0.004384518</v>
      </c>
      <c r="O384" s="1" t="n">
        <v>0.004423857</v>
      </c>
      <c r="P384" s="1" t="n">
        <v>0.004478931</v>
      </c>
      <c r="R384" s="1" t="n">
        <f aca="false">PERCENTILE(G384:P384,0.9)</f>
        <v>0.0068383221</v>
      </c>
      <c r="S384" s="5" t="n">
        <f aca="false">spmv_1!R$10/R384</f>
        <v>5.12285379186804</v>
      </c>
      <c r="T384" s="6" t="n">
        <f aca="false">S384/128</f>
        <v>0.040022295248969</v>
      </c>
    </row>
    <row r="385" customFormat="false" ht="15" hidden="false" customHeight="false" outlineLevel="0" collapsed="false">
      <c r="A385" s="1" t="s">
        <v>17</v>
      </c>
      <c r="B385" s="1" t="n">
        <v>121</v>
      </c>
      <c r="D385" s="1" t="n">
        <v>159503</v>
      </c>
      <c r="E385" s="1" t="n">
        <v>0.063843</v>
      </c>
      <c r="G385" s="1" t="n">
        <v>0.008209467</v>
      </c>
      <c r="H385" s="1" t="n">
        <v>0.006624222</v>
      </c>
      <c r="I385" s="1" t="n">
        <v>0.004748106</v>
      </c>
      <c r="J385" s="1" t="n">
        <v>0.004526615</v>
      </c>
      <c r="K385" s="1" t="n">
        <v>0.004388571</v>
      </c>
      <c r="L385" s="1" t="n">
        <v>0.004214048</v>
      </c>
      <c r="M385" s="1" t="n">
        <v>0.00430584</v>
      </c>
      <c r="N385" s="1" t="n">
        <v>0.004281759</v>
      </c>
      <c r="O385" s="1" t="n">
        <v>0.004297495</v>
      </c>
      <c r="P385" s="1" t="n">
        <v>0.004370928</v>
      </c>
      <c r="R385" s="1" t="n">
        <f aca="false">PERCENTILE(G385:P385,0.9)</f>
        <v>0.0067827465</v>
      </c>
      <c r="S385" s="5" t="n">
        <f aca="false">spmv_1!R$10/R385</f>
        <v>5.16482877548203</v>
      </c>
      <c r="T385" s="6" t="n">
        <f aca="false">S385/128</f>
        <v>0.0403502248084533</v>
      </c>
    </row>
    <row r="386" customFormat="false" ht="15" hidden="false" customHeight="false" outlineLevel="0" collapsed="false">
      <c r="A386" s="1" t="s">
        <v>17</v>
      </c>
      <c r="B386" s="1" t="n">
        <v>122</v>
      </c>
      <c r="D386" s="1" t="n">
        <v>159417</v>
      </c>
      <c r="E386" s="1" t="n">
        <v>0.063915</v>
      </c>
      <c r="G386" s="1" t="n">
        <v>0.008182049</v>
      </c>
      <c r="H386" s="1" t="n">
        <v>0.006597996</v>
      </c>
      <c r="I386" s="1" t="n">
        <v>0.00472641</v>
      </c>
      <c r="J386" s="1" t="n">
        <v>0.004540682</v>
      </c>
      <c r="K386" s="1" t="n">
        <v>0.004390478</v>
      </c>
      <c r="L386" s="1" t="n">
        <v>0.00419116</v>
      </c>
      <c r="M386" s="1" t="n">
        <v>0.004291773</v>
      </c>
      <c r="N386" s="1" t="n">
        <v>0.00427556</v>
      </c>
      <c r="O386" s="1" t="n">
        <v>0.004313707</v>
      </c>
      <c r="P386" s="1" t="n">
        <v>0.004374027</v>
      </c>
      <c r="R386" s="1" t="n">
        <f aca="false">PERCENTILE(G386:P386,0.9)</f>
        <v>0.0067564013</v>
      </c>
      <c r="S386" s="5" t="n">
        <f aca="false">spmv_1!R$10/R386</f>
        <v>5.18496796512072</v>
      </c>
      <c r="T386" s="6" t="n">
        <f aca="false">S386/128</f>
        <v>0.0405075622275057</v>
      </c>
    </row>
    <row r="387" customFormat="false" ht="15" hidden="false" customHeight="false" outlineLevel="0" collapsed="false">
      <c r="A387" s="1" t="s">
        <v>17</v>
      </c>
      <c r="B387" s="1" t="n">
        <v>123</v>
      </c>
      <c r="D387" s="1" t="n">
        <v>159512</v>
      </c>
      <c r="E387" s="1" t="n">
        <v>0.064696</v>
      </c>
      <c r="G387" s="1" t="n">
        <v>0.008104324</v>
      </c>
      <c r="H387" s="1" t="n">
        <v>0.006556511</v>
      </c>
      <c r="I387" s="1" t="n">
        <v>0.004667282</v>
      </c>
      <c r="J387" s="1" t="n">
        <v>0.004466534</v>
      </c>
      <c r="K387" s="1" t="n">
        <v>0.004327059</v>
      </c>
      <c r="L387" s="1" t="n">
        <v>0.004128218</v>
      </c>
      <c r="M387" s="1" t="n">
        <v>0.004236698</v>
      </c>
      <c r="N387" s="1" t="n">
        <v>0.004240513</v>
      </c>
      <c r="O387" s="1" t="n">
        <v>0.004266977</v>
      </c>
      <c r="P387" s="1" t="n">
        <v>0.004317284</v>
      </c>
      <c r="R387" s="1" t="n">
        <f aca="false">PERCENTILE(G387:P387,0.9)</f>
        <v>0.0067112923</v>
      </c>
      <c r="S387" s="5" t="n">
        <f aca="false">spmv_1!R$10/R387</f>
        <v>5.21981799243046</v>
      </c>
      <c r="T387" s="6" t="n">
        <f aca="false">S387/128</f>
        <v>0.040779828065863</v>
      </c>
    </row>
    <row r="388" customFormat="false" ht="15" hidden="false" customHeight="false" outlineLevel="0" collapsed="false">
      <c r="A388" s="1" t="s">
        <v>17</v>
      </c>
      <c r="B388" s="1" t="n">
        <v>124</v>
      </c>
      <c r="D388" s="1" t="n">
        <v>158269</v>
      </c>
      <c r="E388" s="1" t="n">
        <v>0.0626</v>
      </c>
      <c r="G388" s="1" t="n">
        <v>0.008198261</v>
      </c>
      <c r="H388" s="1" t="n">
        <v>0.006674767</v>
      </c>
      <c r="I388" s="1" t="n">
        <v>0.00475359</v>
      </c>
      <c r="J388" s="1" t="n">
        <v>0.004586935</v>
      </c>
      <c r="K388" s="1" t="n">
        <v>0.004419565</v>
      </c>
      <c r="L388" s="1" t="n">
        <v>0.004292488</v>
      </c>
      <c r="M388" s="1" t="n">
        <v>0.004384756</v>
      </c>
      <c r="N388" s="1" t="n">
        <v>0.00437808</v>
      </c>
      <c r="O388" s="1" t="n">
        <v>0.004426003</v>
      </c>
      <c r="P388" s="1" t="n">
        <v>0.004450798</v>
      </c>
      <c r="R388" s="1" t="n">
        <f aca="false">PERCENTILE(G388:P388,0.9)</f>
        <v>0.0068271164</v>
      </c>
      <c r="S388" s="5" t="n">
        <f aca="false">spmv_1!R$10/R388</f>
        <v>5.13126219731657</v>
      </c>
      <c r="T388" s="6" t="n">
        <f aca="false">S388/128</f>
        <v>0.0400879859165357</v>
      </c>
    </row>
    <row r="389" customFormat="false" ht="15" hidden="false" customHeight="false" outlineLevel="0" collapsed="false">
      <c r="A389" s="1" t="s">
        <v>17</v>
      </c>
      <c r="B389" s="1" t="n">
        <v>125</v>
      </c>
      <c r="D389" s="1" t="n">
        <v>158457</v>
      </c>
      <c r="E389" s="1" t="n">
        <v>0.064481</v>
      </c>
      <c r="G389" s="1" t="n">
        <v>0.008074045</v>
      </c>
      <c r="H389" s="1" t="n">
        <v>0.006550789</v>
      </c>
      <c r="I389" s="1" t="n">
        <v>0.00467205</v>
      </c>
      <c r="J389" s="1" t="n">
        <v>0.004449129</v>
      </c>
      <c r="K389" s="1" t="n">
        <v>0.004310369</v>
      </c>
      <c r="L389" s="1" t="n">
        <v>0.004112005</v>
      </c>
      <c r="M389" s="1" t="n">
        <v>0.00425005</v>
      </c>
      <c r="N389" s="1" t="n">
        <v>0.004200459</v>
      </c>
      <c r="O389" s="1" t="n">
        <v>0.004241228</v>
      </c>
      <c r="P389" s="1" t="n">
        <v>0.004287958</v>
      </c>
      <c r="R389" s="1" t="n">
        <f aca="false">PERCENTILE(G389:P389,0.9)</f>
        <v>0.0067031146</v>
      </c>
      <c r="S389" s="5" t="n">
        <f aca="false">spmv_1!R$10/R389</f>
        <v>5.22618609265609</v>
      </c>
      <c r="T389" s="6" t="n">
        <f aca="false">S389/128</f>
        <v>0.0408295788488757</v>
      </c>
    </row>
    <row r="390" customFormat="false" ht="15" hidden="false" customHeight="false" outlineLevel="0" collapsed="false">
      <c r="A390" s="1" t="s">
        <v>17</v>
      </c>
      <c r="B390" s="1" t="n">
        <v>126</v>
      </c>
      <c r="D390" s="1" t="n">
        <v>157825</v>
      </c>
      <c r="E390" s="1" t="n">
        <v>0.062915</v>
      </c>
      <c r="G390" s="1" t="n">
        <v>0.008149385</v>
      </c>
      <c r="H390" s="1" t="n">
        <v>0.0066185</v>
      </c>
      <c r="I390" s="1" t="n">
        <v>0.004687786</v>
      </c>
      <c r="J390" s="1" t="n">
        <v>0.004543304</v>
      </c>
      <c r="K390" s="1" t="n">
        <v>0.004390001</v>
      </c>
      <c r="L390" s="1" t="n">
        <v>0.004268885</v>
      </c>
      <c r="M390" s="1" t="n">
        <v>0.004365921</v>
      </c>
      <c r="N390" s="1" t="n">
        <v>0.004333735</v>
      </c>
      <c r="O390" s="1" t="n">
        <v>0.004384756</v>
      </c>
      <c r="P390" s="1" t="n">
        <v>0.004428864</v>
      </c>
      <c r="R390" s="1" t="n">
        <f aca="false">PERCENTILE(G390:P390,0.9)</f>
        <v>0.0067715885</v>
      </c>
      <c r="S390" s="5" t="n">
        <f aca="false">spmv_1!R$10/R390</f>
        <v>5.17333920984714</v>
      </c>
      <c r="T390" s="6" t="n">
        <f aca="false">S390/128</f>
        <v>0.0404167125769308</v>
      </c>
    </row>
    <row r="391" customFormat="false" ht="15" hidden="false" customHeight="false" outlineLevel="0" collapsed="false">
      <c r="A391" s="1" t="s">
        <v>17</v>
      </c>
      <c r="B391" s="1" t="n">
        <v>127</v>
      </c>
      <c r="D391" s="1" t="n">
        <v>157698</v>
      </c>
      <c r="E391" s="1" t="n">
        <v>0.063721</v>
      </c>
      <c r="G391" s="1" t="n">
        <v>0.008072615</v>
      </c>
      <c r="H391" s="1" t="n">
        <v>0.006540775</v>
      </c>
      <c r="I391" s="1" t="n">
        <v>0.004616499</v>
      </c>
      <c r="J391" s="1" t="n">
        <v>0.004477978</v>
      </c>
      <c r="K391" s="1" t="n">
        <v>0.00432086</v>
      </c>
      <c r="L391" s="1" t="n">
        <v>0.004181862</v>
      </c>
      <c r="M391" s="1" t="n">
        <v>0.004305124</v>
      </c>
      <c r="N391" s="1" t="n">
        <v>0.004287958</v>
      </c>
      <c r="O391" s="1" t="n">
        <v>0.004341841</v>
      </c>
      <c r="P391" s="1" t="n">
        <v>0.004350662</v>
      </c>
      <c r="R391" s="1" t="n">
        <f aca="false">PERCENTILE(G391:P391,0.9)</f>
        <v>0.006693959</v>
      </c>
      <c r="S391" s="5" t="n">
        <f aca="false">spmv_1!R$10/R391</f>
        <v>5.23333415994929</v>
      </c>
      <c r="T391" s="6" t="n">
        <f aca="false">S391/128</f>
        <v>0.0408854231246038</v>
      </c>
    </row>
    <row r="394" customFormat="false" ht="15" hidden="false" customHeight="false" outlineLevel="0" collapsed="false">
      <c r="A394" s="2" t="s">
        <v>0</v>
      </c>
      <c r="B394" s="2" t="s">
        <v>1</v>
      </c>
      <c r="C394" s="3"/>
      <c r="D394" s="2" t="s">
        <v>2</v>
      </c>
      <c r="E394" s="2" t="s">
        <v>3</v>
      </c>
      <c r="F394" s="3"/>
      <c r="G394" s="2" t="s">
        <v>4</v>
      </c>
      <c r="H394" s="2" t="s">
        <v>5</v>
      </c>
      <c r="I394" s="2" t="s">
        <v>6</v>
      </c>
      <c r="J394" s="2" t="s">
        <v>7</v>
      </c>
      <c r="K394" s="2" t="s">
        <v>8</v>
      </c>
      <c r="L394" s="2" t="s">
        <v>9</v>
      </c>
      <c r="M394" s="2" t="s">
        <v>10</v>
      </c>
      <c r="N394" s="2" t="s">
        <v>11</v>
      </c>
      <c r="O394" s="2" t="s">
        <v>12</v>
      </c>
      <c r="P394" s="2" t="s">
        <v>13</v>
      </c>
      <c r="R394" s="4" t="s">
        <v>14</v>
      </c>
      <c r="S394" s="7" t="s">
        <v>20</v>
      </c>
      <c r="T394" s="8" t="s">
        <v>21</v>
      </c>
    </row>
    <row r="395" customFormat="false" ht="15" hidden="false" customHeight="false" outlineLevel="0" collapsed="false">
      <c r="A395" s="1" t="s">
        <v>18</v>
      </c>
      <c r="B395" s="1" t="n">
        <v>0</v>
      </c>
      <c r="D395" s="1" t="n">
        <v>6049231</v>
      </c>
      <c r="E395" s="1" t="n">
        <v>0.036673</v>
      </c>
      <c r="G395" s="1" t="n">
        <v>0.334694862</v>
      </c>
      <c r="H395" s="1" t="n">
        <v>0.325957298</v>
      </c>
      <c r="I395" s="1" t="n">
        <v>0.342675924</v>
      </c>
      <c r="J395" s="1" t="n">
        <v>0.323598385</v>
      </c>
      <c r="K395" s="1" t="n">
        <v>0.322417021</v>
      </c>
      <c r="L395" s="1" t="n">
        <v>0.325336695</v>
      </c>
      <c r="M395" s="1" t="n">
        <v>0.343255043</v>
      </c>
      <c r="N395" s="1" t="n">
        <v>0.322694063</v>
      </c>
      <c r="O395" s="1" t="n">
        <v>0.331745625</v>
      </c>
      <c r="P395" s="1" t="n">
        <v>0.326658249</v>
      </c>
      <c r="R395" s="1" t="n">
        <f aca="false">PERCENTILE(G395:P395,0.9)</f>
        <v>0.3427338359</v>
      </c>
      <c r="S395" s="5" t="n">
        <f aca="false">spmv_1!R$14/R395</f>
        <v>3.22274618670062</v>
      </c>
      <c r="T395" s="6" t="n">
        <f aca="false">S395/128</f>
        <v>0.0251777045835986</v>
      </c>
    </row>
    <row r="396" customFormat="false" ht="15" hidden="false" customHeight="false" outlineLevel="0" collapsed="false">
      <c r="A396" s="1" t="s">
        <v>18</v>
      </c>
      <c r="B396" s="1" t="n">
        <v>1</v>
      </c>
      <c r="D396" s="1" t="n">
        <v>6051741</v>
      </c>
      <c r="E396" s="1" t="n">
        <v>0.031958</v>
      </c>
      <c r="G396" s="1" t="n">
        <v>0.382678509</v>
      </c>
      <c r="H396" s="1" t="n">
        <v>0.376560688</v>
      </c>
      <c r="I396" s="1" t="n">
        <v>0.37030983</v>
      </c>
      <c r="J396" s="1" t="n">
        <v>0.373723745</v>
      </c>
      <c r="K396" s="1" t="n">
        <v>0.376824617</v>
      </c>
      <c r="L396" s="1" t="n">
        <v>0.37539053</v>
      </c>
      <c r="M396" s="1" t="n">
        <v>0.385330677</v>
      </c>
      <c r="N396" s="1" t="n">
        <v>0.377502203</v>
      </c>
      <c r="O396" s="1" t="n">
        <v>0.389430046</v>
      </c>
      <c r="P396" s="1" t="n">
        <v>0.379578352</v>
      </c>
      <c r="R396" s="1" t="n">
        <f aca="false">PERCENTILE(G396:P396,0.9)</f>
        <v>0.3857406139</v>
      </c>
      <c r="S396" s="5" t="n">
        <f aca="false">spmv_1!R$14/R396</f>
        <v>2.86343756114399</v>
      </c>
      <c r="T396" s="6" t="n">
        <f aca="false">S396/128</f>
        <v>0.0223706059464374</v>
      </c>
    </row>
    <row r="397" customFormat="false" ht="15" hidden="false" customHeight="false" outlineLevel="0" collapsed="false">
      <c r="A397" s="1" t="s">
        <v>18</v>
      </c>
      <c r="B397" s="1" t="n">
        <v>2</v>
      </c>
      <c r="D397" s="1" t="n">
        <v>6052818</v>
      </c>
      <c r="E397" s="1" t="n">
        <v>0.032046</v>
      </c>
      <c r="G397" s="1" t="n">
        <v>0.381544352</v>
      </c>
      <c r="H397" s="1" t="n">
        <v>0.375225067</v>
      </c>
      <c r="I397" s="1" t="n">
        <v>0.369107962</v>
      </c>
      <c r="J397" s="1" t="n">
        <v>0.372908354</v>
      </c>
      <c r="K397" s="1" t="n">
        <v>0.376039028</v>
      </c>
      <c r="L397" s="1" t="n">
        <v>0.374320269</v>
      </c>
      <c r="M397" s="1" t="n">
        <v>0.384292603</v>
      </c>
      <c r="N397" s="1" t="n">
        <v>0.376363039</v>
      </c>
      <c r="O397" s="1" t="n">
        <v>0.388813019</v>
      </c>
      <c r="P397" s="1" t="n">
        <v>0.378946543</v>
      </c>
      <c r="R397" s="1" t="n">
        <f aca="false">PERCENTILE(G397:P397,0.9)</f>
        <v>0.3847446446</v>
      </c>
      <c r="S397" s="5" t="n">
        <f aca="false">spmv_1!R$14/R397</f>
        <v>2.87084999935045</v>
      </c>
      <c r="T397" s="6" t="n">
        <f aca="false">S397/128</f>
        <v>0.0224285156199254</v>
      </c>
    </row>
    <row r="398" customFormat="false" ht="15" hidden="false" customHeight="false" outlineLevel="0" collapsed="false">
      <c r="A398" s="1" t="s">
        <v>18</v>
      </c>
      <c r="B398" s="1" t="n">
        <v>3</v>
      </c>
      <c r="D398" s="1" t="n">
        <v>6052818</v>
      </c>
      <c r="E398" s="1" t="n">
        <v>0.036751</v>
      </c>
      <c r="G398" s="1" t="n">
        <v>0.372938633</v>
      </c>
      <c r="H398" s="1" t="n">
        <v>0.32352829</v>
      </c>
      <c r="I398" s="1" t="n">
        <v>0.320013523</v>
      </c>
      <c r="J398" s="1" t="n">
        <v>0.321807146</v>
      </c>
      <c r="K398" s="1" t="n">
        <v>0.342406511</v>
      </c>
      <c r="L398" s="1" t="n">
        <v>0.320954323</v>
      </c>
      <c r="M398" s="1" t="n">
        <v>0.324177027</v>
      </c>
      <c r="N398" s="1" t="n">
        <v>0.318185568</v>
      </c>
      <c r="O398" s="1" t="n">
        <v>0.326860189</v>
      </c>
      <c r="P398" s="1" t="n">
        <v>0.323056221</v>
      </c>
      <c r="R398" s="1" t="n">
        <f aca="false">PERCENTILE(G398:P398,0.9)</f>
        <v>0.3454597232</v>
      </c>
      <c r="S398" s="5" t="n">
        <f aca="false">spmv_1!R$14/R398</f>
        <v>3.19731675944329</v>
      </c>
      <c r="T398" s="6" t="n">
        <f aca="false">S398/128</f>
        <v>0.0249790371831507</v>
      </c>
    </row>
    <row r="399" customFormat="false" ht="15" hidden="false" customHeight="false" outlineLevel="0" collapsed="false">
      <c r="A399" s="1" t="s">
        <v>18</v>
      </c>
      <c r="B399" s="1" t="n">
        <v>4</v>
      </c>
      <c r="D399" s="1" t="n">
        <v>6051741</v>
      </c>
      <c r="E399" s="1" t="n">
        <v>0.033604</v>
      </c>
      <c r="G399" s="1" t="n">
        <v>0.357113361</v>
      </c>
      <c r="H399" s="1" t="n">
        <v>0.36955142</v>
      </c>
      <c r="I399" s="1" t="n">
        <v>0.365073919</v>
      </c>
      <c r="J399" s="1" t="n">
        <v>0.369410515</v>
      </c>
      <c r="K399" s="1" t="n">
        <v>0.356118917</v>
      </c>
      <c r="L399" s="1" t="n">
        <v>0.349215984</v>
      </c>
      <c r="M399" s="1" t="n">
        <v>0.359969854</v>
      </c>
      <c r="N399" s="1" t="n">
        <v>0.354031801</v>
      </c>
      <c r="O399" s="1" t="n">
        <v>0.365261793</v>
      </c>
      <c r="P399" s="1" t="n">
        <v>0.356089115</v>
      </c>
      <c r="R399" s="1" t="n">
        <f aca="false">PERCENTILE(G399:P399,0.9)</f>
        <v>0.3694246055</v>
      </c>
      <c r="S399" s="5" t="n">
        <f aca="false">spmv_1!R$14/R399</f>
        <v>2.98990415434036</v>
      </c>
      <c r="T399" s="6" t="n">
        <f aca="false">S399/128</f>
        <v>0.0233586262057841</v>
      </c>
    </row>
    <row r="400" customFormat="false" ht="15" hidden="false" customHeight="false" outlineLevel="0" collapsed="false">
      <c r="A400" s="1" t="s">
        <v>18</v>
      </c>
      <c r="B400" s="1" t="n">
        <v>5</v>
      </c>
      <c r="D400" s="1" t="n">
        <v>6050664</v>
      </c>
      <c r="E400" s="1" t="n">
        <v>0.031422</v>
      </c>
      <c r="G400" s="1" t="n">
        <v>0.357570171</v>
      </c>
      <c r="H400" s="1" t="n">
        <v>0.349847317</v>
      </c>
      <c r="I400" s="1" t="n">
        <v>0.346524954</v>
      </c>
      <c r="J400" s="1" t="n">
        <v>0.348502636</v>
      </c>
      <c r="K400" s="1" t="n">
        <v>0.43060708</v>
      </c>
      <c r="L400" s="1" t="n">
        <v>0.382896185</v>
      </c>
      <c r="M400" s="1" t="n">
        <v>0.403675795</v>
      </c>
      <c r="N400" s="1" t="n">
        <v>0.398663044</v>
      </c>
      <c r="O400" s="1" t="n">
        <v>0.384847879</v>
      </c>
      <c r="P400" s="1" t="n">
        <v>0.44813776</v>
      </c>
      <c r="R400" s="1" t="n">
        <f aca="false">PERCENTILE(G400:P400,0.9)</f>
        <v>0.432360148</v>
      </c>
      <c r="S400" s="5" t="n">
        <f aca="false">spmv_1!R$14/R400</f>
        <v>2.55468541170913</v>
      </c>
      <c r="T400" s="6" t="n">
        <f aca="false">S400/128</f>
        <v>0.0199584797789776</v>
      </c>
    </row>
    <row r="401" customFormat="false" ht="15" hidden="false" customHeight="false" outlineLevel="0" collapsed="false">
      <c r="A401" s="1" t="s">
        <v>18</v>
      </c>
      <c r="B401" s="1" t="n">
        <v>6</v>
      </c>
      <c r="D401" s="1" t="n">
        <v>6049587</v>
      </c>
      <c r="E401" s="1" t="n">
        <v>0.032797</v>
      </c>
      <c r="G401" s="1" t="n">
        <v>0.376043797</v>
      </c>
      <c r="H401" s="1" t="n">
        <v>0.368416071</v>
      </c>
      <c r="I401" s="1" t="n">
        <v>0.342415094</v>
      </c>
      <c r="J401" s="1" t="n">
        <v>0.366546631</v>
      </c>
      <c r="K401" s="1" t="n">
        <v>0.377771854</v>
      </c>
      <c r="L401" s="1" t="n">
        <v>0.368490458</v>
      </c>
      <c r="M401" s="1" t="n">
        <v>0.378487349</v>
      </c>
      <c r="N401" s="1" t="n">
        <v>0.353921652</v>
      </c>
      <c r="O401" s="1" t="n">
        <v>0.382028341</v>
      </c>
      <c r="P401" s="1" t="n">
        <v>0.374953508</v>
      </c>
      <c r="R401" s="1" t="n">
        <f aca="false">PERCENTILE(G401:P401,0.9)</f>
        <v>0.3788414482</v>
      </c>
      <c r="S401" s="5" t="n">
        <f aca="false">spmv_1!R$14/R401</f>
        <v>2.9155842581324</v>
      </c>
      <c r="T401" s="6" t="n">
        <f aca="false">S401/128</f>
        <v>0.0227780020166594</v>
      </c>
    </row>
    <row r="402" customFormat="false" ht="15" hidden="false" customHeight="false" outlineLevel="0" collapsed="false">
      <c r="A402" s="1" t="s">
        <v>18</v>
      </c>
      <c r="B402" s="1" t="n">
        <v>7</v>
      </c>
      <c r="D402" s="1" t="n">
        <v>6049587</v>
      </c>
      <c r="E402" s="1" t="n">
        <v>0.034545</v>
      </c>
      <c r="G402" s="1" t="n">
        <v>0.353346348</v>
      </c>
      <c r="H402" s="1" t="n">
        <v>0.345809698</v>
      </c>
      <c r="I402" s="1" t="n">
        <v>0.339703798</v>
      </c>
      <c r="J402" s="1" t="n">
        <v>0.34465313</v>
      </c>
      <c r="K402" s="1" t="n">
        <v>0.35220623</v>
      </c>
      <c r="L402" s="1" t="n">
        <v>0.345518351</v>
      </c>
      <c r="M402" s="1" t="n">
        <v>0.3568573</v>
      </c>
      <c r="N402" s="1" t="n">
        <v>0.350469589</v>
      </c>
      <c r="O402" s="1" t="n">
        <v>0.36200428</v>
      </c>
      <c r="P402" s="1" t="n">
        <v>0.351913929</v>
      </c>
      <c r="R402" s="1" t="n">
        <f aca="false">PERCENTILE(G402:P402,0.9)</f>
        <v>0.357371998</v>
      </c>
      <c r="S402" s="5" t="n">
        <f aca="false">spmv_1!R$14/R402</f>
        <v>3.09074065366476</v>
      </c>
      <c r="T402" s="6" t="n">
        <f aca="false">S402/128</f>
        <v>0.0241464113567559</v>
      </c>
    </row>
    <row r="403" customFormat="false" ht="15" hidden="false" customHeight="false" outlineLevel="0" collapsed="false">
      <c r="A403" s="1" t="s">
        <v>18</v>
      </c>
      <c r="B403" s="1" t="n">
        <v>8</v>
      </c>
      <c r="D403" s="1" t="n">
        <v>6050664</v>
      </c>
      <c r="E403" s="1" t="n">
        <v>0.036904</v>
      </c>
      <c r="G403" s="1" t="n">
        <v>0.331055641</v>
      </c>
      <c r="H403" s="1" t="n">
        <v>0.322382689</v>
      </c>
      <c r="I403" s="1" t="n">
        <v>0.318600416</v>
      </c>
      <c r="J403" s="1" t="n">
        <v>0.320927143</v>
      </c>
      <c r="K403" s="1" t="n">
        <v>0.32976532</v>
      </c>
      <c r="L403" s="1" t="n">
        <v>0.322087765</v>
      </c>
      <c r="M403" s="1" t="n">
        <v>0.327290773</v>
      </c>
      <c r="N403" s="1" t="n">
        <v>0.320913553</v>
      </c>
      <c r="O403" s="1" t="n">
        <v>0.358672857</v>
      </c>
      <c r="P403" s="1" t="n">
        <v>0.32745409</v>
      </c>
      <c r="R403" s="1" t="n">
        <f aca="false">PERCENTILE(G403:P403,0.9)</f>
        <v>0.3338173626</v>
      </c>
      <c r="S403" s="5" t="n">
        <f aca="false">spmv_1!R$14/R403</f>
        <v>3.30882777964887</v>
      </c>
      <c r="T403" s="6" t="n">
        <f aca="false">S403/128</f>
        <v>0.0258502170285068</v>
      </c>
    </row>
    <row r="404" customFormat="false" ht="15" hidden="false" customHeight="false" outlineLevel="0" collapsed="false">
      <c r="A404" s="1" t="s">
        <v>18</v>
      </c>
      <c r="B404" s="1" t="n">
        <v>9</v>
      </c>
      <c r="D404" s="1" t="n">
        <v>6051741</v>
      </c>
      <c r="E404" s="1" t="n">
        <v>0.037691</v>
      </c>
      <c r="G404" s="1" t="n">
        <v>0.327542067</v>
      </c>
      <c r="H404" s="1" t="n">
        <v>0.319062233</v>
      </c>
      <c r="I404" s="1" t="n">
        <v>0.315126657</v>
      </c>
      <c r="J404" s="1" t="n">
        <v>0.317007303</v>
      </c>
      <c r="K404" s="1" t="n">
        <v>0.326029778</v>
      </c>
      <c r="L404" s="1" t="n">
        <v>0.318410635</v>
      </c>
      <c r="M404" s="1" t="n">
        <v>0.323508263</v>
      </c>
      <c r="N404" s="1" t="n">
        <v>0.317049503</v>
      </c>
      <c r="O404" s="1" t="n">
        <v>0.32429409</v>
      </c>
      <c r="P404" s="1" t="n">
        <v>0.323189735</v>
      </c>
      <c r="R404" s="1" t="n">
        <f aca="false">PERCENTILE(G404:P404,0.9)</f>
        <v>0.3261810069</v>
      </c>
      <c r="S404" s="5" t="n">
        <f aca="false">spmv_1!R$14/R404</f>
        <v>3.38629208732141</v>
      </c>
      <c r="T404" s="6" t="n">
        <f aca="false">S404/128</f>
        <v>0.0264554069321985</v>
      </c>
    </row>
    <row r="405" customFormat="false" ht="15" hidden="false" customHeight="false" outlineLevel="0" collapsed="false">
      <c r="A405" s="1" t="s">
        <v>18</v>
      </c>
      <c r="B405" s="1" t="n">
        <v>10</v>
      </c>
      <c r="D405" s="1" t="n">
        <v>6052818</v>
      </c>
      <c r="E405" s="1" t="n">
        <v>0.037504</v>
      </c>
      <c r="G405" s="1" t="n">
        <v>0.329317808</v>
      </c>
      <c r="H405" s="1" t="n">
        <v>0.320935249</v>
      </c>
      <c r="I405" s="1" t="n">
        <v>0.317022085</v>
      </c>
      <c r="J405" s="1" t="n">
        <v>0.319331169</v>
      </c>
      <c r="K405" s="1" t="n">
        <v>0.327833652</v>
      </c>
      <c r="L405" s="1" t="n">
        <v>0.320501089</v>
      </c>
      <c r="M405" s="1" t="n">
        <v>0.325656891</v>
      </c>
      <c r="N405" s="1" t="n">
        <v>0.319496632</v>
      </c>
      <c r="O405" s="1" t="n">
        <v>0.323064804</v>
      </c>
      <c r="P405" s="1" t="n">
        <v>0.324625969</v>
      </c>
      <c r="R405" s="1" t="n">
        <f aca="false">PERCENTILE(G405:P405,0.9)</f>
        <v>0.3279820676</v>
      </c>
      <c r="S405" s="5" t="n">
        <f aca="false">spmv_1!R$14/R405</f>
        <v>3.36769680971424</v>
      </c>
      <c r="T405" s="6" t="n">
        <f aca="false">S405/128</f>
        <v>0.0263101313258925</v>
      </c>
    </row>
    <row r="406" customFormat="false" ht="15" hidden="false" customHeight="false" outlineLevel="0" collapsed="false">
      <c r="A406" s="1" t="s">
        <v>18</v>
      </c>
      <c r="B406" s="1" t="n">
        <v>11</v>
      </c>
      <c r="D406" s="1" t="n">
        <v>6052818</v>
      </c>
      <c r="E406" s="1" t="n">
        <v>0.038046</v>
      </c>
      <c r="G406" s="1" t="n">
        <v>0.32440877</v>
      </c>
      <c r="H406" s="1" t="n">
        <v>0.31623435</v>
      </c>
      <c r="I406" s="1" t="n">
        <v>0.311902046</v>
      </c>
      <c r="J406" s="1" t="n">
        <v>0.314717293</v>
      </c>
      <c r="K406" s="1" t="n">
        <v>0.323072195</v>
      </c>
      <c r="L406" s="1" t="n">
        <v>0.315755844</v>
      </c>
      <c r="M406" s="1" t="n">
        <v>0.320948839</v>
      </c>
      <c r="N406" s="1" t="n">
        <v>0.314719677</v>
      </c>
      <c r="O406" s="1" t="n">
        <v>0.320485115</v>
      </c>
      <c r="P406" s="1" t="n">
        <v>0.319604397</v>
      </c>
      <c r="R406" s="1" t="n">
        <f aca="false">PERCENTILE(G406:P406,0.9)</f>
        <v>0.3232058525</v>
      </c>
      <c r="S406" s="5" t="n">
        <f aca="false">spmv_1!R$14/R406</f>
        <v>3.41746337251118</v>
      </c>
      <c r="T406" s="6" t="n">
        <f aca="false">S406/128</f>
        <v>0.0266989325977436</v>
      </c>
    </row>
    <row r="407" customFormat="false" ht="15" hidden="false" customHeight="false" outlineLevel="0" collapsed="false">
      <c r="A407" s="1" t="s">
        <v>18</v>
      </c>
      <c r="B407" s="1" t="n">
        <v>12</v>
      </c>
      <c r="D407" s="1" t="n">
        <v>6051741</v>
      </c>
      <c r="E407" s="1" t="n">
        <v>0.037898</v>
      </c>
      <c r="G407" s="1" t="n">
        <v>0.326222658</v>
      </c>
      <c r="H407" s="1" t="n">
        <v>0.317723989</v>
      </c>
      <c r="I407" s="1" t="n">
        <v>0.313663006</v>
      </c>
      <c r="J407" s="1" t="n">
        <v>0.316297293</v>
      </c>
      <c r="K407" s="1" t="n">
        <v>0.324284792</v>
      </c>
      <c r="L407" s="1" t="n">
        <v>0.317175865</v>
      </c>
      <c r="M407" s="1" t="n">
        <v>0.322267056</v>
      </c>
      <c r="N407" s="1" t="n">
        <v>0.316714287</v>
      </c>
      <c r="O407" s="1" t="n">
        <v>0.318965197</v>
      </c>
      <c r="P407" s="1" t="n">
        <v>0.320399523</v>
      </c>
      <c r="R407" s="1" t="n">
        <f aca="false">PERCENTILE(G407:P407,0.9)</f>
        <v>0.3244785786</v>
      </c>
      <c r="S407" s="5" t="n">
        <f aca="false">spmv_1!R$14/R407</f>
        <v>3.40405880556332</v>
      </c>
      <c r="T407" s="6" t="n">
        <f aca="false">S407/128</f>
        <v>0.0265942094184634</v>
      </c>
    </row>
    <row r="408" customFormat="false" ht="15" hidden="false" customHeight="false" outlineLevel="0" collapsed="false">
      <c r="A408" s="1" t="s">
        <v>18</v>
      </c>
      <c r="B408" s="1" t="n">
        <v>13</v>
      </c>
      <c r="D408" s="1" t="n">
        <v>6050664</v>
      </c>
      <c r="E408" s="1" t="n">
        <v>0.038067</v>
      </c>
      <c r="G408" s="1" t="n">
        <v>0.324743271</v>
      </c>
      <c r="H408" s="1" t="n">
        <v>0.316298962</v>
      </c>
      <c r="I408" s="1" t="n">
        <v>0.312747478</v>
      </c>
      <c r="J408" s="1" t="n">
        <v>0.31442976</v>
      </c>
      <c r="K408" s="1" t="n">
        <v>0.322648287</v>
      </c>
      <c r="L408" s="1" t="n">
        <v>0.316068888</v>
      </c>
      <c r="M408" s="1" t="n">
        <v>0.320727348</v>
      </c>
      <c r="N408" s="1" t="n">
        <v>0.315275192</v>
      </c>
      <c r="O408" s="1" t="n">
        <v>0.31786561</v>
      </c>
      <c r="P408" s="1" t="n">
        <v>0.318108797</v>
      </c>
      <c r="R408" s="1" t="n">
        <f aca="false">PERCENTILE(G408:P408,0.9)</f>
        <v>0.3228577854</v>
      </c>
      <c r="S408" s="5" t="n">
        <f aca="false">spmv_1!R$14/R408</f>
        <v>3.42114767754955</v>
      </c>
      <c r="T408" s="6" t="n">
        <f aca="false">S408/128</f>
        <v>0.0267277162308558</v>
      </c>
    </row>
    <row r="409" customFormat="false" ht="15" hidden="false" customHeight="false" outlineLevel="0" collapsed="false">
      <c r="A409" s="1" t="s">
        <v>18</v>
      </c>
      <c r="B409" s="1" t="n">
        <v>14</v>
      </c>
      <c r="D409" s="1" t="n">
        <v>6049946</v>
      </c>
      <c r="E409" s="1" t="n">
        <v>0.038518</v>
      </c>
      <c r="G409" s="1" t="n">
        <v>0.321045637</v>
      </c>
      <c r="H409" s="1" t="n">
        <v>0.312585115</v>
      </c>
      <c r="I409" s="1" t="n">
        <v>0.30862093</v>
      </c>
      <c r="J409" s="1" t="n">
        <v>0.309801102</v>
      </c>
      <c r="K409" s="1" t="n">
        <v>0.318510056</v>
      </c>
      <c r="L409" s="1" t="n">
        <v>0.312758446</v>
      </c>
      <c r="M409" s="1" t="n">
        <v>0.317305565</v>
      </c>
      <c r="N409" s="1" t="n">
        <v>0.310749054</v>
      </c>
      <c r="O409" s="1" t="n">
        <v>0.316033363</v>
      </c>
      <c r="P409" s="1" t="n">
        <v>0.313970804</v>
      </c>
      <c r="R409" s="1" t="n">
        <f aca="false">PERCENTILE(G409:P409,0.9)</f>
        <v>0.3187636141</v>
      </c>
      <c r="S409" s="5" t="n">
        <f aca="false">spmv_1!R$14/R409</f>
        <v>3.46508859180362</v>
      </c>
      <c r="T409" s="6" t="n">
        <f aca="false">S409/128</f>
        <v>0.0270710046234657</v>
      </c>
    </row>
    <row r="410" customFormat="false" ht="15" hidden="false" customHeight="false" outlineLevel="0" collapsed="false">
      <c r="A410" s="1" t="s">
        <v>18</v>
      </c>
      <c r="B410" s="1" t="n">
        <v>15</v>
      </c>
      <c r="D410" s="1" t="n">
        <v>6049945</v>
      </c>
      <c r="E410" s="1" t="n">
        <v>0.038697</v>
      </c>
      <c r="G410" s="1" t="n">
        <v>0.319537878</v>
      </c>
      <c r="H410" s="1" t="n">
        <v>0.31097126</v>
      </c>
      <c r="I410" s="1" t="n">
        <v>0.307524443</v>
      </c>
      <c r="J410" s="1" t="n">
        <v>0.308698416</v>
      </c>
      <c r="K410" s="1" t="n">
        <v>0.317007542</v>
      </c>
      <c r="L410" s="1" t="n">
        <v>0.311148405</v>
      </c>
      <c r="M410" s="1" t="n">
        <v>0.315754175</v>
      </c>
      <c r="N410" s="1" t="n">
        <v>0.309271574</v>
      </c>
      <c r="O410" s="1" t="n">
        <v>0.314476728</v>
      </c>
      <c r="P410" s="1" t="n">
        <v>0.312462568</v>
      </c>
      <c r="R410" s="1" t="n">
        <f aca="false">PERCENTILE(G410:P410,0.9)</f>
        <v>0.3172605756</v>
      </c>
      <c r="S410" s="5" t="n">
        <f aca="false">spmv_1!R$14/R410</f>
        <v>3.48150462947089</v>
      </c>
      <c r="T410" s="6" t="n">
        <f aca="false">S410/128</f>
        <v>0.0271992549177414</v>
      </c>
    </row>
    <row r="411" customFormat="false" ht="15" hidden="false" customHeight="false" outlineLevel="0" collapsed="false">
      <c r="A411" s="1" t="s">
        <v>18</v>
      </c>
      <c r="B411" s="1" t="n">
        <v>16</v>
      </c>
      <c r="D411" s="1" t="n">
        <v>6050296</v>
      </c>
      <c r="E411" s="1" t="n">
        <v>0.040149</v>
      </c>
      <c r="G411" s="1" t="n">
        <v>0.307651043</v>
      </c>
      <c r="H411" s="1" t="n">
        <v>0.299855709</v>
      </c>
      <c r="I411" s="1" t="n">
        <v>0.296357155</v>
      </c>
      <c r="J411" s="1" t="n">
        <v>0.296947241</v>
      </c>
      <c r="K411" s="1" t="n">
        <v>0.306502104</v>
      </c>
      <c r="L411" s="1" t="n">
        <v>0.299271822</v>
      </c>
      <c r="M411" s="1" t="n">
        <v>0.303383589</v>
      </c>
      <c r="N411" s="1" t="n">
        <v>0.29716754</v>
      </c>
      <c r="O411" s="1" t="n">
        <v>0.303059816</v>
      </c>
      <c r="P411" s="1" t="n">
        <v>0.303690434</v>
      </c>
      <c r="R411" s="1" t="n">
        <f aca="false">PERCENTILE(G411:P411,0.9)</f>
        <v>0.3066169979</v>
      </c>
      <c r="S411" s="5" t="n">
        <f aca="false">spmv_1!R$14/R411</f>
        <v>3.60235789360979</v>
      </c>
      <c r="T411" s="6" t="n">
        <f aca="false">S411/128</f>
        <v>0.0281434210438264</v>
      </c>
    </row>
    <row r="412" customFormat="false" ht="15" hidden="false" customHeight="false" outlineLevel="0" collapsed="false">
      <c r="A412" s="1" t="s">
        <v>18</v>
      </c>
      <c r="B412" s="1" t="n">
        <v>17</v>
      </c>
      <c r="D412" s="1" t="n">
        <v>6051729</v>
      </c>
      <c r="E412" s="1" t="n">
        <v>0.040536</v>
      </c>
      <c r="G412" s="1" t="n">
        <v>0.308088303</v>
      </c>
      <c r="H412" s="1" t="n">
        <v>0.295798302</v>
      </c>
      <c r="I412" s="1" t="n">
        <v>0.293054581</v>
      </c>
      <c r="J412" s="1" t="n">
        <v>0.294868708</v>
      </c>
      <c r="K412" s="1" t="n">
        <v>0.303833961</v>
      </c>
      <c r="L412" s="1" t="n">
        <v>0.299944401</v>
      </c>
      <c r="M412" s="1" t="n">
        <v>0.300305367</v>
      </c>
      <c r="N412" s="1" t="n">
        <v>0.290970087</v>
      </c>
      <c r="O412" s="1" t="n">
        <v>0.300459146</v>
      </c>
      <c r="P412" s="1" t="n">
        <v>0.298524141</v>
      </c>
      <c r="R412" s="1" t="n">
        <f aca="false">PERCENTILE(G412:P412,0.9)</f>
        <v>0.3042593952</v>
      </c>
      <c r="S412" s="5" t="n">
        <f aca="false">spmv_1!R$14/R412</f>
        <v>3.63027134124797</v>
      </c>
      <c r="T412" s="6" t="n">
        <f aca="false">S412/128</f>
        <v>0.0283614948534998</v>
      </c>
    </row>
    <row r="413" customFormat="false" ht="15" hidden="false" customHeight="false" outlineLevel="0" collapsed="false">
      <c r="A413" s="1" t="s">
        <v>18</v>
      </c>
      <c r="B413" s="1" t="n">
        <v>18</v>
      </c>
      <c r="D413" s="1" t="n">
        <v>6050652</v>
      </c>
      <c r="E413" s="1" t="n">
        <v>0.038902</v>
      </c>
      <c r="G413" s="1" t="n">
        <v>0.316570759</v>
      </c>
      <c r="H413" s="1" t="n">
        <v>0.310051441</v>
      </c>
      <c r="I413" s="1" t="n">
        <v>0.309383392</v>
      </c>
      <c r="J413" s="1" t="n">
        <v>0.305965662</v>
      </c>
      <c r="K413" s="1" t="n">
        <v>0.314486742</v>
      </c>
      <c r="L413" s="1" t="n">
        <v>0.308853388</v>
      </c>
      <c r="M413" s="1" t="n">
        <v>0.312961578</v>
      </c>
      <c r="N413" s="1" t="n">
        <v>0.306062937</v>
      </c>
      <c r="O413" s="1" t="n">
        <v>0.315994263</v>
      </c>
      <c r="P413" s="1" t="n">
        <v>0.310406446</v>
      </c>
      <c r="R413" s="1" t="n">
        <f aca="false">PERCENTILE(G413:P413,0.9)</f>
        <v>0.3160519126</v>
      </c>
      <c r="S413" s="5" t="n">
        <f aca="false">spmv_1!R$14/R413</f>
        <v>3.49481878977878</v>
      </c>
      <c r="T413" s="6" t="n">
        <f aca="false">S413/128</f>
        <v>0.0273032717951467</v>
      </c>
    </row>
    <row r="414" customFormat="false" ht="15" hidden="false" customHeight="false" outlineLevel="0" collapsed="false">
      <c r="A414" s="1" t="s">
        <v>18</v>
      </c>
      <c r="B414" s="1" t="n">
        <v>19</v>
      </c>
      <c r="D414" s="1" t="n">
        <v>6049575</v>
      </c>
      <c r="E414" s="1" t="n">
        <v>0.041047</v>
      </c>
      <c r="G414" s="1" t="n">
        <v>0.302765369</v>
      </c>
      <c r="H414" s="1" t="n">
        <v>0.29285121</v>
      </c>
      <c r="I414" s="1" t="n">
        <v>0.28976655</v>
      </c>
      <c r="J414" s="1" t="n">
        <v>0.289206505</v>
      </c>
      <c r="K414" s="1" t="n">
        <v>0.299610138</v>
      </c>
      <c r="L414" s="1" t="n">
        <v>0.292810678</v>
      </c>
      <c r="M414" s="1" t="n">
        <v>0.297597647</v>
      </c>
      <c r="N414" s="1" t="n">
        <v>0.290318727</v>
      </c>
      <c r="O414" s="1" t="n">
        <v>0.297492266</v>
      </c>
      <c r="P414" s="1" t="n">
        <v>0.29523921</v>
      </c>
      <c r="R414" s="1" t="n">
        <f aca="false">PERCENTILE(G414:P414,0.9)</f>
        <v>0.2999256611</v>
      </c>
      <c r="S414" s="5" t="n">
        <f aca="false">spmv_1!R$14/R414</f>
        <v>3.68272644177561</v>
      </c>
      <c r="T414" s="6" t="n">
        <f aca="false">S414/128</f>
        <v>0.0287713003263719</v>
      </c>
    </row>
    <row r="415" customFormat="false" ht="15" hidden="false" customHeight="false" outlineLevel="0" collapsed="false">
      <c r="A415" s="1" t="s">
        <v>18</v>
      </c>
      <c r="B415" s="1" t="n">
        <v>20</v>
      </c>
      <c r="D415" s="1" t="n">
        <v>6048498</v>
      </c>
      <c r="E415" s="1" t="n">
        <v>0.039138</v>
      </c>
      <c r="G415" s="1" t="n">
        <v>0.314295769</v>
      </c>
      <c r="H415" s="1" t="n">
        <v>0.307430029</v>
      </c>
      <c r="I415" s="1" t="n">
        <v>0.307113409</v>
      </c>
      <c r="J415" s="1" t="n">
        <v>0.303203344</v>
      </c>
      <c r="K415" s="1" t="n">
        <v>0.312439442</v>
      </c>
      <c r="L415" s="1" t="n">
        <v>0.306678295</v>
      </c>
      <c r="M415" s="1" t="n">
        <v>0.31085372</v>
      </c>
      <c r="N415" s="1" t="n">
        <v>0.304138899</v>
      </c>
      <c r="O415" s="1" t="n">
        <v>0.315348387</v>
      </c>
      <c r="P415" s="1" t="n">
        <v>0.309391975</v>
      </c>
      <c r="R415" s="1" t="n">
        <f aca="false">PERCENTILE(G415:P415,0.9)</f>
        <v>0.3144010308</v>
      </c>
      <c r="S415" s="5" t="n">
        <f aca="false">spmv_1!R$14/R415</f>
        <v>3.51316966070202</v>
      </c>
      <c r="T415" s="6" t="n">
        <f aca="false">S415/128</f>
        <v>0.0274466379742345</v>
      </c>
    </row>
    <row r="416" customFormat="false" ht="15" hidden="false" customHeight="false" outlineLevel="0" collapsed="false">
      <c r="A416" s="1" t="s">
        <v>18</v>
      </c>
      <c r="B416" s="1" t="n">
        <v>21</v>
      </c>
      <c r="D416" s="1" t="n">
        <v>6048498</v>
      </c>
      <c r="E416" s="1" t="n">
        <v>0.039186</v>
      </c>
      <c r="G416" s="1" t="n">
        <v>0.314032793</v>
      </c>
      <c r="H416" s="1" t="n">
        <v>0.3075037</v>
      </c>
      <c r="I416" s="1" t="n">
        <v>0.307762623</v>
      </c>
      <c r="J416" s="1" t="n">
        <v>0.303169012</v>
      </c>
      <c r="K416" s="1" t="n">
        <v>0.31149888</v>
      </c>
      <c r="L416" s="1" t="n">
        <v>0.306577682</v>
      </c>
      <c r="M416" s="1" t="n">
        <v>0.310304165</v>
      </c>
      <c r="N416" s="1" t="n">
        <v>0.303608418</v>
      </c>
      <c r="O416" s="1" t="n">
        <v>0.314528942</v>
      </c>
      <c r="P416" s="1" t="n">
        <v>0.308097839</v>
      </c>
      <c r="R416" s="1" t="n">
        <f aca="false">PERCENTILE(G416:P416,0.9)</f>
        <v>0.3140824079</v>
      </c>
      <c r="S416" s="5" t="n">
        <f aca="false">spmv_1!R$14/R416</f>
        <v>3.51673361804993</v>
      </c>
      <c r="T416" s="6" t="n">
        <f aca="false">S416/128</f>
        <v>0.0274744813910151</v>
      </c>
    </row>
    <row r="417" customFormat="false" ht="15" hidden="false" customHeight="false" outlineLevel="0" collapsed="false">
      <c r="A417" s="1" t="s">
        <v>18</v>
      </c>
      <c r="B417" s="1" t="n">
        <v>22</v>
      </c>
      <c r="D417" s="1" t="n">
        <v>6049575</v>
      </c>
      <c r="E417" s="1" t="n">
        <v>0.039556</v>
      </c>
      <c r="G417" s="1" t="n">
        <v>0.311197758</v>
      </c>
      <c r="H417" s="1" t="n">
        <v>0.304156303</v>
      </c>
      <c r="I417" s="1" t="n">
        <v>0.308941126</v>
      </c>
      <c r="J417" s="1" t="n">
        <v>0.299584866</v>
      </c>
      <c r="K417" s="1" t="n">
        <v>0.308603764</v>
      </c>
      <c r="L417" s="1" t="n">
        <v>0.303572178</v>
      </c>
      <c r="M417" s="1" t="n">
        <v>0.307202101</v>
      </c>
      <c r="N417" s="1" t="n">
        <v>0.30092144</v>
      </c>
      <c r="O417" s="1" t="n">
        <v>0.311013222</v>
      </c>
      <c r="P417" s="1" t="n">
        <v>0.303538561</v>
      </c>
      <c r="R417" s="1" t="n">
        <f aca="false">PERCENTILE(G417:P417,0.9)</f>
        <v>0.3110316756</v>
      </c>
      <c r="S417" s="5" t="n">
        <f aca="false">spmv_1!R$14/R417</f>
        <v>3.5512272522381</v>
      </c>
      <c r="T417" s="6" t="n">
        <f aca="false">S417/128</f>
        <v>0.0277439629081102</v>
      </c>
    </row>
    <row r="418" customFormat="false" ht="15" hidden="false" customHeight="false" outlineLevel="0" collapsed="false">
      <c r="A418" s="1" t="s">
        <v>18</v>
      </c>
      <c r="B418" s="1" t="n">
        <v>23</v>
      </c>
      <c r="D418" s="1" t="n">
        <v>6050652</v>
      </c>
      <c r="E418" s="1" t="n">
        <v>0.039632</v>
      </c>
      <c r="G418" s="1" t="n">
        <v>0.310556173</v>
      </c>
      <c r="H418" s="1" t="n">
        <v>0.303747177</v>
      </c>
      <c r="I418" s="1" t="n">
        <v>0.309941053</v>
      </c>
      <c r="J418" s="1" t="n">
        <v>0.299091339</v>
      </c>
      <c r="K418" s="1" t="n">
        <v>0.307169199</v>
      </c>
      <c r="L418" s="1" t="n">
        <v>0.302053928</v>
      </c>
      <c r="M418" s="1" t="n">
        <v>0.306093931</v>
      </c>
      <c r="N418" s="1" t="n">
        <v>0.299342155</v>
      </c>
      <c r="O418" s="1" t="n">
        <v>0.310850859</v>
      </c>
      <c r="P418" s="1" t="n">
        <v>0.304568529</v>
      </c>
      <c r="R418" s="1" t="n">
        <f aca="false">PERCENTILE(G418:P418,0.9)</f>
        <v>0.3105856416</v>
      </c>
      <c r="S418" s="5" t="n">
        <f aca="false">spmv_1!R$14/R418</f>
        <v>3.55632719210675</v>
      </c>
      <c r="T418" s="6" t="n">
        <f aca="false">S418/128</f>
        <v>0.027783806188334</v>
      </c>
    </row>
    <row r="419" customFormat="false" ht="15" hidden="false" customHeight="false" outlineLevel="0" collapsed="false">
      <c r="A419" s="1" t="s">
        <v>18</v>
      </c>
      <c r="B419" s="1" t="n">
        <v>24</v>
      </c>
      <c r="D419" s="1" t="n">
        <v>6051729</v>
      </c>
      <c r="E419" s="1" t="n">
        <v>0.040071</v>
      </c>
      <c r="G419" s="1" t="n">
        <v>0.307612658</v>
      </c>
      <c r="H419" s="1" t="n">
        <v>0.300601721</v>
      </c>
      <c r="I419" s="1" t="n">
        <v>0.309448481</v>
      </c>
      <c r="J419" s="1" t="n">
        <v>0.296688318</v>
      </c>
      <c r="K419" s="1" t="n">
        <v>0.304595232</v>
      </c>
      <c r="L419" s="1" t="n">
        <v>0.299237013</v>
      </c>
      <c r="M419" s="1" t="n">
        <v>0.303768635</v>
      </c>
      <c r="N419" s="1" t="n">
        <v>0.297938824</v>
      </c>
      <c r="O419" s="1" t="n">
        <v>0.301027298</v>
      </c>
      <c r="P419" s="1" t="n">
        <v>0.299550295</v>
      </c>
      <c r="R419" s="1" t="n">
        <f aca="false">PERCENTILE(G419:P419,0.9)</f>
        <v>0.3077962403</v>
      </c>
      <c r="S419" s="5" t="n">
        <f aca="false">spmv_1!R$14/R419</f>
        <v>3.58855638270121</v>
      </c>
      <c r="T419" s="6" t="n">
        <f aca="false">S419/128</f>
        <v>0.0280355967398532</v>
      </c>
    </row>
    <row r="420" customFormat="false" ht="15" hidden="false" customHeight="false" outlineLevel="0" collapsed="false">
      <c r="A420" s="1" t="s">
        <v>18</v>
      </c>
      <c r="B420" s="1" t="n">
        <v>25</v>
      </c>
      <c r="D420" s="1" t="n">
        <v>6051729</v>
      </c>
      <c r="E420" s="1" t="n">
        <v>0.041717</v>
      </c>
      <c r="G420" s="1" t="n">
        <v>0.29548955</v>
      </c>
      <c r="H420" s="1" t="n">
        <v>0.287096739</v>
      </c>
      <c r="I420" s="1" t="n">
        <v>0.299252033</v>
      </c>
      <c r="J420" s="1" t="n">
        <v>0.283354521</v>
      </c>
      <c r="K420" s="1" t="n">
        <v>0.292915106</v>
      </c>
      <c r="L420" s="1" t="n">
        <v>0.286910534</v>
      </c>
      <c r="M420" s="1" t="n">
        <v>0.292236567</v>
      </c>
      <c r="N420" s="1" t="n">
        <v>0.286538601</v>
      </c>
      <c r="O420" s="1" t="n">
        <v>0.289067507</v>
      </c>
      <c r="P420" s="1" t="n">
        <v>0.288480759</v>
      </c>
      <c r="R420" s="1" t="n">
        <f aca="false">PERCENTILE(G420:P420,0.9)</f>
        <v>0.2958657983</v>
      </c>
      <c r="S420" s="5" t="n">
        <f aca="false">spmv_1!R$14/R420</f>
        <v>3.73326071836131</v>
      </c>
      <c r="T420" s="6" t="n">
        <f aca="false">S420/128</f>
        <v>0.0291660993621977</v>
      </c>
    </row>
    <row r="421" customFormat="false" ht="15" hidden="false" customHeight="false" outlineLevel="0" collapsed="false">
      <c r="A421" s="1" t="s">
        <v>18</v>
      </c>
      <c r="B421" s="1" t="n">
        <v>26</v>
      </c>
      <c r="D421" s="1" t="n">
        <v>6050652</v>
      </c>
      <c r="E421" s="1" t="n">
        <v>0.040358</v>
      </c>
      <c r="G421" s="1" t="n">
        <v>0.305309057</v>
      </c>
      <c r="H421" s="1" t="n">
        <v>0.299415112</v>
      </c>
      <c r="I421" s="1" t="n">
        <v>0.307441235</v>
      </c>
      <c r="J421" s="1" t="n">
        <v>0.294100761</v>
      </c>
      <c r="K421" s="1" t="n">
        <v>0.30211544</v>
      </c>
      <c r="L421" s="1" t="n">
        <v>0.29677248</v>
      </c>
      <c r="M421" s="1" t="n">
        <v>0.301677704</v>
      </c>
      <c r="N421" s="1" t="n">
        <v>0.295837164</v>
      </c>
      <c r="O421" s="1" t="n">
        <v>0.298636675</v>
      </c>
      <c r="P421" s="1" t="n">
        <v>0.297204733</v>
      </c>
      <c r="R421" s="1" t="n">
        <f aca="false">PERCENTILE(G421:P421,0.9)</f>
        <v>0.3055222748</v>
      </c>
      <c r="S421" s="5" t="n">
        <f aca="false">spmv_1!R$14/R421</f>
        <v>3.61526557571965</v>
      </c>
      <c r="T421" s="6" t="n">
        <f aca="false">S421/128</f>
        <v>0.0282442623103098</v>
      </c>
    </row>
    <row r="422" customFormat="false" ht="15" hidden="false" customHeight="false" outlineLevel="0" collapsed="false">
      <c r="A422" s="1" t="s">
        <v>18</v>
      </c>
      <c r="B422" s="1" t="n">
        <v>27</v>
      </c>
      <c r="D422" s="1" t="n">
        <v>6049575</v>
      </c>
      <c r="E422" s="1" t="n">
        <v>0.040626</v>
      </c>
      <c r="G422" s="1" t="n">
        <v>0.303377628</v>
      </c>
      <c r="H422" s="1" t="n">
        <v>0.297920942</v>
      </c>
      <c r="I422" s="1" t="n">
        <v>0.30584383</v>
      </c>
      <c r="J422" s="1" t="n">
        <v>0.292619944</v>
      </c>
      <c r="K422" s="1" t="n">
        <v>0.300007343</v>
      </c>
      <c r="L422" s="1" t="n">
        <v>0.294677734</v>
      </c>
      <c r="M422" s="1" t="n">
        <v>0.299501181</v>
      </c>
      <c r="N422" s="1" t="n">
        <v>0.294245243</v>
      </c>
      <c r="O422" s="1" t="n">
        <v>0.296156406</v>
      </c>
      <c r="P422" s="1" t="n">
        <v>0.293835402</v>
      </c>
      <c r="R422" s="1" t="n">
        <f aca="false">PERCENTILE(G422:P422,0.9)</f>
        <v>0.3036242482</v>
      </c>
      <c r="S422" s="5" t="n">
        <f aca="false">spmv_1!R$14/R422</f>
        <v>3.63786545128776</v>
      </c>
      <c r="T422" s="6" t="n">
        <f aca="false">S422/128</f>
        <v>0.0284208238381856</v>
      </c>
    </row>
    <row r="423" customFormat="false" ht="15" hidden="false" customHeight="false" outlineLevel="0" collapsed="false">
      <c r="A423" s="1" t="s">
        <v>18</v>
      </c>
      <c r="B423" s="1" t="n">
        <v>28</v>
      </c>
      <c r="D423" s="1" t="n">
        <v>6048498</v>
      </c>
      <c r="E423" s="1" t="n">
        <v>0.040766</v>
      </c>
      <c r="G423" s="1" t="n">
        <v>0.303865671</v>
      </c>
      <c r="H423" s="1" t="n">
        <v>0.296419382</v>
      </c>
      <c r="I423" s="1" t="n">
        <v>0.304952621</v>
      </c>
      <c r="J423" s="1" t="n">
        <v>0.29137373</v>
      </c>
      <c r="K423" s="1" t="n">
        <v>0.298685074</v>
      </c>
      <c r="L423" s="1" t="n">
        <v>0.293533802</v>
      </c>
      <c r="M423" s="1" t="n">
        <v>0.298492193</v>
      </c>
      <c r="N423" s="1" t="n">
        <v>0.292557955</v>
      </c>
      <c r="O423" s="1" t="n">
        <v>0.294775009</v>
      </c>
      <c r="P423" s="1" t="n">
        <v>0.292767048</v>
      </c>
      <c r="R423" s="1" t="n">
        <f aca="false">PERCENTILE(G423:P423,0.9)</f>
        <v>0.303974366</v>
      </c>
      <c r="S423" s="5" t="n">
        <f aca="false">spmv_1!R$14/R423</f>
        <v>3.63367535636212</v>
      </c>
      <c r="T423" s="6" t="n">
        <f aca="false">S423/128</f>
        <v>0.0283880887215791</v>
      </c>
    </row>
    <row r="424" customFormat="false" ht="15" hidden="false" customHeight="false" outlineLevel="0" collapsed="false">
      <c r="A424" s="1" t="s">
        <v>18</v>
      </c>
      <c r="B424" s="1" t="n">
        <v>29</v>
      </c>
      <c r="D424" s="1" t="n">
        <v>6048498</v>
      </c>
      <c r="E424" s="1" t="n">
        <v>0.042392</v>
      </c>
      <c r="G424" s="1" t="n">
        <v>0.290878773</v>
      </c>
      <c r="H424" s="1" t="n">
        <v>0.282489777</v>
      </c>
      <c r="I424" s="1" t="n">
        <v>0.293912411</v>
      </c>
      <c r="J424" s="1" t="n">
        <v>0.279711246</v>
      </c>
      <c r="K424" s="1" t="n">
        <v>0.288116455</v>
      </c>
      <c r="L424" s="1" t="n">
        <v>0.282583475</v>
      </c>
      <c r="M424" s="1" t="n">
        <v>0.286678314</v>
      </c>
      <c r="N424" s="1" t="n">
        <v>0.280784845</v>
      </c>
      <c r="O424" s="1" t="n">
        <v>0.283909559</v>
      </c>
      <c r="P424" s="1" t="n">
        <v>0.284517527</v>
      </c>
      <c r="R424" s="1" t="n">
        <f aca="false">PERCENTILE(G424:P424,0.9)</f>
        <v>0.2911821368</v>
      </c>
      <c r="S424" s="5" t="n">
        <f aca="false">spmv_1!R$14/R424</f>
        <v>3.79331017636794</v>
      </c>
      <c r="T424" s="6" t="n">
        <f aca="false">S424/128</f>
        <v>0.0296352357528745</v>
      </c>
    </row>
    <row r="425" customFormat="false" ht="15" hidden="false" customHeight="false" outlineLevel="0" collapsed="false">
      <c r="A425" s="1" t="s">
        <v>18</v>
      </c>
      <c r="B425" s="1" t="n">
        <v>30</v>
      </c>
      <c r="D425" s="1" t="n">
        <v>6049216</v>
      </c>
      <c r="E425" s="1" t="n">
        <v>0.04273</v>
      </c>
      <c r="G425" s="1" t="n">
        <v>0.288774729</v>
      </c>
      <c r="H425" s="1" t="n">
        <v>0.28062582</v>
      </c>
      <c r="I425" s="1" t="n">
        <v>0.292494297</v>
      </c>
      <c r="J425" s="1" t="n">
        <v>0.277921677</v>
      </c>
      <c r="K425" s="1" t="n">
        <v>0.286319256</v>
      </c>
      <c r="L425" s="1" t="n">
        <v>0.281493902</v>
      </c>
      <c r="M425" s="1" t="n">
        <v>0.28432703</v>
      </c>
      <c r="N425" s="1" t="n">
        <v>0.278924704</v>
      </c>
      <c r="O425" s="1" t="n">
        <v>0.280761957</v>
      </c>
      <c r="P425" s="1" t="n">
        <v>0.279749155</v>
      </c>
      <c r="R425" s="1" t="n">
        <f aca="false">PERCENTILE(G425:P425,0.9)</f>
        <v>0.2891466858</v>
      </c>
      <c r="S425" s="5" t="n">
        <f aca="false">spmv_1!R$14/R425</f>
        <v>3.8200132214692</v>
      </c>
      <c r="T425" s="6" t="n">
        <f aca="false">S425/128</f>
        <v>0.0298438532927281</v>
      </c>
    </row>
    <row r="426" customFormat="false" ht="15" hidden="false" customHeight="false" outlineLevel="0" collapsed="false">
      <c r="A426" s="1" t="s">
        <v>18</v>
      </c>
      <c r="B426" s="1" t="n">
        <v>31</v>
      </c>
      <c r="D426" s="1" t="n">
        <v>6049574</v>
      </c>
      <c r="E426" s="1" t="n">
        <v>0.040843</v>
      </c>
      <c r="G426" s="1" t="n">
        <v>0.300811052</v>
      </c>
      <c r="H426" s="1" t="n">
        <v>0.296109438</v>
      </c>
      <c r="I426" s="1" t="n">
        <v>0.303780794</v>
      </c>
      <c r="J426" s="1" t="n">
        <v>0.2934587</v>
      </c>
      <c r="K426" s="1" t="n">
        <v>0.297360182</v>
      </c>
      <c r="L426" s="1" t="n">
        <v>0.294160843</v>
      </c>
      <c r="M426" s="1" t="n">
        <v>0.29634738</v>
      </c>
      <c r="N426" s="1" t="n">
        <v>0.291422129</v>
      </c>
      <c r="O426" s="1" t="n">
        <v>0.295081377</v>
      </c>
      <c r="P426" s="1" t="n">
        <v>0.293842554</v>
      </c>
      <c r="R426" s="1" t="n">
        <f aca="false">PERCENTILE(G426:P426,0.9)</f>
        <v>0.3011080262</v>
      </c>
      <c r="S426" s="5" t="n">
        <f aca="false">spmv_1!R$14/R426</f>
        <v>3.66826542832288</v>
      </c>
      <c r="T426" s="6" t="n">
        <f aca="false">S426/128</f>
        <v>0.0286583236587725</v>
      </c>
    </row>
    <row r="427" customFormat="false" ht="15" hidden="false" customHeight="false" outlineLevel="0" collapsed="false">
      <c r="A427" s="1" t="s">
        <v>18</v>
      </c>
      <c r="B427" s="1" t="n">
        <v>32</v>
      </c>
      <c r="D427" s="1" t="n">
        <v>6049574</v>
      </c>
      <c r="E427" s="1" t="n">
        <v>0.042843</v>
      </c>
      <c r="G427" s="1" t="n">
        <v>0.285299301</v>
      </c>
      <c r="H427" s="1" t="n">
        <v>0.280537844</v>
      </c>
      <c r="I427" s="1" t="n">
        <v>0.291904926</v>
      </c>
      <c r="J427" s="1" t="n">
        <v>0.279833078</v>
      </c>
      <c r="K427" s="1" t="n">
        <v>0.283370972</v>
      </c>
      <c r="L427" s="1" t="n">
        <v>0.279815435</v>
      </c>
      <c r="M427" s="1" t="n">
        <v>0.281013489</v>
      </c>
      <c r="N427" s="1" t="n">
        <v>0.280684233</v>
      </c>
      <c r="O427" s="1" t="n">
        <v>0.281844139</v>
      </c>
      <c r="P427" s="1" t="n">
        <v>0.27974987</v>
      </c>
      <c r="R427" s="1" t="n">
        <f aca="false">PERCENTILE(G427:P427,0.9)</f>
        <v>0.2859598635</v>
      </c>
      <c r="S427" s="5" t="n">
        <f aca="false">spmv_1!R$14/R427</f>
        <v>3.86258459205063</v>
      </c>
      <c r="T427" s="6" t="n">
        <f aca="false">S427/128</f>
        <v>0.0301764421253955</v>
      </c>
    </row>
    <row r="428" customFormat="false" ht="15" hidden="false" customHeight="false" outlineLevel="0" collapsed="false">
      <c r="A428" s="1" t="s">
        <v>18</v>
      </c>
      <c r="B428" s="1" t="n">
        <v>33</v>
      </c>
      <c r="D428" s="1" t="n">
        <v>6049216</v>
      </c>
      <c r="E428" s="1" t="n">
        <v>0.042904</v>
      </c>
      <c r="G428" s="1" t="n">
        <v>0.283117294</v>
      </c>
      <c r="H428" s="1" t="n">
        <v>0.278764963</v>
      </c>
      <c r="I428" s="1" t="n">
        <v>0.290956259</v>
      </c>
      <c r="J428" s="1" t="n">
        <v>0.282495499</v>
      </c>
      <c r="K428" s="1" t="n">
        <v>0.28133297</v>
      </c>
      <c r="L428" s="1" t="n">
        <v>0.279800892</v>
      </c>
      <c r="M428" s="1" t="n">
        <v>0.284047842</v>
      </c>
      <c r="N428" s="1" t="n">
        <v>0.279697895</v>
      </c>
      <c r="O428" s="1" t="n">
        <v>0.28081131</v>
      </c>
      <c r="P428" s="1" t="n">
        <v>0.278866768</v>
      </c>
      <c r="R428" s="1" t="n">
        <f aca="false">PERCENTILE(G428:P428,0.9)</f>
        <v>0.2847386837</v>
      </c>
      <c r="S428" s="5" t="n">
        <f aca="false">spmv_1!R$14/R428</f>
        <v>3.87915034356113</v>
      </c>
      <c r="T428" s="6" t="n">
        <f aca="false">S428/128</f>
        <v>0.0303058620590714</v>
      </c>
    </row>
    <row r="429" customFormat="false" ht="15" hidden="false" customHeight="false" outlineLevel="0" collapsed="false">
      <c r="A429" s="1" t="s">
        <v>18</v>
      </c>
      <c r="B429" s="1" t="n">
        <v>34</v>
      </c>
      <c r="D429" s="1" t="n">
        <v>6048498</v>
      </c>
      <c r="E429" s="1" t="n">
        <v>0.042948</v>
      </c>
      <c r="G429" s="1" t="n">
        <v>0.281366348</v>
      </c>
      <c r="H429" s="1" t="n">
        <v>0.279227018</v>
      </c>
      <c r="I429" s="1" t="n">
        <v>0.28915906</v>
      </c>
      <c r="J429" s="1" t="n">
        <v>0.284003735</v>
      </c>
      <c r="K429" s="1" t="n">
        <v>0.282353401</v>
      </c>
      <c r="L429" s="1" t="n">
        <v>0.28080225</v>
      </c>
      <c r="M429" s="1" t="n">
        <v>0.285857201</v>
      </c>
      <c r="N429" s="1" t="n">
        <v>0.277808666</v>
      </c>
      <c r="O429" s="1" t="n">
        <v>0.278984308</v>
      </c>
      <c r="P429" s="1" t="n">
        <v>0.277115583</v>
      </c>
      <c r="R429" s="1" t="n">
        <f aca="false">PERCENTILE(G429:P429,0.9)</f>
        <v>0.2861873869</v>
      </c>
      <c r="S429" s="5" t="n">
        <f aca="false">spmv_1!R$14/R429</f>
        <v>3.85951377754447</v>
      </c>
      <c r="T429" s="6" t="n">
        <f aca="false">S429/128</f>
        <v>0.0301524513870662</v>
      </c>
    </row>
    <row r="430" customFormat="false" ht="15" hidden="false" customHeight="false" outlineLevel="0" collapsed="false">
      <c r="A430" s="1" t="s">
        <v>18</v>
      </c>
      <c r="B430" s="1" t="n">
        <v>35</v>
      </c>
      <c r="D430" s="1" t="n">
        <v>6048498</v>
      </c>
      <c r="E430" s="1" t="n">
        <v>0.042905</v>
      </c>
      <c r="G430" s="1" t="n">
        <v>0.278154373</v>
      </c>
      <c r="H430" s="1" t="n">
        <v>0.281018496</v>
      </c>
      <c r="I430" s="1" t="n">
        <v>0.287593842</v>
      </c>
      <c r="J430" s="1" t="n">
        <v>0.28633976</v>
      </c>
      <c r="K430" s="1" t="n">
        <v>0.284055948</v>
      </c>
      <c r="L430" s="1" t="n">
        <v>0.283018112</v>
      </c>
      <c r="M430" s="1" t="n">
        <v>0.288823605</v>
      </c>
      <c r="N430" s="1" t="n">
        <v>0.277005672</v>
      </c>
      <c r="O430" s="1" t="n">
        <v>0.277548075</v>
      </c>
      <c r="P430" s="1" t="n">
        <v>0.275900602</v>
      </c>
      <c r="R430" s="1" t="n">
        <f aca="false">PERCENTILE(G430:P430,0.9)</f>
        <v>0.2877168183</v>
      </c>
      <c r="S430" s="5" t="n">
        <f aca="false">spmv_1!R$14/R430</f>
        <v>3.83899755748133</v>
      </c>
      <c r="T430" s="6" t="n">
        <f aca="false">S430/128</f>
        <v>0.0299921684178229</v>
      </c>
    </row>
    <row r="431" customFormat="false" ht="15" hidden="false" customHeight="false" outlineLevel="0" collapsed="false">
      <c r="A431" s="1" t="s">
        <v>18</v>
      </c>
      <c r="B431" s="1" t="n">
        <v>36</v>
      </c>
      <c r="D431" s="1" t="n">
        <v>6049575</v>
      </c>
      <c r="E431" s="1" t="n">
        <v>0.0429</v>
      </c>
      <c r="G431" s="1" t="n">
        <v>0.276468992</v>
      </c>
      <c r="H431" s="1" t="n">
        <v>0.283345938</v>
      </c>
      <c r="I431" s="1" t="n">
        <v>0.288216829</v>
      </c>
      <c r="J431" s="1" t="n">
        <v>0.287136316</v>
      </c>
      <c r="K431" s="1" t="n">
        <v>0.286114454</v>
      </c>
      <c r="L431" s="1" t="n">
        <v>0.284389973</v>
      </c>
      <c r="M431" s="1" t="n">
        <v>0.289991379</v>
      </c>
      <c r="N431" s="1" t="n">
        <v>0.274952412</v>
      </c>
      <c r="O431" s="1" t="n">
        <v>0.275566578</v>
      </c>
      <c r="P431" s="1" t="n">
        <v>0.274147272</v>
      </c>
      <c r="R431" s="1" t="n">
        <f aca="false">PERCENTILE(G431:P431,0.9)</f>
        <v>0.288394284</v>
      </c>
      <c r="S431" s="5" t="n">
        <f aca="false">spmv_1!R$14/R431</f>
        <v>3.82997938579116</v>
      </c>
      <c r="T431" s="6" t="n">
        <f aca="false">S431/128</f>
        <v>0.0299217139514934</v>
      </c>
    </row>
    <row r="432" customFormat="false" ht="15" hidden="false" customHeight="false" outlineLevel="0" collapsed="false">
      <c r="A432" s="1" t="s">
        <v>18</v>
      </c>
      <c r="B432" s="1" t="n">
        <v>37</v>
      </c>
      <c r="D432" s="1" t="n">
        <v>6050652</v>
      </c>
      <c r="E432" s="1" t="n">
        <v>0.042907</v>
      </c>
      <c r="G432" s="1" t="n">
        <v>0.274184942</v>
      </c>
      <c r="H432" s="1" t="n">
        <v>0.284677505</v>
      </c>
      <c r="I432" s="1" t="n">
        <v>0.288823843</v>
      </c>
      <c r="J432" s="1" t="n">
        <v>0.288776398</v>
      </c>
      <c r="K432" s="1" t="n">
        <v>0.287691116</v>
      </c>
      <c r="L432" s="1" t="n">
        <v>0.284912348</v>
      </c>
      <c r="M432" s="1" t="n">
        <v>0.291898489</v>
      </c>
      <c r="N432" s="1" t="n">
        <v>0.272828817</v>
      </c>
      <c r="O432" s="1" t="n">
        <v>0.272723675</v>
      </c>
      <c r="P432" s="1" t="n">
        <v>0.273863077</v>
      </c>
      <c r="R432" s="1" t="n">
        <f aca="false">PERCENTILE(G432:P432,0.9)</f>
        <v>0.2891313076</v>
      </c>
      <c r="S432" s="5" t="n">
        <f aca="false">spmv_1!R$14/R432</f>
        <v>3.82021639879998</v>
      </c>
      <c r="T432" s="6" t="n">
        <f aca="false">S432/128</f>
        <v>0.0298454406156248</v>
      </c>
    </row>
    <row r="433" customFormat="false" ht="15" hidden="false" customHeight="false" outlineLevel="0" collapsed="false">
      <c r="A433" s="1" t="s">
        <v>18</v>
      </c>
      <c r="B433" s="1" t="n">
        <v>38</v>
      </c>
      <c r="D433" s="1" t="n">
        <v>6051729</v>
      </c>
      <c r="E433" s="1" t="n">
        <v>0.042503</v>
      </c>
      <c r="G433" s="1" t="n">
        <v>0.273403406</v>
      </c>
      <c r="H433" s="1" t="n">
        <v>0.287506819</v>
      </c>
      <c r="I433" s="1" t="n">
        <v>0.292244911</v>
      </c>
      <c r="J433" s="1" t="n">
        <v>0.292243958</v>
      </c>
      <c r="K433" s="1" t="n">
        <v>0.291527033</v>
      </c>
      <c r="L433" s="1" t="n">
        <v>0.288058043</v>
      </c>
      <c r="M433" s="1" t="n">
        <v>0.295506239</v>
      </c>
      <c r="N433" s="1" t="n">
        <v>0.273808479</v>
      </c>
      <c r="O433" s="1" t="n">
        <v>0.275764465</v>
      </c>
      <c r="P433" s="1" t="n">
        <v>0.277637243</v>
      </c>
      <c r="R433" s="1" t="n">
        <f aca="false">PERCENTILE(G433:P433,0.9)</f>
        <v>0.2925710438</v>
      </c>
      <c r="S433" s="5" t="n">
        <f aca="false">spmv_1!R$14/R433</f>
        <v>3.77530239614232</v>
      </c>
      <c r="T433" s="6" t="n">
        <f aca="false">S433/128</f>
        <v>0.0294945499698619</v>
      </c>
    </row>
    <row r="434" customFormat="false" ht="15" hidden="false" customHeight="false" outlineLevel="0" collapsed="false">
      <c r="A434" s="1" t="s">
        <v>18</v>
      </c>
      <c r="B434" s="1" t="n">
        <v>39</v>
      </c>
      <c r="D434" s="1" t="n">
        <v>6051729</v>
      </c>
      <c r="E434" s="1" t="n">
        <v>0.042393</v>
      </c>
      <c r="G434" s="1" t="n">
        <v>0.272763014</v>
      </c>
      <c r="H434" s="1" t="n">
        <v>0.289270163</v>
      </c>
      <c r="I434" s="1" t="n">
        <v>0.293694496</v>
      </c>
      <c r="J434" s="1" t="n">
        <v>0.29339838</v>
      </c>
      <c r="K434" s="1" t="n">
        <v>0.293024778</v>
      </c>
      <c r="L434" s="1" t="n">
        <v>0.28908968</v>
      </c>
      <c r="M434" s="1" t="n">
        <v>0.29669857</v>
      </c>
      <c r="N434" s="1" t="n">
        <v>0.274303913</v>
      </c>
      <c r="O434" s="1" t="n">
        <v>0.275587797</v>
      </c>
      <c r="P434" s="1" t="n">
        <v>0.277236938</v>
      </c>
      <c r="R434" s="1" t="n">
        <f aca="false">PERCENTILE(G434:P434,0.9)</f>
        <v>0.2939949034</v>
      </c>
      <c r="S434" s="5" t="n">
        <f aca="false">spmv_1!R$14/R434</f>
        <v>3.75701806366756</v>
      </c>
      <c r="T434" s="6" t="n">
        <f aca="false">S434/128</f>
        <v>0.0293517036224028</v>
      </c>
    </row>
    <row r="435" customFormat="false" ht="15" hidden="false" customHeight="false" outlineLevel="0" collapsed="false">
      <c r="A435" s="1" t="s">
        <v>18</v>
      </c>
      <c r="B435" s="1" t="n">
        <v>40</v>
      </c>
      <c r="D435" s="1" t="n">
        <v>6050652</v>
      </c>
      <c r="E435" s="1" t="n">
        <v>0.041941</v>
      </c>
      <c r="G435" s="1" t="n">
        <v>0.275587559</v>
      </c>
      <c r="H435" s="1" t="n">
        <v>0.29193759</v>
      </c>
      <c r="I435" s="1" t="n">
        <v>0.296453238</v>
      </c>
      <c r="J435" s="1" t="n">
        <v>0.296621561</v>
      </c>
      <c r="K435" s="1" t="n">
        <v>0.295796156</v>
      </c>
      <c r="L435" s="1" t="n">
        <v>0.291984558</v>
      </c>
      <c r="M435" s="1" t="n">
        <v>0.299514771</v>
      </c>
      <c r="N435" s="1" t="n">
        <v>0.277675629</v>
      </c>
      <c r="O435" s="1" t="n">
        <v>0.279579878</v>
      </c>
      <c r="P435" s="1" t="n">
        <v>0.280194283</v>
      </c>
      <c r="R435" s="1" t="n">
        <f aca="false">PERCENTILE(G435:P435,0.9)</f>
        <v>0.296910882</v>
      </c>
      <c r="S435" s="5" t="n">
        <f aca="false">spmv_1!R$14/R435</f>
        <v>3.72012017632954</v>
      </c>
      <c r="T435" s="6" t="n">
        <f aca="false">S435/128</f>
        <v>0.0290634388775746</v>
      </c>
    </row>
    <row r="436" customFormat="false" ht="15" hidden="false" customHeight="false" outlineLevel="0" collapsed="false">
      <c r="A436" s="1" t="s">
        <v>18</v>
      </c>
      <c r="B436" s="1" t="n">
        <v>41</v>
      </c>
      <c r="D436" s="1" t="n">
        <v>6049575</v>
      </c>
      <c r="E436" s="1" t="n">
        <v>0.041684</v>
      </c>
      <c r="G436" s="1" t="n">
        <v>0.277374983</v>
      </c>
      <c r="H436" s="1" t="n">
        <v>0.293657303</v>
      </c>
      <c r="I436" s="1" t="n">
        <v>0.298425674</v>
      </c>
      <c r="J436" s="1" t="n">
        <v>0.298658609</v>
      </c>
      <c r="K436" s="1" t="n">
        <v>0.297333241</v>
      </c>
      <c r="L436" s="1" t="n">
        <v>0.293575525</v>
      </c>
      <c r="M436" s="1" t="n">
        <v>0.30121088</v>
      </c>
      <c r="N436" s="1" t="n">
        <v>0.279254675</v>
      </c>
      <c r="O436" s="1" t="n">
        <v>0.281126499</v>
      </c>
      <c r="P436" s="1" t="n">
        <v>0.281946182</v>
      </c>
      <c r="R436" s="1" t="n">
        <f aca="false">PERCENTILE(G436:P436,0.9)</f>
        <v>0.2989138361</v>
      </c>
      <c r="S436" s="5" t="n">
        <f aca="false">spmv_1!R$14/R436</f>
        <v>3.69519249129198</v>
      </c>
      <c r="T436" s="6" t="n">
        <f aca="false">S436/128</f>
        <v>0.0288686913382186</v>
      </c>
    </row>
    <row r="437" customFormat="false" ht="15" hidden="false" customHeight="false" outlineLevel="0" collapsed="false">
      <c r="A437" s="1" t="s">
        <v>18</v>
      </c>
      <c r="B437" s="1" t="n">
        <v>42</v>
      </c>
      <c r="D437" s="1" t="n">
        <v>6048498</v>
      </c>
      <c r="E437" s="1" t="n">
        <v>0.041471</v>
      </c>
      <c r="G437" s="1" t="n">
        <v>0.278343201</v>
      </c>
      <c r="H437" s="1" t="n">
        <v>0.295778513</v>
      </c>
      <c r="I437" s="1" t="n">
        <v>0.300040483</v>
      </c>
      <c r="J437" s="1" t="n">
        <v>0.29968071</v>
      </c>
      <c r="K437" s="1" t="n">
        <v>0.299217463</v>
      </c>
      <c r="L437" s="1" t="n">
        <v>0.295235395</v>
      </c>
      <c r="M437" s="1" t="n">
        <v>0.302979469</v>
      </c>
      <c r="N437" s="1" t="n">
        <v>0.280525684</v>
      </c>
      <c r="O437" s="1" t="n">
        <v>0.281963825</v>
      </c>
      <c r="P437" s="1" t="n">
        <v>0.283199787</v>
      </c>
      <c r="R437" s="1" t="n">
        <f aca="false">PERCENTILE(G437:P437,0.9)</f>
        <v>0.3003343816</v>
      </c>
      <c r="S437" s="5" t="n">
        <f aca="false">spmv_1!R$14/R437</f>
        <v>3.67771467527513</v>
      </c>
      <c r="T437" s="6" t="n">
        <f aca="false">S437/128</f>
        <v>0.0287321459005869</v>
      </c>
    </row>
    <row r="438" customFormat="false" ht="15" hidden="false" customHeight="false" outlineLevel="0" collapsed="false">
      <c r="A438" s="1" t="s">
        <v>18</v>
      </c>
      <c r="B438" s="1" t="n">
        <v>43</v>
      </c>
      <c r="D438" s="1" t="n">
        <v>6048498</v>
      </c>
      <c r="E438" s="1" t="n">
        <v>0.04125</v>
      </c>
      <c r="G438" s="1" t="n">
        <v>0.279708624</v>
      </c>
      <c r="H438" s="1" t="n">
        <v>0.297568798</v>
      </c>
      <c r="I438" s="1" t="n">
        <v>0.301738501</v>
      </c>
      <c r="J438" s="1" t="n">
        <v>0.302051783</v>
      </c>
      <c r="K438" s="1" t="n">
        <v>0.300666571</v>
      </c>
      <c r="L438" s="1" t="n">
        <v>0.296635389</v>
      </c>
      <c r="M438" s="1" t="n">
        <v>0.304558754</v>
      </c>
      <c r="N438" s="1" t="n">
        <v>0.282250881</v>
      </c>
      <c r="O438" s="1" t="n">
        <v>0.28380084</v>
      </c>
      <c r="P438" s="1" t="n">
        <v>0.28358984</v>
      </c>
      <c r="R438" s="1" t="n">
        <f aca="false">PERCENTILE(G438:P438,0.9)</f>
        <v>0.3023024801</v>
      </c>
      <c r="S438" s="5" t="n">
        <f aca="false">spmv_1!R$14/R438</f>
        <v>3.65377142236684</v>
      </c>
      <c r="T438" s="6" t="n">
        <f aca="false">S438/128</f>
        <v>0.0285450892372409</v>
      </c>
    </row>
    <row r="439" customFormat="false" ht="15" hidden="false" customHeight="false" outlineLevel="0" collapsed="false">
      <c r="A439" s="1" t="s">
        <v>18</v>
      </c>
      <c r="B439" s="1" t="n">
        <v>44</v>
      </c>
      <c r="D439" s="1" t="n">
        <v>6049575</v>
      </c>
      <c r="E439" s="1" t="n">
        <v>0.041178</v>
      </c>
      <c r="G439" s="1" t="n">
        <v>0.280243158</v>
      </c>
      <c r="H439" s="1" t="n">
        <v>0.297359467</v>
      </c>
      <c r="I439" s="1" t="n">
        <v>0.303032637</v>
      </c>
      <c r="J439" s="1" t="n">
        <v>0.303345442</v>
      </c>
      <c r="K439" s="1" t="n">
        <v>0.301908493</v>
      </c>
      <c r="L439" s="1" t="n">
        <v>0.29733777</v>
      </c>
      <c r="M439" s="1" t="n">
        <v>0.304705858</v>
      </c>
      <c r="N439" s="1" t="n">
        <v>0.282248735</v>
      </c>
      <c r="O439" s="1" t="n">
        <v>0.284295321</v>
      </c>
      <c r="P439" s="1" t="n">
        <v>0.283779621</v>
      </c>
      <c r="R439" s="1" t="n">
        <f aca="false">PERCENTILE(G439:P439,0.9)</f>
        <v>0.3034814836</v>
      </c>
      <c r="S439" s="5" t="n">
        <f aca="false">spmv_1!R$14/R439</f>
        <v>3.63957678602834</v>
      </c>
      <c r="T439" s="6" t="n">
        <f aca="false">S439/128</f>
        <v>0.0284341936408464</v>
      </c>
    </row>
    <row r="440" customFormat="false" ht="15" hidden="false" customHeight="false" outlineLevel="0" collapsed="false">
      <c r="A440" s="1" t="s">
        <v>18</v>
      </c>
      <c r="B440" s="1" t="n">
        <v>45</v>
      </c>
      <c r="D440" s="1" t="n">
        <v>6050652</v>
      </c>
      <c r="E440" s="1" t="n">
        <v>0.040767</v>
      </c>
      <c r="G440" s="1" t="n">
        <v>0.283746004</v>
      </c>
      <c r="H440" s="1" t="n">
        <v>0.300976515</v>
      </c>
      <c r="I440" s="1" t="n">
        <v>0.305338144</v>
      </c>
      <c r="J440" s="1" t="n">
        <v>0.305804729</v>
      </c>
      <c r="K440" s="1" t="n">
        <v>0.303913355</v>
      </c>
      <c r="L440" s="1" t="n">
        <v>0.300043583</v>
      </c>
      <c r="M440" s="1" t="n">
        <v>0.307400465</v>
      </c>
      <c r="N440" s="1" t="n">
        <v>0.285335064</v>
      </c>
      <c r="O440" s="1" t="n">
        <v>0.288249254</v>
      </c>
      <c r="P440" s="1" t="n">
        <v>0.287573576</v>
      </c>
      <c r="R440" s="1" t="n">
        <f aca="false">PERCENTILE(G440:P440,0.9)</f>
        <v>0.3059643026</v>
      </c>
      <c r="S440" s="5" t="n">
        <f aca="false">spmv_1!R$14/R440</f>
        <v>3.61004258769369</v>
      </c>
      <c r="T440" s="6" t="n">
        <f aca="false">S440/128</f>
        <v>0.028203457716357</v>
      </c>
    </row>
    <row r="441" customFormat="false" ht="15" hidden="false" customHeight="false" outlineLevel="0" collapsed="false">
      <c r="A441" s="1" t="s">
        <v>18</v>
      </c>
      <c r="B441" s="1" t="n">
        <v>46</v>
      </c>
      <c r="D441" s="1" t="n">
        <v>6051729</v>
      </c>
      <c r="E441" s="1" t="n">
        <v>0.040662</v>
      </c>
      <c r="G441" s="1" t="n">
        <v>0.286762953</v>
      </c>
      <c r="H441" s="1" t="n">
        <v>0.301299095</v>
      </c>
      <c r="I441" s="1" t="n">
        <v>0.30645895</v>
      </c>
      <c r="J441" s="1" t="n">
        <v>0.305544853</v>
      </c>
      <c r="K441" s="1" t="n">
        <v>0.303341389</v>
      </c>
      <c r="L441" s="1" t="n">
        <v>0.300173521</v>
      </c>
      <c r="M441" s="1" t="n">
        <v>0.306441069</v>
      </c>
      <c r="N441" s="1" t="n">
        <v>0.287587881</v>
      </c>
      <c r="O441" s="1" t="n">
        <v>0.289834738</v>
      </c>
      <c r="P441" s="1" t="n">
        <v>0.28916049</v>
      </c>
      <c r="R441" s="1" t="n">
        <f aca="false">PERCENTILE(G441:P441,0.9)</f>
        <v>0.3064428571</v>
      </c>
      <c r="S441" s="5" t="n">
        <f aca="false">spmv_1!R$14/R441</f>
        <v>3.60440498810374</v>
      </c>
      <c r="T441" s="6" t="n">
        <f aca="false">S441/128</f>
        <v>0.0281594139695604</v>
      </c>
    </row>
    <row r="442" customFormat="false" ht="15" hidden="false" customHeight="false" outlineLevel="0" collapsed="false">
      <c r="A442" s="1" t="s">
        <v>18</v>
      </c>
      <c r="B442" s="1" t="n">
        <v>47</v>
      </c>
      <c r="D442" s="1" t="n">
        <v>6051010</v>
      </c>
      <c r="E442" s="1" t="n">
        <v>0.040395</v>
      </c>
      <c r="G442" s="1" t="n">
        <v>0.288870096</v>
      </c>
      <c r="H442" s="1" t="n">
        <v>0.303650618</v>
      </c>
      <c r="I442" s="1" t="n">
        <v>0.308517933</v>
      </c>
      <c r="J442" s="1" t="n">
        <v>0.307376623</v>
      </c>
      <c r="K442" s="1" t="n">
        <v>0.305211544</v>
      </c>
      <c r="L442" s="1" t="n">
        <v>0.30217576</v>
      </c>
      <c r="M442" s="1" t="n">
        <v>0.308366776</v>
      </c>
      <c r="N442" s="1" t="n">
        <v>0.288818598</v>
      </c>
      <c r="O442" s="1" t="n">
        <v>0.291864634</v>
      </c>
      <c r="P442" s="1" t="n">
        <v>0.291030884</v>
      </c>
      <c r="R442" s="1" t="n">
        <f aca="false">PERCENTILE(G442:P442,0.9)</f>
        <v>0.3083818917</v>
      </c>
      <c r="S442" s="5" t="n">
        <f aca="false">spmv_1!R$14/R442</f>
        <v>3.58174131629792</v>
      </c>
      <c r="T442" s="6" t="n">
        <f aca="false">S442/128</f>
        <v>0.0279823540335775</v>
      </c>
    </row>
    <row r="443" customFormat="false" ht="15" hidden="false" customHeight="false" outlineLevel="0" collapsed="false">
      <c r="A443" s="1" t="s">
        <v>18</v>
      </c>
      <c r="B443" s="1" t="n">
        <v>48</v>
      </c>
      <c r="D443" s="1" t="n">
        <v>6049933</v>
      </c>
      <c r="E443" s="1" t="n">
        <v>0.039946</v>
      </c>
      <c r="G443" s="1" t="n">
        <v>0.288394213</v>
      </c>
      <c r="H443" s="1" t="n">
        <v>0.308906794</v>
      </c>
      <c r="I443" s="1" t="n">
        <v>0.312393188</v>
      </c>
      <c r="J443" s="1" t="n">
        <v>0.312691212</v>
      </c>
      <c r="K443" s="1" t="n">
        <v>0.310135841</v>
      </c>
      <c r="L443" s="1" t="n">
        <v>0.306693792</v>
      </c>
      <c r="M443" s="1" t="n">
        <v>0.313986301</v>
      </c>
      <c r="N443" s="1" t="n">
        <v>0.290118217</v>
      </c>
      <c r="O443" s="1" t="n">
        <v>0.292595387</v>
      </c>
      <c r="P443" s="1" t="n">
        <v>0.293144703</v>
      </c>
      <c r="R443" s="1" t="n">
        <f aca="false">PERCENTILE(G443:P443,0.9)</f>
        <v>0.3128207209</v>
      </c>
      <c r="S443" s="5" t="n">
        <f aca="false">spmv_1!R$14/R443</f>
        <v>3.53091751570092</v>
      </c>
      <c r="T443" s="6" t="n">
        <f aca="false">S443/128</f>
        <v>0.0275852930914135</v>
      </c>
    </row>
    <row r="444" customFormat="false" ht="15" hidden="false" customHeight="false" outlineLevel="0" collapsed="false">
      <c r="A444" s="1" t="s">
        <v>18</v>
      </c>
      <c r="B444" s="1" t="n">
        <v>49</v>
      </c>
      <c r="D444" s="1" t="n">
        <v>6049934</v>
      </c>
      <c r="E444" s="1" t="n">
        <v>0.039663</v>
      </c>
      <c r="G444" s="1" t="n">
        <v>0.290738821</v>
      </c>
      <c r="H444" s="1" t="n">
        <v>0.310470819</v>
      </c>
      <c r="I444" s="1" t="n">
        <v>0.31409359</v>
      </c>
      <c r="J444" s="1" t="n">
        <v>0.315312862</v>
      </c>
      <c r="K444" s="1" t="n">
        <v>0.312345743</v>
      </c>
      <c r="L444" s="1" t="n">
        <v>0.308940172</v>
      </c>
      <c r="M444" s="1" t="n">
        <v>0.316183567</v>
      </c>
      <c r="N444" s="1" t="n">
        <v>0.292263746</v>
      </c>
      <c r="O444" s="1" t="n">
        <v>0.294741869</v>
      </c>
      <c r="P444" s="1" t="n">
        <v>0.295563936</v>
      </c>
      <c r="R444" s="1" t="n">
        <f aca="false">PERCENTILE(G444:P444,0.9)</f>
        <v>0.3153999325</v>
      </c>
      <c r="S444" s="5" t="n">
        <f aca="false">spmv_1!R$14/R444</f>
        <v>3.50204311695596</v>
      </c>
      <c r="T444" s="6" t="n">
        <f aca="false">S444/128</f>
        <v>0.0273597118512185</v>
      </c>
    </row>
    <row r="445" customFormat="false" ht="15" hidden="false" customHeight="false" outlineLevel="0" collapsed="false">
      <c r="A445" s="1" t="s">
        <v>18</v>
      </c>
      <c r="B445" s="1" t="n">
        <v>50</v>
      </c>
      <c r="D445" s="1" t="n">
        <v>6050652</v>
      </c>
      <c r="E445" s="1" t="n">
        <v>0.039799</v>
      </c>
      <c r="G445" s="1" t="n">
        <v>0.292876005</v>
      </c>
      <c r="H445" s="1" t="n">
        <v>0.308544397</v>
      </c>
      <c r="I445" s="1" t="n">
        <v>0.312974453</v>
      </c>
      <c r="J445" s="1" t="n">
        <v>0.31210947</v>
      </c>
      <c r="K445" s="1" t="n">
        <v>0.309733868</v>
      </c>
      <c r="L445" s="1" t="n">
        <v>0.30687809</v>
      </c>
      <c r="M445" s="1" t="n">
        <v>0.313186407</v>
      </c>
      <c r="N445" s="1" t="n">
        <v>0.292096615</v>
      </c>
      <c r="O445" s="1" t="n">
        <v>0.296384811</v>
      </c>
      <c r="P445" s="1" t="n">
        <v>0.295850277</v>
      </c>
      <c r="R445" s="1" t="n">
        <f aca="false">PERCENTILE(G445:P445,0.9)</f>
        <v>0.3129956484</v>
      </c>
      <c r="S445" s="5" t="n">
        <f aca="false">spmv_1!R$14/R445</f>
        <v>3.52894415096923</v>
      </c>
      <c r="T445" s="6" t="n">
        <f aca="false">S445/128</f>
        <v>0.0275698761794471</v>
      </c>
    </row>
    <row r="446" customFormat="false" ht="15" hidden="false" customHeight="false" outlineLevel="0" collapsed="false">
      <c r="A446" s="1" t="s">
        <v>18</v>
      </c>
      <c r="B446" s="1" t="n">
        <v>51</v>
      </c>
      <c r="D446" s="1" t="n">
        <v>6051729</v>
      </c>
      <c r="E446" s="1" t="n">
        <v>0.03953</v>
      </c>
      <c r="G446" s="1" t="n">
        <v>0.292670012</v>
      </c>
      <c r="H446" s="1" t="n">
        <v>0.311422825</v>
      </c>
      <c r="I446" s="1" t="n">
        <v>0.31507206</v>
      </c>
      <c r="J446" s="1" t="n">
        <v>0.315534115</v>
      </c>
      <c r="K446" s="1" t="n">
        <v>0.313018084</v>
      </c>
      <c r="L446" s="1" t="n">
        <v>0.30979991</v>
      </c>
      <c r="M446" s="1" t="n">
        <v>0.317002773</v>
      </c>
      <c r="N446" s="1" t="n">
        <v>0.292407036</v>
      </c>
      <c r="O446" s="1" t="n">
        <v>0.297478199</v>
      </c>
      <c r="P446" s="1" t="n">
        <v>0.29740262</v>
      </c>
      <c r="R446" s="1" t="n">
        <f aca="false">PERCENTILE(G446:P446,0.9)</f>
        <v>0.3156809808</v>
      </c>
      <c r="S446" s="5" t="n">
        <f aca="false">spmv_1!R$14/R446</f>
        <v>3.49892527545011</v>
      </c>
      <c r="T446" s="6" t="n">
        <f aca="false">S446/128</f>
        <v>0.027335353714454</v>
      </c>
    </row>
    <row r="447" customFormat="false" ht="15" hidden="false" customHeight="false" outlineLevel="0" collapsed="false">
      <c r="A447" s="1" t="s">
        <v>18</v>
      </c>
      <c r="B447" s="1" t="n">
        <v>52</v>
      </c>
      <c r="D447" s="1" t="n">
        <v>6052806</v>
      </c>
      <c r="E447" s="1" t="n">
        <v>0.038976</v>
      </c>
      <c r="G447" s="1" t="n">
        <v>0.296126366</v>
      </c>
      <c r="H447" s="1" t="n">
        <v>0.317195415</v>
      </c>
      <c r="I447" s="1" t="n">
        <v>0.320375919</v>
      </c>
      <c r="J447" s="1" t="n">
        <v>0.321135998</v>
      </c>
      <c r="K447" s="1" t="n">
        <v>0.318328857</v>
      </c>
      <c r="L447" s="1" t="n">
        <v>0.314854383</v>
      </c>
      <c r="M447" s="1" t="n">
        <v>0.321332932</v>
      </c>
      <c r="N447" s="1" t="n">
        <v>0.295412064</v>
      </c>
      <c r="O447" s="1" t="n">
        <v>0.299968243</v>
      </c>
      <c r="P447" s="1" t="n">
        <v>0.301148176</v>
      </c>
      <c r="R447" s="1" t="n">
        <f aca="false">PERCENTILE(G447:P447,0.9)</f>
        <v>0.3211556914</v>
      </c>
      <c r="S447" s="5" t="n">
        <f aca="false">spmv_1!R$14/R447</f>
        <v>3.43927942825802</v>
      </c>
      <c r="T447" s="6" t="n">
        <f aca="false">S447/128</f>
        <v>0.0268693705332658</v>
      </c>
    </row>
    <row r="448" customFormat="false" ht="15" hidden="false" customHeight="false" outlineLevel="0" collapsed="false">
      <c r="A448" s="1" t="s">
        <v>18</v>
      </c>
      <c r="B448" s="1" t="n">
        <v>53</v>
      </c>
      <c r="D448" s="1" t="n">
        <v>6052806</v>
      </c>
      <c r="E448" s="1" t="n">
        <v>0.039107</v>
      </c>
      <c r="G448" s="1" t="n">
        <v>0.295621634</v>
      </c>
      <c r="H448" s="1" t="n">
        <v>0.315115213</v>
      </c>
      <c r="I448" s="1" t="n">
        <v>0.318293333</v>
      </c>
      <c r="J448" s="1" t="n">
        <v>0.319537163</v>
      </c>
      <c r="K448" s="1" t="n">
        <v>0.317130089</v>
      </c>
      <c r="L448" s="1" t="n">
        <v>0.313761473</v>
      </c>
      <c r="M448" s="1" t="n">
        <v>0.3203125</v>
      </c>
      <c r="N448" s="1" t="n">
        <v>0.294599295</v>
      </c>
      <c r="O448" s="1" t="n">
        <v>0.300481796</v>
      </c>
      <c r="P448" s="1" t="n">
        <v>0.300697088</v>
      </c>
      <c r="R448" s="1" t="n">
        <f aca="false">PERCENTILE(G448:P448,0.9)</f>
        <v>0.3196146967</v>
      </c>
      <c r="S448" s="5" t="n">
        <f aca="false">spmv_1!R$14/R448</f>
        <v>3.45586161745484</v>
      </c>
      <c r="T448" s="6" t="n">
        <f aca="false">S448/128</f>
        <v>0.0269989188863659</v>
      </c>
    </row>
    <row r="449" customFormat="false" ht="15" hidden="false" customHeight="false" outlineLevel="0" collapsed="false">
      <c r="A449" s="1" t="s">
        <v>18</v>
      </c>
      <c r="B449" s="1" t="n">
        <v>54</v>
      </c>
      <c r="D449" s="1" t="n">
        <v>6051729</v>
      </c>
      <c r="E449" s="1" t="n">
        <v>0.038494</v>
      </c>
      <c r="G449" s="1" t="n">
        <v>0.300255775</v>
      </c>
      <c r="H449" s="1" t="n">
        <v>0.320786715</v>
      </c>
      <c r="I449" s="1" t="n">
        <v>0.323207617</v>
      </c>
      <c r="J449" s="1" t="n">
        <v>0.325271606</v>
      </c>
      <c r="K449" s="1" t="n">
        <v>0.322954178</v>
      </c>
      <c r="L449" s="1" t="n">
        <v>0.31848073</v>
      </c>
      <c r="M449" s="1" t="n">
        <v>0.325608492</v>
      </c>
      <c r="N449" s="1" t="n">
        <v>0.299130678</v>
      </c>
      <c r="O449" s="1" t="n">
        <v>0.303530455</v>
      </c>
      <c r="P449" s="1" t="n">
        <v>0.30503583</v>
      </c>
      <c r="R449" s="1" t="n">
        <f aca="false">PERCENTILE(G449:P449,0.9)</f>
        <v>0.3253052946</v>
      </c>
      <c r="S449" s="5" t="n">
        <f aca="false">spmv_1!R$14/R449</f>
        <v>3.39540788617709</v>
      </c>
      <c r="T449" s="6" t="n">
        <f aca="false">S449/128</f>
        <v>0.0265266241107585</v>
      </c>
    </row>
    <row r="450" customFormat="false" ht="15" hidden="false" customHeight="false" outlineLevel="0" collapsed="false">
      <c r="A450" s="1" t="s">
        <v>18</v>
      </c>
      <c r="B450" s="1" t="n">
        <v>55</v>
      </c>
      <c r="D450" s="1" t="n">
        <v>6050652</v>
      </c>
      <c r="E450" s="1" t="n">
        <v>0.038705</v>
      </c>
      <c r="G450" s="1" t="n">
        <v>0.299003601</v>
      </c>
      <c r="H450" s="1" t="n">
        <v>0.319152117</v>
      </c>
      <c r="I450" s="1" t="n">
        <v>0.320806503</v>
      </c>
      <c r="J450" s="1" t="n">
        <v>0.322343349</v>
      </c>
      <c r="K450" s="1" t="n">
        <v>0.320232153</v>
      </c>
      <c r="L450" s="1" t="n">
        <v>0.317067862</v>
      </c>
      <c r="M450" s="1" t="n">
        <v>0.323748589</v>
      </c>
      <c r="N450" s="1" t="n">
        <v>0.297169209</v>
      </c>
      <c r="O450" s="1" t="n">
        <v>0.303007603</v>
      </c>
      <c r="P450" s="1" t="n">
        <v>0.304008722</v>
      </c>
      <c r="R450" s="1" t="n">
        <f aca="false">PERCENTILE(G450:P450,0.9)</f>
        <v>0.322483873</v>
      </c>
      <c r="S450" s="5" t="n">
        <f aca="false">spmv_1!R$14/R450</f>
        <v>3.42511441711692</v>
      </c>
      <c r="T450" s="6" t="n">
        <f aca="false">S450/128</f>
        <v>0.0267587063837259</v>
      </c>
    </row>
    <row r="451" customFormat="false" ht="15" hidden="false" customHeight="false" outlineLevel="0" collapsed="false">
      <c r="A451" s="1" t="s">
        <v>18</v>
      </c>
      <c r="B451" s="1" t="n">
        <v>56</v>
      </c>
      <c r="D451" s="1" t="n">
        <v>6049575</v>
      </c>
      <c r="E451" s="1" t="n">
        <v>0.037722</v>
      </c>
      <c r="G451" s="1" t="n">
        <v>0.303327084</v>
      </c>
      <c r="H451" s="1" t="n">
        <v>0.324599504</v>
      </c>
      <c r="I451" s="1" t="n">
        <v>0.326653242</v>
      </c>
      <c r="J451" s="1" t="n">
        <v>0.328260422</v>
      </c>
      <c r="K451" s="1" t="n">
        <v>0.325248003</v>
      </c>
      <c r="L451" s="1" t="n">
        <v>0.322697163</v>
      </c>
      <c r="M451" s="1" t="n">
        <v>0.329097033</v>
      </c>
      <c r="N451" s="1" t="n">
        <v>0.301884651</v>
      </c>
      <c r="O451" s="1" t="n">
        <v>0.336899757</v>
      </c>
      <c r="P451" s="1" t="n">
        <v>0.308750868</v>
      </c>
      <c r="R451" s="1" t="n">
        <f aca="false">PERCENTILE(G451:P451,0.9)</f>
        <v>0.3298773054</v>
      </c>
      <c r="S451" s="5" t="n">
        <f aca="false">spmv_1!R$14/R451</f>
        <v>3.34834844537323</v>
      </c>
      <c r="T451" s="6" t="n">
        <f aca="false">S451/128</f>
        <v>0.0261589722294784</v>
      </c>
    </row>
    <row r="452" customFormat="false" ht="15" hidden="false" customHeight="false" outlineLevel="0" collapsed="false">
      <c r="A452" s="1" t="s">
        <v>18</v>
      </c>
      <c r="B452" s="1" t="n">
        <v>57</v>
      </c>
      <c r="D452" s="1" t="n">
        <v>6049575</v>
      </c>
      <c r="E452" s="1" t="n">
        <v>0.037552</v>
      </c>
      <c r="G452" s="1" t="n">
        <v>0.305050373</v>
      </c>
      <c r="H452" s="1" t="n">
        <v>0.32610774</v>
      </c>
      <c r="I452" s="1" t="n">
        <v>0.328279734</v>
      </c>
      <c r="J452" s="1" t="n">
        <v>0.329742432</v>
      </c>
      <c r="K452" s="1" t="n">
        <v>0.326838017</v>
      </c>
      <c r="L452" s="1" t="n">
        <v>0.32427001</v>
      </c>
      <c r="M452" s="1" t="n">
        <v>0.330515862</v>
      </c>
      <c r="N452" s="1" t="n">
        <v>0.303348541</v>
      </c>
      <c r="O452" s="1" t="n">
        <v>0.337622404</v>
      </c>
      <c r="P452" s="1" t="n">
        <v>0.310186863</v>
      </c>
      <c r="R452" s="1" t="n">
        <f aca="false">PERCENTILE(G452:P452,0.9)</f>
        <v>0.3312265162</v>
      </c>
      <c r="S452" s="5" t="n">
        <f aca="false">spmv_1!R$14/R452</f>
        <v>3.33470935652102</v>
      </c>
      <c r="T452" s="6" t="n">
        <f aca="false">S452/128</f>
        <v>0.0260524168478204</v>
      </c>
    </row>
    <row r="453" customFormat="false" ht="15" hidden="false" customHeight="false" outlineLevel="0" collapsed="false">
      <c r="A453" s="1" t="s">
        <v>18</v>
      </c>
      <c r="B453" s="1" t="n">
        <v>58</v>
      </c>
      <c r="D453" s="1" t="n">
        <v>6050652</v>
      </c>
      <c r="E453" s="1" t="n">
        <v>0.038196</v>
      </c>
      <c r="G453" s="1" t="n">
        <v>0.302954435</v>
      </c>
      <c r="H453" s="1" t="n">
        <v>0.324038744</v>
      </c>
      <c r="I453" s="1" t="n">
        <v>0.324961185</v>
      </c>
      <c r="J453" s="1" t="n">
        <v>0.326933861</v>
      </c>
      <c r="K453" s="1" t="n">
        <v>0.324113369</v>
      </c>
      <c r="L453" s="1" t="n">
        <v>0.321791649</v>
      </c>
      <c r="M453" s="1" t="n">
        <v>0.327265739</v>
      </c>
      <c r="N453" s="1" t="n">
        <v>0.301307201</v>
      </c>
      <c r="O453" s="1" t="n">
        <v>0.306787968</v>
      </c>
      <c r="P453" s="1" t="n">
        <v>0.308087826</v>
      </c>
      <c r="R453" s="1" t="n">
        <f aca="false">PERCENTILE(G453:P453,0.9)</f>
        <v>0.3269670488</v>
      </c>
      <c r="S453" s="5" t="n">
        <f aca="false">spmv_1!R$14/R453</f>
        <v>3.37815130531894</v>
      </c>
      <c r="T453" s="6" t="n">
        <f aca="false">S453/128</f>
        <v>0.0263918070728042</v>
      </c>
    </row>
    <row r="454" customFormat="false" ht="15" hidden="false" customHeight="false" outlineLevel="0" collapsed="false">
      <c r="A454" s="1" t="s">
        <v>18</v>
      </c>
      <c r="B454" s="1" t="n">
        <v>59</v>
      </c>
      <c r="D454" s="1" t="n">
        <v>6051729</v>
      </c>
      <c r="E454" s="1" t="n">
        <v>0.037875</v>
      </c>
      <c r="G454" s="1" t="n">
        <v>0.305532455</v>
      </c>
      <c r="H454" s="1" t="n">
        <v>0.326339245</v>
      </c>
      <c r="I454" s="1" t="n">
        <v>0.328543186</v>
      </c>
      <c r="J454" s="1" t="n">
        <v>0.330011368</v>
      </c>
      <c r="K454" s="1" t="n">
        <v>0.327340603</v>
      </c>
      <c r="L454" s="1" t="n">
        <v>0.324206352</v>
      </c>
      <c r="M454" s="1" t="n">
        <v>0.330345869</v>
      </c>
      <c r="N454" s="1" t="n">
        <v>0.303559542</v>
      </c>
      <c r="O454" s="1" t="n">
        <v>0.309531927</v>
      </c>
      <c r="P454" s="1" t="n">
        <v>0.310219049</v>
      </c>
      <c r="R454" s="1" t="n">
        <f aca="false">PERCENTILE(G454:P454,0.9)</f>
        <v>0.3300448181</v>
      </c>
      <c r="S454" s="5" t="n">
        <f aca="false">spmv_1!R$14/R454</f>
        <v>3.34664900681863</v>
      </c>
      <c r="T454" s="6" t="n">
        <f aca="false">S454/128</f>
        <v>0.0261456953657705</v>
      </c>
    </row>
    <row r="455" customFormat="false" ht="15" hidden="false" customHeight="false" outlineLevel="0" collapsed="false">
      <c r="A455" s="1" t="s">
        <v>18</v>
      </c>
      <c r="B455" s="1" t="n">
        <v>60</v>
      </c>
      <c r="D455" s="1" t="n">
        <v>6052806</v>
      </c>
      <c r="E455" s="1" t="n">
        <v>0.037821</v>
      </c>
      <c r="G455" s="1" t="n">
        <v>0.307110071</v>
      </c>
      <c r="H455" s="1" t="n">
        <v>0.327755928</v>
      </c>
      <c r="I455" s="1" t="n">
        <v>0.328632832</v>
      </c>
      <c r="J455" s="1" t="n">
        <v>0.330159426</v>
      </c>
      <c r="K455" s="1" t="n">
        <v>0.327921867</v>
      </c>
      <c r="L455" s="1" t="n">
        <v>0.324192762</v>
      </c>
      <c r="M455" s="1" t="n">
        <v>0.330053568</v>
      </c>
      <c r="N455" s="1" t="n">
        <v>0.304364681</v>
      </c>
      <c r="O455" s="1" t="n">
        <v>0.309569836</v>
      </c>
      <c r="P455" s="1" t="n">
        <v>0.310976028</v>
      </c>
      <c r="R455" s="1" t="n">
        <f aca="false">PERCENTILE(G455:P455,0.9)</f>
        <v>0.3300641538</v>
      </c>
      <c r="S455" s="5" t="n">
        <f aca="false">spmv_1!R$14/R455</f>
        <v>3.34645295462557</v>
      </c>
      <c r="T455" s="6" t="n">
        <f aca="false">S455/128</f>
        <v>0.0261441637080123</v>
      </c>
    </row>
    <row r="456" customFormat="false" ht="15" hidden="false" customHeight="false" outlineLevel="0" collapsed="false">
      <c r="A456" s="1" t="s">
        <v>18</v>
      </c>
      <c r="B456" s="1" t="n">
        <v>61</v>
      </c>
      <c r="D456" s="1" t="n">
        <v>6052806</v>
      </c>
      <c r="E456" s="1" t="n">
        <v>0.037642</v>
      </c>
      <c r="G456" s="1" t="n">
        <v>0.308250427</v>
      </c>
      <c r="H456" s="1" t="n">
        <v>0.330171108</v>
      </c>
      <c r="I456" s="1" t="n">
        <v>0.329793215</v>
      </c>
      <c r="J456" s="1" t="n">
        <v>0.331604481</v>
      </c>
      <c r="K456" s="1" t="n">
        <v>0.329165697</v>
      </c>
      <c r="L456" s="1" t="n">
        <v>0.326337814</v>
      </c>
      <c r="M456" s="1" t="n">
        <v>0.332253933</v>
      </c>
      <c r="N456" s="1" t="n">
        <v>0.305085659</v>
      </c>
      <c r="O456" s="1" t="n">
        <v>0.311361551</v>
      </c>
      <c r="P456" s="1" t="n">
        <v>0.311980486</v>
      </c>
      <c r="R456" s="1" t="n">
        <f aca="false">PERCENTILE(G456:P456,0.9)</f>
        <v>0.3316694262</v>
      </c>
      <c r="S456" s="5" t="n">
        <f aca="false">spmv_1!R$14/R456</f>
        <v>3.33025619923722</v>
      </c>
      <c r="T456" s="6" t="n">
        <f aca="false">S456/128</f>
        <v>0.0260176265565407</v>
      </c>
    </row>
    <row r="457" customFormat="false" ht="15" hidden="false" customHeight="false" outlineLevel="0" collapsed="false">
      <c r="A457" s="1" t="s">
        <v>18</v>
      </c>
      <c r="B457" s="1" t="n">
        <v>62</v>
      </c>
      <c r="D457" s="1" t="n">
        <v>6051729</v>
      </c>
      <c r="E457" s="1" t="n">
        <v>0.037354</v>
      </c>
      <c r="G457" s="1" t="n">
        <v>0.310385227</v>
      </c>
      <c r="H457" s="1" t="n">
        <v>0.333084106</v>
      </c>
      <c r="I457" s="1" t="n">
        <v>0.332890511</v>
      </c>
      <c r="J457" s="1" t="n">
        <v>0.33403945</v>
      </c>
      <c r="K457" s="1" t="n">
        <v>0.331516027</v>
      </c>
      <c r="L457" s="1" t="n">
        <v>0.32846427</v>
      </c>
      <c r="M457" s="1" t="n">
        <v>0.334427834</v>
      </c>
      <c r="N457" s="1" t="n">
        <v>0.307780266</v>
      </c>
      <c r="O457" s="1" t="n">
        <v>0.313457251</v>
      </c>
      <c r="P457" s="1" t="n">
        <v>0.31413722</v>
      </c>
      <c r="R457" s="1" t="n">
        <f aca="false">PERCENTILE(G457:P457,0.9)</f>
        <v>0.3340782884</v>
      </c>
      <c r="S457" s="5" t="n">
        <f aca="false">spmv_1!R$14/R457</f>
        <v>3.3062434796047</v>
      </c>
      <c r="T457" s="6" t="n">
        <f aca="false">S457/128</f>
        <v>0.0258300271844118</v>
      </c>
    </row>
    <row r="458" customFormat="false" ht="15" hidden="false" customHeight="false" outlineLevel="0" collapsed="false">
      <c r="A458" s="1" t="s">
        <v>18</v>
      </c>
      <c r="B458" s="1" t="n">
        <v>63</v>
      </c>
      <c r="D458" s="1" t="n">
        <v>6049933</v>
      </c>
      <c r="E458" s="1" t="n">
        <v>0.036756</v>
      </c>
      <c r="G458" s="1" t="n">
        <v>0.313862324</v>
      </c>
      <c r="H458" s="1" t="n">
        <v>0.336272955</v>
      </c>
      <c r="I458" s="1" t="n">
        <v>0.336685419</v>
      </c>
      <c r="J458" s="1" t="n">
        <v>0.337060213</v>
      </c>
      <c r="K458" s="1" t="n">
        <v>0.33460021</v>
      </c>
      <c r="L458" s="1" t="n">
        <v>0.332100153</v>
      </c>
      <c r="M458" s="1" t="n">
        <v>0.338199377</v>
      </c>
      <c r="N458" s="1" t="n">
        <v>0.3109231</v>
      </c>
      <c r="O458" s="1" t="n">
        <v>0.315816879</v>
      </c>
      <c r="P458" s="1" t="n">
        <v>0.336401939</v>
      </c>
      <c r="R458" s="1" t="n">
        <f aca="false">PERCENTILE(G458:P458,0.9)</f>
        <v>0.3371741294</v>
      </c>
      <c r="S458" s="5" t="n">
        <f aca="false">spmv_1!R$14/R458</f>
        <v>3.27588645269295</v>
      </c>
      <c r="T458" s="6" t="n">
        <f aca="false">S458/128</f>
        <v>0.0255928629116637</v>
      </c>
    </row>
    <row r="459" customFormat="false" ht="15" hidden="false" customHeight="false" outlineLevel="0" collapsed="false">
      <c r="A459" s="1" t="s">
        <v>18</v>
      </c>
      <c r="B459" s="1" t="n">
        <v>64</v>
      </c>
      <c r="D459" s="1" t="n">
        <v>6049933</v>
      </c>
      <c r="E459" s="1" t="n">
        <v>0.035886</v>
      </c>
      <c r="G459" s="1" t="n">
        <v>0.323214054</v>
      </c>
      <c r="H459" s="1" t="n">
        <v>0.34802103</v>
      </c>
      <c r="I459" s="1" t="n">
        <v>0.344974041</v>
      </c>
      <c r="J459" s="1" t="n">
        <v>0.349697828</v>
      </c>
      <c r="K459" s="1" t="n">
        <v>0.344482899</v>
      </c>
      <c r="L459" s="1" t="n">
        <v>0.343073845</v>
      </c>
      <c r="M459" s="1" t="n">
        <v>0.349325418</v>
      </c>
      <c r="N459" s="1" t="n">
        <v>0.319619179</v>
      </c>
      <c r="O459" s="1" t="n">
        <v>0.324262619</v>
      </c>
      <c r="P459" s="1" t="n">
        <v>0.325113297</v>
      </c>
      <c r="R459" s="1" t="n">
        <f aca="false">PERCENTILE(G459:P459,0.9)</f>
        <v>0.349362659</v>
      </c>
      <c r="S459" s="5" t="n">
        <f aca="false">spmv_1!R$14/R459</f>
        <v>3.16159765288482</v>
      </c>
      <c r="T459" s="6" t="n">
        <f aca="false">S459/128</f>
        <v>0.0246999816631627</v>
      </c>
    </row>
    <row r="460" customFormat="false" ht="15" hidden="false" customHeight="false" outlineLevel="0" collapsed="false">
      <c r="A460" s="1" t="s">
        <v>18</v>
      </c>
      <c r="B460" s="1" t="n">
        <v>65</v>
      </c>
      <c r="D460" s="1" t="n">
        <v>6051729</v>
      </c>
      <c r="E460" s="1" t="n">
        <v>0.036366</v>
      </c>
      <c r="G460" s="1" t="n">
        <v>0.318479776</v>
      </c>
      <c r="H460" s="1" t="n">
        <v>0.359234333</v>
      </c>
      <c r="I460" s="1" t="n">
        <v>0.338539124</v>
      </c>
      <c r="J460" s="1" t="n">
        <v>0.342103958</v>
      </c>
      <c r="K460" s="1" t="n">
        <v>0.337925911</v>
      </c>
      <c r="L460" s="1" t="n">
        <v>0.336017609</v>
      </c>
      <c r="M460" s="1" t="n">
        <v>0.339787006</v>
      </c>
      <c r="N460" s="1" t="n">
        <v>0.315215588</v>
      </c>
      <c r="O460" s="1" t="n">
        <v>0.320252657</v>
      </c>
      <c r="P460" s="1" t="n">
        <v>0.320694923</v>
      </c>
      <c r="R460" s="1" t="n">
        <f aca="false">PERCENTILE(G460:P460,0.9)</f>
        <v>0.3438169955</v>
      </c>
      <c r="S460" s="5" t="n">
        <f aca="false">spmv_1!R$14/R460</f>
        <v>3.21259326082384</v>
      </c>
      <c r="T460" s="6" t="n">
        <f aca="false">S460/128</f>
        <v>0.0250983848501862</v>
      </c>
    </row>
    <row r="461" customFormat="false" ht="15" hidden="false" customHeight="false" outlineLevel="0" collapsed="false">
      <c r="A461" s="1" t="s">
        <v>18</v>
      </c>
      <c r="B461" s="1" t="n">
        <v>66</v>
      </c>
      <c r="D461" s="1" t="n">
        <v>6052806</v>
      </c>
      <c r="E461" s="1" t="n">
        <v>0.03677</v>
      </c>
      <c r="G461" s="1" t="n">
        <v>0.317321777</v>
      </c>
      <c r="H461" s="1" t="n">
        <v>0.336874247</v>
      </c>
      <c r="I461" s="1" t="n">
        <v>0.336325884</v>
      </c>
      <c r="J461" s="1" t="n">
        <v>0.340620995</v>
      </c>
      <c r="K461" s="1" t="n">
        <v>0.336504698</v>
      </c>
      <c r="L461" s="1" t="n">
        <v>0.334636688</v>
      </c>
      <c r="M461" s="1" t="n">
        <v>0.33844614</v>
      </c>
      <c r="N461" s="1" t="n">
        <v>0.313132048</v>
      </c>
      <c r="O461" s="1" t="n">
        <v>0.318864822</v>
      </c>
      <c r="P461" s="1" t="n">
        <v>0.319494963</v>
      </c>
      <c r="R461" s="1" t="n">
        <f aca="false">PERCENTILE(G461:P461,0.9)</f>
        <v>0.3386636255</v>
      </c>
      <c r="S461" s="5" t="n">
        <f aca="false">spmv_1!R$14/R461</f>
        <v>3.26147858681091</v>
      </c>
      <c r="T461" s="6" t="n">
        <f aca="false">S461/128</f>
        <v>0.0254803014594603</v>
      </c>
    </row>
    <row r="462" customFormat="false" ht="15" hidden="false" customHeight="false" outlineLevel="0" collapsed="false">
      <c r="A462" s="1" t="s">
        <v>18</v>
      </c>
      <c r="B462" s="1" t="n">
        <v>67</v>
      </c>
      <c r="D462" s="1" t="n">
        <v>6052806</v>
      </c>
      <c r="E462" s="1" t="n">
        <v>0.036517</v>
      </c>
      <c r="G462" s="1" t="n">
        <v>0.32011199</v>
      </c>
      <c r="H462" s="1" t="n">
        <v>0.338377714</v>
      </c>
      <c r="I462" s="1" t="n">
        <v>0.338732481</v>
      </c>
      <c r="J462" s="1" t="n">
        <v>0.345365047</v>
      </c>
      <c r="K462" s="1" t="n">
        <v>0.341854811</v>
      </c>
      <c r="L462" s="1" t="n">
        <v>0.335707664</v>
      </c>
      <c r="M462" s="1" t="n">
        <v>0.340322971</v>
      </c>
      <c r="N462" s="1" t="n">
        <v>0.313060045</v>
      </c>
      <c r="O462" s="1" t="n">
        <v>0.319335938</v>
      </c>
      <c r="P462" s="1" t="n">
        <v>0.322159767</v>
      </c>
      <c r="R462" s="1" t="n">
        <f aca="false">PERCENTILE(G462:P462,0.9)</f>
        <v>0.3422058346</v>
      </c>
      <c r="S462" s="5" t="n">
        <f aca="false">spmv_1!R$14/R462</f>
        <v>3.22771867402871</v>
      </c>
      <c r="T462" s="6" t="n">
        <f aca="false">S462/128</f>
        <v>0.0252165521408493</v>
      </c>
    </row>
    <row r="463" customFormat="false" ht="15" hidden="false" customHeight="false" outlineLevel="0" collapsed="false">
      <c r="A463" s="1" t="s">
        <v>18</v>
      </c>
      <c r="B463" s="1" t="n">
        <v>68</v>
      </c>
      <c r="D463" s="1" t="n">
        <v>6051729</v>
      </c>
      <c r="E463" s="1" t="n">
        <v>0.036717</v>
      </c>
      <c r="G463" s="1" t="n">
        <v>0.318044186</v>
      </c>
      <c r="H463" s="1" t="n">
        <v>0.33598876</v>
      </c>
      <c r="I463" s="1" t="n">
        <v>0.336975813</v>
      </c>
      <c r="J463" s="1" t="n">
        <v>0.343914747</v>
      </c>
      <c r="K463" s="1" t="n">
        <v>0.340257168</v>
      </c>
      <c r="L463" s="1" t="n">
        <v>0.334094048</v>
      </c>
      <c r="M463" s="1" t="n">
        <v>0.338690281</v>
      </c>
      <c r="N463" s="1" t="n">
        <v>0.310845137</v>
      </c>
      <c r="O463" s="1" t="n">
        <v>0.317624569</v>
      </c>
      <c r="P463" s="1" t="n">
        <v>0.31999135</v>
      </c>
      <c r="R463" s="1" t="n">
        <f aca="false">PERCENTILE(G463:P463,0.9)</f>
        <v>0.3406229259</v>
      </c>
      <c r="S463" s="5" t="n">
        <f aca="false">spmv_1!R$14/R463</f>
        <v>3.24271820454115</v>
      </c>
      <c r="T463" s="6" t="n">
        <f aca="false">S463/128</f>
        <v>0.0253337359729777</v>
      </c>
    </row>
    <row r="464" customFormat="false" ht="15" hidden="false" customHeight="false" outlineLevel="0" collapsed="false">
      <c r="A464" s="1" t="s">
        <v>18</v>
      </c>
      <c r="B464" s="1" t="n">
        <v>69</v>
      </c>
      <c r="D464" s="1" t="n">
        <v>6050652</v>
      </c>
      <c r="E464" s="1" t="n">
        <v>0.03658</v>
      </c>
      <c r="G464" s="1" t="n">
        <v>0.315863371</v>
      </c>
      <c r="H464" s="1" t="n">
        <v>0.340065002</v>
      </c>
      <c r="I464" s="1" t="n">
        <v>0.339117765</v>
      </c>
      <c r="J464" s="1" t="n">
        <v>0.344917059</v>
      </c>
      <c r="K464" s="1" t="n">
        <v>0.339285135</v>
      </c>
      <c r="L464" s="1" t="n">
        <v>0.335037231</v>
      </c>
      <c r="M464" s="1" t="n">
        <v>0.343478203</v>
      </c>
      <c r="N464" s="1" t="n">
        <v>0.313117027</v>
      </c>
      <c r="O464" s="1" t="n">
        <v>0.317652225</v>
      </c>
      <c r="P464" s="1" t="n">
        <v>0.319652081</v>
      </c>
      <c r="R464" s="1" t="n">
        <f aca="false">PERCENTILE(G464:P464,0.9)</f>
        <v>0.3436220886</v>
      </c>
      <c r="S464" s="5" t="n">
        <f aca="false">spmv_1!R$14/R464</f>
        <v>3.21441548533792</v>
      </c>
      <c r="T464" s="6" t="n">
        <f aca="false">S464/128</f>
        <v>0.0251126209792025</v>
      </c>
    </row>
    <row r="465" customFormat="false" ht="15" hidden="false" customHeight="false" outlineLevel="0" collapsed="false">
      <c r="A465" s="1" t="s">
        <v>18</v>
      </c>
      <c r="B465" s="1" t="n">
        <v>70</v>
      </c>
      <c r="D465" s="1" t="n">
        <v>6049575</v>
      </c>
      <c r="E465" s="1" t="n">
        <v>0.036878</v>
      </c>
      <c r="G465" s="1" t="n">
        <v>0.319325924</v>
      </c>
      <c r="H465" s="1" t="n">
        <v>0.334196091</v>
      </c>
      <c r="I465" s="1" t="n">
        <v>0.334000587</v>
      </c>
      <c r="J465" s="1" t="n">
        <v>0.34271121</v>
      </c>
      <c r="K465" s="1" t="n">
        <v>0.335256338</v>
      </c>
      <c r="L465" s="1" t="n">
        <v>0.337159157</v>
      </c>
      <c r="M465" s="1" t="n">
        <v>0.335418463</v>
      </c>
      <c r="N465" s="1" t="n">
        <v>0.313666582</v>
      </c>
      <c r="O465" s="1" t="n">
        <v>0.31430912</v>
      </c>
      <c r="P465" s="1" t="n">
        <v>0.31482935</v>
      </c>
      <c r="R465" s="1" t="n">
        <f aca="false">PERCENTILE(G465:P465,0.9)</f>
        <v>0.3377143623</v>
      </c>
      <c r="S465" s="5" t="n">
        <f aca="false">spmv_1!R$14/R465</f>
        <v>3.27064610216016</v>
      </c>
      <c r="T465" s="6" t="n">
        <f aca="false">S465/128</f>
        <v>0.0255519226731263</v>
      </c>
    </row>
    <row r="466" customFormat="false" ht="15" hidden="false" customHeight="false" outlineLevel="0" collapsed="false">
      <c r="A466" s="1" t="s">
        <v>18</v>
      </c>
      <c r="B466" s="1" t="n">
        <v>71</v>
      </c>
      <c r="D466" s="1" t="n">
        <v>6049575</v>
      </c>
      <c r="E466" s="1" t="n">
        <v>0.036667</v>
      </c>
      <c r="G466" s="1" t="n">
        <v>0.314233541</v>
      </c>
      <c r="H466" s="1" t="n">
        <v>0.331204891</v>
      </c>
      <c r="I466" s="1" t="n">
        <v>0.364695072</v>
      </c>
      <c r="J466" s="1" t="n">
        <v>0.339339018</v>
      </c>
      <c r="K466" s="1" t="n">
        <v>0.336031199</v>
      </c>
      <c r="L466" s="1" t="n">
        <v>0.33067894</v>
      </c>
      <c r="M466" s="1" t="n">
        <v>0.349944592</v>
      </c>
      <c r="N466" s="1" t="n">
        <v>0.305855751</v>
      </c>
      <c r="O466" s="1" t="n">
        <v>0.312152624</v>
      </c>
      <c r="P466" s="1" t="n">
        <v>0.315583706</v>
      </c>
      <c r="R466" s="1" t="n">
        <f aca="false">PERCENTILE(G466:P466,0.9)</f>
        <v>0.35141964</v>
      </c>
      <c r="S466" s="5" t="n">
        <f aca="false">spmv_1!R$14/R466</f>
        <v>3.1430917256076</v>
      </c>
      <c r="T466" s="6" t="n">
        <f aca="false">S466/128</f>
        <v>0.0245554041063093</v>
      </c>
    </row>
    <row r="467" customFormat="false" ht="15" hidden="false" customHeight="false" outlineLevel="0" collapsed="false">
      <c r="A467" s="1" t="s">
        <v>18</v>
      </c>
      <c r="B467" s="1" t="n">
        <v>72</v>
      </c>
      <c r="D467" s="1" t="n">
        <v>6050652</v>
      </c>
      <c r="E467" s="1" t="n">
        <v>0.037212</v>
      </c>
      <c r="G467" s="1" t="n">
        <v>0.314293385</v>
      </c>
      <c r="H467" s="1" t="n">
        <v>0.331389904</v>
      </c>
      <c r="I467" s="1" t="n">
        <v>0.332437038</v>
      </c>
      <c r="J467" s="1" t="n">
        <v>0.340168953</v>
      </c>
      <c r="K467" s="1" t="n">
        <v>0.333524466</v>
      </c>
      <c r="L467" s="1" t="n">
        <v>0.334164858</v>
      </c>
      <c r="M467" s="1" t="n">
        <v>0.33217907</v>
      </c>
      <c r="N467" s="1" t="n">
        <v>0.310802698</v>
      </c>
      <c r="O467" s="1" t="n">
        <v>0.311588049</v>
      </c>
      <c r="P467" s="1" t="n">
        <v>0.311411142</v>
      </c>
      <c r="R467" s="1" t="n">
        <f aca="false">PERCENTILE(G467:P467,0.9)</f>
        <v>0.3347652675</v>
      </c>
      <c r="S467" s="5" t="n">
        <f aca="false">spmv_1!R$14/R467</f>
        <v>3.29945866531689</v>
      </c>
      <c r="T467" s="6" t="n">
        <f aca="false">S467/128</f>
        <v>0.0257770208227882</v>
      </c>
    </row>
    <row r="468" customFormat="false" ht="15" hidden="false" customHeight="false" outlineLevel="0" collapsed="false">
      <c r="A468" s="1" t="s">
        <v>18</v>
      </c>
      <c r="B468" s="1" t="n">
        <v>73</v>
      </c>
      <c r="D468" s="1" t="n">
        <v>6051729</v>
      </c>
      <c r="E468" s="1" t="n">
        <v>0.037277</v>
      </c>
      <c r="G468" s="1" t="n">
        <v>0.313556671</v>
      </c>
      <c r="H468" s="1" t="n">
        <v>0.330936193</v>
      </c>
      <c r="I468" s="1" t="n">
        <v>0.332232714</v>
      </c>
      <c r="J468" s="1" t="n">
        <v>0.339682817</v>
      </c>
      <c r="K468" s="1" t="n">
        <v>0.333017111</v>
      </c>
      <c r="L468" s="1" t="n">
        <v>0.333565712</v>
      </c>
      <c r="M468" s="1" t="n">
        <v>0.331608534</v>
      </c>
      <c r="N468" s="1" t="n">
        <v>0.310313463</v>
      </c>
      <c r="O468" s="1" t="n">
        <v>0.311038733</v>
      </c>
      <c r="P468" s="1" t="n">
        <v>0.310909271</v>
      </c>
      <c r="R468" s="1" t="n">
        <f aca="false">PERCENTILE(G468:P468,0.9)</f>
        <v>0.3341774225</v>
      </c>
      <c r="S468" s="5" t="n">
        <f aca="false">spmv_1!R$14/R468</f>
        <v>3.30526267883941</v>
      </c>
      <c r="T468" s="6" t="n">
        <f aca="false">S468/128</f>
        <v>0.0258223646784329</v>
      </c>
    </row>
    <row r="469" customFormat="false" ht="15" hidden="false" customHeight="false" outlineLevel="0" collapsed="false">
      <c r="A469" s="1" t="s">
        <v>18</v>
      </c>
      <c r="B469" s="1" t="n">
        <v>74</v>
      </c>
      <c r="D469" s="1" t="n">
        <v>6052806</v>
      </c>
      <c r="E469" s="1" t="n">
        <v>0.037198</v>
      </c>
      <c r="G469" s="1" t="n">
        <v>0.31036973</v>
      </c>
      <c r="H469" s="1" t="n">
        <v>0.334920406</v>
      </c>
      <c r="I469" s="1" t="n">
        <v>0.336878061</v>
      </c>
      <c r="J469" s="1" t="n">
        <v>0.338864326</v>
      </c>
      <c r="K469" s="1" t="n">
        <v>0.333958149</v>
      </c>
      <c r="L469" s="1" t="n">
        <v>0.328737259</v>
      </c>
      <c r="M469" s="1" t="n">
        <v>0.337538719</v>
      </c>
      <c r="N469" s="1" t="n">
        <v>0.307971001</v>
      </c>
      <c r="O469" s="1" t="n">
        <v>0.312114239</v>
      </c>
      <c r="P469" s="1" t="n">
        <v>0.312983513</v>
      </c>
      <c r="R469" s="1" t="n">
        <f aca="false">PERCENTILE(G469:P469,0.9)</f>
        <v>0.3376712797</v>
      </c>
      <c r="S469" s="5" t="n">
        <f aca="false">spmv_1!R$14/R469</f>
        <v>3.27106339538654</v>
      </c>
      <c r="T469" s="6" t="n">
        <f aca="false">S469/128</f>
        <v>0.0255551827764573</v>
      </c>
    </row>
    <row r="470" customFormat="false" ht="15" hidden="false" customHeight="false" outlineLevel="0" collapsed="false">
      <c r="A470" s="1" t="s">
        <v>18</v>
      </c>
      <c r="B470" s="1" t="n">
        <v>75</v>
      </c>
      <c r="D470" s="1" t="n">
        <v>6052806</v>
      </c>
      <c r="E470" s="1" t="n">
        <v>0.037659</v>
      </c>
      <c r="G470" s="1" t="n">
        <v>0.310074806</v>
      </c>
      <c r="H470" s="1" t="n">
        <v>0.327493906</v>
      </c>
      <c r="I470" s="1" t="n">
        <v>0.329763651</v>
      </c>
      <c r="J470" s="1" t="n">
        <v>0.334084988</v>
      </c>
      <c r="K470" s="1" t="n">
        <v>0.331914425</v>
      </c>
      <c r="L470" s="1" t="n">
        <v>0.327005625</v>
      </c>
      <c r="M470" s="1" t="n">
        <v>0.332393169</v>
      </c>
      <c r="N470" s="1" t="n">
        <v>0.30268836</v>
      </c>
      <c r="O470" s="1" t="n">
        <v>0.308539629</v>
      </c>
      <c r="P470" s="1" t="n">
        <v>0.310547829</v>
      </c>
      <c r="R470" s="1" t="n">
        <f aca="false">PERCENTILE(G470:P470,0.9)</f>
        <v>0.3325623509</v>
      </c>
      <c r="S470" s="5" t="n">
        <f aca="false">spmv_1!R$14/R470</f>
        <v>3.32131451353654</v>
      </c>
      <c r="T470" s="6" t="n">
        <f aca="false">S470/128</f>
        <v>0.0259477696370042</v>
      </c>
    </row>
    <row r="471" customFormat="false" ht="15" hidden="false" customHeight="false" outlineLevel="0" collapsed="false">
      <c r="A471" s="1" t="s">
        <v>18</v>
      </c>
      <c r="B471" s="1" t="n">
        <v>76</v>
      </c>
      <c r="D471" s="1" t="n">
        <v>6051729</v>
      </c>
      <c r="E471" s="1" t="n">
        <v>0.037422</v>
      </c>
      <c r="G471" s="1" t="n">
        <v>0.308470726</v>
      </c>
      <c r="H471" s="1" t="n">
        <v>0.332646132</v>
      </c>
      <c r="I471" s="1" t="n">
        <v>0.335362434</v>
      </c>
      <c r="J471" s="1" t="n">
        <v>0.336390018</v>
      </c>
      <c r="K471" s="1" t="n">
        <v>0.331858873</v>
      </c>
      <c r="L471" s="1" t="n">
        <v>0.327115297</v>
      </c>
      <c r="M471" s="1" t="n">
        <v>0.335792542</v>
      </c>
      <c r="N471" s="1" t="n">
        <v>0.306229353</v>
      </c>
      <c r="O471" s="1" t="n">
        <v>0.309705734</v>
      </c>
      <c r="P471" s="1" t="n">
        <v>0.310762167</v>
      </c>
      <c r="R471" s="1" t="n">
        <f aca="false">PERCENTILE(G471:P471,0.9)</f>
        <v>0.3358522896</v>
      </c>
      <c r="S471" s="5" t="n">
        <f aca="false">spmv_1!R$14/R471</f>
        <v>3.28877961205955</v>
      </c>
      <c r="T471" s="6" t="n">
        <f aca="false">S471/128</f>
        <v>0.0256935907192152</v>
      </c>
    </row>
    <row r="472" customFormat="false" ht="15" hidden="false" customHeight="false" outlineLevel="0" collapsed="false">
      <c r="A472" s="1" t="s">
        <v>18</v>
      </c>
      <c r="B472" s="1" t="n">
        <v>77</v>
      </c>
      <c r="D472" s="1" t="n">
        <v>6050652</v>
      </c>
      <c r="E472" s="1" t="n">
        <v>0.037585</v>
      </c>
      <c r="G472" s="1" t="n">
        <v>0.306910753</v>
      </c>
      <c r="H472" s="1" t="n">
        <v>0.330523729</v>
      </c>
      <c r="I472" s="1" t="n">
        <v>0.33417058</v>
      </c>
      <c r="J472" s="1" t="n">
        <v>0.334547758</v>
      </c>
      <c r="K472" s="1" t="n">
        <v>0.330554247</v>
      </c>
      <c r="L472" s="1" t="n">
        <v>0.32704854</v>
      </c>
      <c r="M472" s="1" t="n">
        <v>0.334387541</v>
      </c>
      <c r="N472" s="1" t="n">
        <v>0.305568457</v>
      </c>
      <c r="O472" s="1" t="n">
        <v>0.307525635</v>
      </c>
      <c r="P472" s="1" t="n">
        <v>0.308447361</v>
      </c>
      <c r="R472" s="1" t="n">
        <f aca="false">PERCENTILE(G472:P472,0.9)</f>
        <v>0.3344035627</v>
      </c>
      <c r="S472" s="5" t="n">
        <f aca="false">spmv_1!R$14/R472</f>
        <v>3.30302749702134</v>
      </c>
      <c r="T472" s="6" t="n">
        <f aca="false">S472/128</f>
        <v>0.0258049023204792</v>
      </c>
    </row>
    <row r="473" customFormat="false" ht="15" hidden="false" customHeight="false" outlineLevel="0" collapsed="false">
      <c r="A473" s="1" t="s">
        <v>18</v>
      </c>
      <c r="B473" s="1" t="n">
        <v>78</v>
      </c>
      <c r="D473" s="1" t="n">
        <v>6049934</v>
      </c>
      <c r="E473" s="1" t="n">
        <v>0.038654</v>
      </c>
      <c r="G473" s="1" t="n">
        <v>0.297456026</v>
      </c>
      <c r="H473" s="1" t="n">
        <v>0.31968832</v>
      </c>
      <c r="I473" s="1" t="n">
        <v>0.32183814</v>
      </c>
      <c r="J473" s="1" t="n">
        <v>0.323379278</v>
      </c>
      <c r="K473" s="1" t="n">
        <v>0.320607662</v>
      </c>
      <c r="L473" s="1" t="n">
        <v>0.31917429</v>
      </c>
      <c r="M473" s="1" t="n">
        <v>0.323725462</v>
      </c>
      <c r="N473" s="1" t="n">
        <v>0.299122334</v>
      </c>
      <c r="O473" s="1" t="n">
        <v>0.302257299</v>
      </c>
      <c r="P473" s="1" t="n">
        <v>0.303028345</v>
      </c>
      <c r="R473" s="1" t="n">
        <f aca="false">PERCENTILE(G473:P473,0.9)</f>
        <v>0.3234138964</v>
      </c>
      <c r="S473" s="5" t="n">
        <f aca="false">spmv_1!R$14/R473</f>
        <v>3.41526500560104</v>
      </c>
      <c r="T473" s="6" t="n">
        <f aca="false">S473/128</f>
        <v>0.0266817578562581</v>
      </c>
    </row>
    <row r="474" customFormat="false" ht="15" hidden="false" customHeight="false" outlineLevel="0" collapsed="false">
      <c r="A474" s="1" t="s">
        <v>18</v>
      </c>
      <c r="B474" s="1" t="n">
        <v>79</v>
      </c>
      <c r="D474" s="1" t="n">
        <v>6049933</v>
      </c>
      <c r="E474" s="1" t="n">
        <v>0.038443</v>
      </c>
      <c r="G474" s="1" t="n">
        <v>0.302453756</v>
      </c>
      <c r="H474" s="1" t="n">
        <v>0.319628477</v>
      </c>
      <c r="I474" s="1" t="n">
        <v>0.323572874</v>
      </c>
      <c r="J474" s="1" t="n">
        <v>0.326338053</v>
      </c>
      <c r="K474" s="1" t="n">
        <v>0.324616432</v>
      </c>
      <c r="L474" s="1" t="n">
        <v>0.319466352</v>
      </c>
      <c r="M474" s="1" t="n">
        <v>0.327577353</v>
      </c>
      <c r="N474" s="1" t="n">
        <v>0.298441887</v>
      </c>
      <c r="O474" s="1" t="n">
        <v>0.302276134</v>
      </c>
      <c r="P474" s="1" t="n">
        <v>0.30309248</v>
      </c>
      <c r="R474" s="1" t="n">
        <f aca="false">PERCENTILE(G474:P474,0.9)</f>
        <v>0.326461983</v>
      </c>
      <c r="S474" s="5" t="n">
        <f aca="false">spmv_1!R$14/R474</f>
        <v>3.38337760663544</v>
      </c>
      <c r="T474" s="6" t="n">
        <f aca="false">S474/128</f>
        <v>0.0264326375518394</v>
      </c>
    </row>
    <row r="475" customFormat="false" ht="15" hidden="false" customHeight="false" outlineLevel="0" collapsed="false">
      <c r="A475" s="1" t="s">
        <v>18</v>
      </c>
      <c r="B475" s="1" t="n">
        <v>80</v>
      </c>
      <c r="D475" s="1" t="n">
        <v>6051010</v>
      </c>
      <c r="E475" s="1" t="n">
        <v>0.0391</v>
      </c>
      <c r="G475" s="1" t="n">
        <v>0.293604612</v>
      </c>
      <c r="H475" s="1" t="n">
        <v>0.315546989</v>
      </c>
      <c r="I475" s="1" t="n">
        <v>0.318359852</v>
      </c>
      <c r="J475" s="1" t="n">
        <v>0.320916176</v>
      </c>
      <c r="K475" s="1" t="n">
        <v>0.317625046</v>
      </c>
      <c r="L475" s="1" t="n">
        <v>0.314476252</v>
      </c>
      <c r="M475" s="1" t="n">
        <v>0.320501566</v>
      </c>
      <c r="N475" s="1" t="n">
        <v>0.296188831</v>
      </c>
      <c r="O475" s="1" t="n">
        <v>0.298268557</v>
      </c>
      <c r="P475" s="1" t="n">
        <v>0.299692631</v>
      </c>
      <c r="R475" s="1" t="n">
        <f aca="false">PERCENTILE(G475:P475,0.9)</f>
        <v>0.320543027</v>
      </c>
      <c r="S475" s="5" t="n">
        <f aca="false">spmv_1!R$14/R475</f>
        <v>3.44585303582349</v>
      </c>
      <c r="T475" s="6" t="n">
        <f aca="false">S475/128</f>
        <v>0.026920726842371</v>
      </c>
    </row>
    <row r="476" customFormat="false" ht="15" hidden="false" customHeight="false" outlineLevel="0" collapsed="false">
      <c r="A476" s="1" t="s">
        <v>18</v>
      </c>
      <c r="B476" s="1" t="n">
        <v>81</v>
      </c>
      <c r="D476" s="1" t="n">
        <v>6051729</v>
      </c>
      <c r="E476" s="1" t="n">
        <v>0.038245</v>
      </c>
      <c r="G476" s="1" t="n">
        <v>0.302849293</v>
      </c>
      <c r="H476" s="1" t="n">
        <v>0.321178913</v>
      </c>
      <c r="I476" s="1" t="n">
        <v>0.330409765</v>
      </c>
      <c r="J476" s="1" t="n">
        <v>0.327388525</v>
      </c>
      <c r="K476" s="1" t="n">
        <v>0.326758385</v>
      </c>
      <c r="L476" s="1" t="n">
        <v>0.323205471</v>
      </c>
      <c r="M476" s="1" t="n">
        <v>0.329763889</v>
      </c>
      <c r="N476" s="1" t="n">
        <v>0.299809933</v>
      </c>
      <c r="O476" s="1" t="n">
        <v>0.30108285</v>
      </c>
      <c r="P476" s="1" t="n">
        <v>0.302283764</v>
      </c>
      <c r="R476" s="1" t="n">
        <f aca="false">PERCENTILE(G476:P476,0.9)</f>
        <v>0.3298284766</v>
      </c>
      <c r="S476" s="5" t="n">
        <f aca="false">spmv_1!R$14/R476</f>
        <v>3.34884414495095</v>
      </c>
      <c r="T476" s="6" t="n">
        <f aca="false">S476/128</f>
        <v>0.0261628448824293</v>
      </c>
    </row>
    <row r="477" customFormat="false" ht="15" hidden="false" customHeight="false" outlineLevel="0" collapsed="false">
      <c r="A477" s="1" t="s">
        <v>18</v>
      </c>
      <c r="B477" s="1" t="n">
        <v>82</v>
      </c>
      <c r="D477" s="1" t="n">
        <v>6050652</v>
      </c>
      <c r="E477" s="1" t="n">
        <v>0.038826</v>
      </c>
      <c r="G477" s="1" t="n">
        <v>0.305373192</v>
      </c>
      <c r="H477" s="1" t="n">
        <v>0.315326452</v>
      </c>
      <c r="I477" s="1" t="n">
        <v>0.320219755</v>
      </c>
      <c r="J477" s="1" t="n">
        <v>0.321791172</v>
      </c>
      <c r="K477" s="1" t="n">
        <v>0.321165085</v>
      </c>
      <c r="L477" s="1" t="n">
        <v>0.315603256</v>
      </c>
      <c r="M477" s="1" t="n">
        <v>0.323762655</v>
      </c>
      <c r="N477" s="1" t="n">
        <v>0.295455456</v>
      </c>
      <c r="O477" s="1" t="n">
        <v>0.299561739</v>
      </c>
      <c r="P477" s="1" t="n">
        <v>0.298561335</v>
      </c>
      <c r="R477" s="1" t="n">
        <f aca="false">PERCENTILE(G477:P477,0.9)</f>
        <v>0.3219883203</v>
      </c>
      <c r="S477" s="5" t="n">
        <f aca="false">spmv_1!R$14/R477</f>
        <v>3.43038580303436</v>
      </c>
      <c r="T477" s="6" t="n">
        <f aca="false">S477/128</f>
        <v>0.0267998890862059</v>
      </c>
    </row>
    <row r="478" customFormat="false" ht="15" hidden="false" customHeight="false" outlineLevel="0" collapsed="false">
      <c r="A478" s="1" t="s">
        <v>18</v>
      </c>
      <c r="B478" s="1" t="n">
        <v>83</v>
      </c>
      <c r="D478" s="1" t="n">
        <v>6049575</v>
      </c>
      <c r="E478" s="1" t="n">
        <v>0.039377</v>
      </c>
      <c r="G478" s="1" t="n">
        <v>0.300310612</v>
      </c>
      <c r="H478" s="1" t="n">
        <v>0.311594725</v>
      </c>
      <c r="I478" s="1" t="n">
        <v>0.314605474</v>
      </c>
      <c r="J478" s="1" t="n">
        <v>0.318552732</v>
      </c>
      <c r="K478" s="1" t="n">
        <v>0.314373732</v>
      </c>
      <c r="L478" s="1" t="n">
        <v>0.310979128</v>
      </c>
      <c r="M478" s="1" t="n">
        <v>0.316634178</v>
      </c>
      <c r="N478" s="1" t="n">
        <v>0.294163704</v>
      </c>
      <c r="O478" s="1" t="n">
        <v>0.295115948</v>
      </c>
      <c r="P478" s="1" t="n">
        <v>0.296309233</v>
      </c>
      <c r="R478" s="1" t="n">
        <f aca="false">PERCENTILE(G478:P478,0.9)</f>
        <v>0.3168260334</v>
      </c>
      <c r="S478" s="5" t="n">
        <f aca="false">spmv_1!R$14/R478</f>
        <v>3.48627968114441</v>
      </c>
      <c r="T478" s="6" t="n">
        <f aca="false">S478/128</f>
        <v>0.0272365600089407</v>
      </c>
    </row>
    <row r="479" customFormat="false" ht="15" hidden="false" customHeight="false" outlineLevel="0" collapsed="false">
      <c r="A479" s="1" t="s">
        <v>18</v>
      </c>
      <c r="B479" s="1" t="n">
        <v>84</v>
      </c>
      <c r="D479" s="1" t="n">
        <v>6048498</v>
      </c>
      <c r="E479" s="1" t="n">
        <v>0.038806</v>
      </c>
      <c r="G479" s="1" t="n">
        <v>0.309221268</v>
      </c>
      <c r="H479" s="1" t="n">
        <v>0.313699722</v>
      </c>
      <c r="I479" s="1" t="n">
        <v>0.319579601</v>
      </c>
      <c r="J479" s="1" t="n">
        <v>0.325154543</v>
      </c>
      <c r="K479" s="1" t="n">
        <v>0.319746494</v>
      </c>
      <c r="L479" s="1" t="n">
        <v>0.315476418</v>
      </c>
      <c r="M479" s="1" t="n">
        <v>0.322461128</v>
      </c>
      <c r="N479" s="1" t="n">
        <v>0.297954321</v>
      </c>
      <c r="O479" s="1" t="n">
        <v>0.298268557</v>
      </c>
      <c r="P479" s="1" t="n">
        <v>0.295765638</v>
      </c>
      <c r="R479" s="1" t="n">
        <f aca="false">PERCENTILE(G479:P479,0.9)</f>
        <v>0.3227304695</v>
      </c>
      <c r="S479" s="5" t="n">
        <f aca="false">spmv_1!R$14/R479</f>
        <v>3.42249730684323</v>
      </c>
      <c r="T479" s="6" t="n">
        <f aca="false">S479/128</f>
        <v>0.0267382602097127</v>
      </c>
    </row>
    <row r="480" customFormat="false" ht="15" hidden="false" customHeight="false" outlineLevel="0" collapsed="false">
      <c r="A480" s="1" t="s">
        <v>18</v>
      </c>
      <c r="B480" s="1" t="n">
        <v>85</v>
      </c>
      <c r="D480" s="1" t="n">
        <v>6048498</v>
      </c>
      <c r="E480" s="1" t="n">
        <v>0.038708</v>
      </c>
      <c r="G480" s="1" t="n">
        <v>0.311950922</v>
      </c>
      <c r="H480" s="1" t="n">
        <v>0.31577301</v>
      </c>
      <c r="I480" s="1" t="n">
        <v>0.320330858</v>
      </c>
      <c r="J480" s="1" t="n">
        <v>0.329088926</v>
      </c>
      <c r="K480" s="1" t="n">
        <v>0.314528465</v>
      </c>
      <c r="L480" s="1" t="n">
        <v>0.319529295</v>
      </c>
      <c r="M480" s="1" t="n">
        <v>0.318342924</v>
      </c>
      <c r="N480" s="1" t="n">
        <v>0.303770304</v>
      </c>
      <c r="O480" s="1" t="n">
        <v>0.296658993</v>
      </c>
      <c r="P480" s="1" t="n">
        <v>0.295208454</v>
      </c>
      <c r="R480" s="1" t="n">
        <f aca="false">PERCENTILE(G480:P480,0.9)</f>
        <v>0.3212066648</v>
      </c>
      <c r="S480" s="5" t="n">
        <f aca="false">spmv_1!R$14/R480</f>
        <v>3.43873363707365</v>
      </c>
      <c r="T480" s="6" t="n">
        <f aca="false">S480/128</f>
        <v>0.0268651065396379</v>
      </c>
    </row>
    <row r="481" customFormat="false" ht="15" hidden="false" customHeight="false" outlineLevel="0" collapsed="false">
      <c r="A481" s="1" t="s">
        <v>18</v>
      </c>
      <c r="B481" s="1" t="n">
        <v>86</v>
      </c>
      <c r="D481" s="1" t="n">
        <v>6049575</v>
      </c>
      <c r="E481" s="1" t="n">
        <v>0.038221</v>
      </c>
      <c r="G481" s="1" t="n">
        <v>0.311645985</v>
      </c>
      <c r="H481" s="1" t="n">
        <v>0.317372084</v>
      </c>
      <c r="I481" s="1" t="n">
        <v>0.327585459</v>
      </c>
      <c r="J481" s="1" t="n">
        <v>0.332471609</v>
      </c>
      <c r="K481" s="1" t="n">
        <v>0.321252346</v>
      </c>
      <c r="L481" s="1" t="n">
        <v>0.323933363</v>
      </c>
      <c r="M481" s="1" t="n">
        <v>0.323403835</v>
      </c>
      <c r="N481" s="1" t="n">
        <v>0.304135084</v>
      </c>
      <c r="O481" s="1" t="n">
        <v>0.302075148</v>
      </c>
      <c r="P481" s="1" t="n">
        <v>0.301699638</v>
      </c>
      <c r="R481" s="1" t="n">
        <f aca="false">PERCENTILE(G481:P481,0.9)</f>
        <v>0.328074074</v>
      </c>
      <c r="S481" s="5" t="n">
        <f aca="false">spmv_1!R$14/R481</f>
        <v>3.36675235940771</v>
      </c>
      <c r="T481" s="6" t="n">
        <f aca="false">S481/128</f>
        <v>0.0263027528078727</v>
      </c>
    </row>
    <row r="482" customFormat="false" ht="15" hidden="false" customHeight="false" outlineLevel="0" collapsed="false">
      <c r="A482" s="1" t="s">
        <v>18</v>
      </c>
      <c r="B482" s="1" t="n">
        <v>87</v>
      </c>
      <c r="D482" s="1" t="n">
        <v>6050652</v>
      </c>
      <c r="E482" s="1" t="n">
        <v>0.038549</v>
      </c>
      <c r="G482" s="1" t="n">
        <v>0.31415391</v>
      </c>
      <c r="H482" s="1" t="n">
        <v>0.317664146</v>
      </c>
      <c r="I482" s="1" t="n">
        <v>0.318091154</v>
      </c>
      <c r="J482" s="1" t="n">
        <v>0.330720901</v>
      </c>
      <c r="K482" s="1" t="n">
        <v>0.312737703</v>
      </c>
      <c r="L482" s="1" t="n">
        <v>0.321369886</v>
      </c>
      <c r="M482" s="1" t="n">
        <v>0.317122936</v>
      </c>
      <c r="N482" s="1" t="n">
        <v>0.300941944</v>
      </c>
      <c r="O482" s="1" t="n">
        <v>0.303963184</v>
      </c>
      <c r="P482" s="1" t="n">
        <v>0.302396059</v>
      </c>
      <c r="R482" s="1" t="n">
        <f aca="false">PERCENTILE(G482:P482,0.9)</f>
        <v>0.3223049875</v>
      </c>
      <c r="S482" s="5" t="n">
        <f aca="false">spmv_1!R$14/R482</f>
        <v>3.42701542184481</v>
      </c>
      <c r="T482" s="6" t="n">
        <f aca="false">S482/128</f>
        <v>0.0267735579831626</v>
      </c>
    </row>
    <row r="483" customFormat="false" ht="15" hidden="false" customHeight="false" outlineLevel="0" collapsed="false">
      <c r="A483" s="1" t="s">
        <v>18</v>
      </c>
      <c r="B483" s="1" t="n">
        <v>88</v>
      </c>
      <c r="D483" s="1" t="n">
        <v>6051729</v>
      </c>
      <c r="E483" s="1" t="n">
        <v>0.038498</v>
      </c>
      <c r="G483" s="1" t="n">
        <v>0.315754175</v>
      </c>
      <c r="H483" s="1" t="n">
        <v>0.319698095</v>
      </c>
      <c r="I483" s="1" t="n">
        <v>0.317971468</v>
      </c>
      <c r="J483" s="1" t="n">
        <v>0.334133625</v>
      </c>
      <c r="K483" s="1" t="n">
        <v>0.310102224</v>
      </c>
      <c r="L483" s="1" t="n">
        <v>0.323806047</v>
      </c>
      <c r="M483" s="1" t="n">
        <v>0.313874722</v>
      </c>
      <c r="N483" s="1" t="n">
        <v>0.307226181</v>
      </c>
      <c r="O483" s="1" t="n">
        <v>0.301827908</v>
      </c>
      <c r="P483" s="1" t="n">
        <v>0.299512863</v>
      </c>
      <c r="R483" s="1" t="n">
        <f aca="false">PERCENTILE(G483:P483,0.9)</f>
        <v>0.3248388048</v>
      </c>
      <c r="S483" s="5" t="n">
        <f aca="false">spmv_1!R$14/R483</f>
        <v>3.40028391429422</v>
      </c>
      <c r="T483" s="6" t="n">
        <f aca="false">S483/128</f>
        <v>0.0265647180804236</v>
      </c>
    </row>
    <row r="484" customFormat="false" ht="15" hidden="false" customHeight="false" outlineLevel="0" collapsed="false">
      <c r="A484" s="1" t="s">
        <v>18</v>
      </c>
      <c r="B484" s="1" t="n">
        <v>89</v>
      </c>
      <c r="D484" s="1" t="n">
        <v>6051729</v>
      </c>
      <c r="E484" s="1" t="n">
        <v>0.038367</v>
      </c>
      <c r="G484" s="1" t="n">
        <v>0.317818403</v>
      </c>
      <c r="H484" s="1" t="n">
        <v>0.320800543</v>
      </c>
      <c r="I484" s="1" t="n">
        <v>0.312390804</v>
      </c>
      <c r="J484" s="1" t="n">
        <v>0.336817026</v>
      </c>
      <c r="K484" s="1" t="n">
        <v>0.312036514</v>
      </c>
      <c r="L484" s="1" t="n">
        <v>0.32601881</v>
      </c>
      <c r="M484" s="1" t="n">
        <v>0.313260078</v>
      </c>
      <c r="N484" s="1" t="n">
        <v>0.309646845</v>
      </c>
      <c r="O484" s="1" t="n">
        <v>0.304484129</v>
      </c>
      <c r="P484" s="1" t="n">
        <v>0.30139327</v>
      </c>
      <c r="R484" s="1" t="n">
        <f aca="false">PERCENTILE(G484:P484,0.9)</f>
        <v>0.3270986316</v>
      </c>
      <c r="S484" s="5" t="n">
        <f aca="false">spmv_1!R$14/R484</f>
        <v>3.37679236778562</v>
      </c>
      <c r="T484" s="6" t="n">
        <f aca="false">S484/128</f>
        <v>0.0263811903733252</v>
      </c>
    </row>
    <row r="485" customFormat="false" ht="15" hidden="false" customHeight="false" outlineLevel="0" collapsed="false">
      <c r="A485" s="1" t="s">
        <v>18</v>
      </c>
      <c r="B485" s="1" t="n">
        <v>90</v>
      </c>
      <c r="D485" s="1" t="n">
        <v>6050652</v>
      </c>
      <c r="E485" s="1" t="n">
        <v>0.038362</v>
      </c>
      <c r="G485" s="1" t="n">
        <v>0.314102888</v>
      </c>
      <c r="H485" s="1" t="n">
        <v>0.318139315</v>
      </c>
      <c r="I485" s="1" t="n">
        <v>0.302751541</v>
      </c>
      <c r="J485" s="1" t="n">
        <v>0.330148697</v>
      </c>
      <c r="K485" s="1" t="n">
        <v>0.324757338</v>
      </c>
      <c r="L485" s="1" t="n">
        <v>0.321149111</v>
      </c>
      <c r="M485" s="1" t="n">
        <v>0.304713726</v>
      </c>
      <c r="N485" s="1" t="n">
        <v>0.30423522</v>
      </c>
      <c r="O485" s="1" t="n">
        <v>0.305964947</v>
      </c>
      <c r="P485" s="1" t="n">
        <v>0.328510284</v>
      </c>
      <c r="R485" s="1" t="n">
        <f aca="false">PERCENTILE(G485:P485,0.9)</f>
        <v>0.3286741253</v>
      </c>
      <c r="S485" s="5" t="n">
        <f aca="false">spmv_1!R$14/R485</f>
        <v>3.36060577233397</v>
      </c>
      <c r="T485" s="6" t="n">
        <f aca="false">S485/128</f>
        <v>0.0262547325963592</v>
      </c>
    </row>
    <row r="486" customFormat="false" ht="15" hidden="false" customHeight="false" outlineLevel="0" collapsed="false">
      <c r="A486" s="1" t="s">
        <v>18</v>
      </c>
      <c r="B486" s="1" t="n">
        <v>91</v>
      </c>
      <c r="D486" s="1" t="n">
        <v>6049575</v>
      </c>
      <c r="E486" s="1" t="n">
        <v>0.037802</v>
      </c>
      <c r="G486" s="1" t="n">
        <v>0.316262007</v>
      </c>
      <c r="H486" s="1" t="n">
        <v>0.328402519</v>
      </c>
      <c r="I486" s="1" t="n">
        <v>0.319196939</v>
      </c>
      <c r="J486" s="1" t="n">
        <v>0.341158867</v>
      </c>
      <c r="K486" s="1" t="n">
        <v>0.322148085</v>
      </c>
      <c r="L486" s="1" t="n">
        <v>0.327622414</v>
      </c>
      <c r="M486" s="1" t="n">
        <v>0.313878536</v>
      </c>
      <c r="N486" s="1" t="n">
        <v>0.310374975</v>
      </c>
      <c r="O486" s="1" t="n">
        <v>0.311832905</v>
      </c>
      <c r="P486" s="1" t="n">
        <v>0.309805155</v>
      </c>
      <c r="R486" s="1" t="n">
        <f aca="false">PERCENTILE(G486:P486,0.9)</f>
        <v>0.3296781538</v>
      </c>
      <c r="S486" s="5" t="n">
        <f aca="false">spmv_1!R$14/R486</f>
        <v>3.35037111185133</v>
      </c>
      <c r="T486" s="6" t="n">
        <f aca="false">S486/128</f>
        <v>0.0261747743113385</v>
      </c>
    </row>
    <row r="487" customFormat="false" ht="15" hidden="false" customHeight="false" outlineLevel="0" collapsed="false">
      <c r="A487" s="1" t="s">
        <v>18</v>
      </c>
      <c r="B487" s="1" t="n">
        <v>92</v>
      </c>
      <c r="D487" s="1" t="n">
        <v>6048498</v>
      </c>
      <c r="E487" s="1" t="n">
        <v>0.037962</v>
      </c>
      <c r="G487" s="1" t="n">
        <v>0.313183069</v>
      </c>
      <c r="H487" s="1" t="n">
        <v>0.321586847</v>
      </c>
      <c r="I487" s="1" t="n">
        <v>0.334413528</v>
      </c>
      <c r="J487" s="1" t="n">
        <v>0.333304405</v>
      </c>
      <c r="K487" s="1" t="n">
        <v>0.314638853</v>
      </c>
      <c r="L487" s="1" t="n">
        <v>0.323235035</v>
      </c>
      <c r="M487" s="1" t="n">
        <v>0.308456182</v>
      </c>
      <c r="N487" s="1" t="n">
        <v>0.311816931</v>
      </c>
      <c r="O487" s="1" t="n">
        <v>0.319344044</v>
      </c>
      <c r="P487" s="1" t="n">
        <v>0.306622028</v>
      </c>
      <c r="R487" s="1" t="n">
        <f aca="false">PERCENTILE(G487:P487,0.9)</f>
        <v>0.3334153173</v>
      </c>
      <c r="S487" s="5" t="n">
        <f aca="false">spmv_1!R$14/R487</f>
        <v>3.31281769429374</v>
      </c>
      <c r="T487" s="6" t="n">
        <f aca="false">S487/128</f>
        <v>0.0258813882366698</v>
      </c>
    </row>
    <row r="488" customFormat="false" ht="15" hidden="false" customHeight="false" outlineLevel="0" collapsed="false">
      <c r="A488" s="1" t="s">
        <v>18</v>
      </c>
      <c r="B488" s="1" t="n">
        <v>93</v>
      </c>
      <c r="D488" s="1" t="n">
        <v>6048498</v>
      </c>
      <c r="E488" s="1" t="n">
        <v>0.038192</v>
      </c>
      <c r="G488" s="1" t="n">
        <v>0.315088272</v>
      </c>
      <c r="H488" s="1" t="n">
        <v>0.322664976</v>
      </c>
      <c r="I488" s="1" t="n">
        <v>0.306890249</v>
      </c>
      <c r="J488" s="1" t="n">
        <v>0.334882021</v>
      </c>
      <c r="K488" s="1" t="n">
        <v>0.316566706</v>
      </c>
      <c r="L488" s="1" t="n">
        <v>0.323988438</v>
      </c>
      <c r="M488" s="1" t="n">
        <v>0.319228172</v>
      </c>
      <c r="N488" s="1" t="n">
        <v>0.308871746</v>
      </c>
      <c r="O488" s="1" t="n">
        <v>0.311078548</v>
      </c>
      <c r="P488" s="1" t="n">
        <v>0.308184624</v>
      </c>
      <c r="R488" s="1" t="n">
        <f aca="false">PERCENTILE(G488:P488,0.9)</f>
        <v>0.3250777963</v>
      </c>
      <c r="S488" s="5" t="n">
        <f aca="false">spmv_1!R$14/R488</f>
        <v>3.39778408513839</v>
      </c>
      <c r="T488" s="6" t="n">
        <f aca="false">S488/128</f>
        <v>0.0265451881651437</v>
      </c>
    </row>
    <row r="489" customFormat="false" ht="15" hidden="false" customHeight="false" outlineLevel="0" collapsed="false">
      <c r="A489" s="1" t="s">
        <v>18</v>
      </c>
      <c r="B489" s="1" t="n">
        <v>94</v>
      </c>
      <c r="D489" s="1" t="n">
        <v>6049216</v>
      </c>
      <c r="E489" s="1" t="n">
        <v>0.037656</v>
      </c>
      <c r="G489" s="1" t="n">
        <v>0.322388649</v>
      </c>
      <c r="H489" s="1" t="n">
        <v>0.327167034</v>
      </c>
      <c r="I489" s="1" t="n">
        <v>0.314520597</v>
      </c>
      <c r="J489" s="1" t="n">
        <v>0.342865944</v>
      </c>
      <c r="K489" s="1" t="n">
        <v>0.321282387</v>
      </c>
      <c r="L489" s="1" t="n">
        <v>0.331630468</v>
      </c>
      <c r="M489" s="1" t="n">
        <v>0.315897703</v>
      </c>
      <c r="N489" s="1" t="n">
        <v>0.314841986</v>
      </c>
      <c r="O489" s="1" t="n">
        <v>0.312717438</v>
      </c>
      <c r="P489" s="1" t="n">
        <v>0.309555531</v>
      </c>
      <c r="R489" s="1" t="n">
        <f aca="false">PERCENTILE(G489:P489,0.9)</f>
        <v>0.3327540156</v>
      </c>
      <c r="S489" s="5" t="n">
        <f aca="false">spmv_1!R$14/R489</f>
        <v>3.31940145247642</v>
      </c>
      <c r="T489" s="6" t="n">
        <f aca="false">S489/128</f>
        <v>0.025932823847472</v>
      </c>
    </row>
    <row r="490" customFormat="false" ht="15" hidden="false" customHeight="false" outlineLevel="0" collapsed="false">
      <c r="A490" s="1" t="s">
        <v>18</v>
      </c>
      <c r="B490" s="1" t="n">
        <v>95</v>
      </c>
      <c r="D490" s="1" t="n">
        <v>6049574</v>
      </c>
      <c r="E490" s="1" t="n">
        <v>0.03745</v>
      </c>
      <c r="G490" s="1" t="n">
        <v>0.323877335</v>
      </c>
      <c r="H490" s="1" t="n">
        <v>0.328748465</v>
      </c>
      <c r="I490" s="1" t="n">
        <v>0.317037344</v>
      </c>
      <c r="J490" s="1" t="n">
        <v>0.343901873</v>
      </c>
      <c r="K490" s="1" t="n">
        <v>0.323844671</v>
      </c>
      <c r="L490" s="1" t="n">
        <v>0.333236217</v>
      </c>
      <c r="M490" s="1" t="n">
        <v>0.317861557</v>
      </c>
      <c r="N490" s="1" t="n">
        <v>0.31616497</v>
      </c>
      <c r="O490" s="1" t="n">
        <v>0.314710379</v>
      </c>
      <c r="P490" s="1" t="n">
        <v>0.311395884</v>
      </c>
      <c r="R490" s="1" t="n">
        <f aca="false">PERCENTILE(G490:P490,0.9)</f>
        <v>0.3343027826</v>
      </c>
      <c r="S490" s="5" t="n">
        <f aca="false">spmv_1!R$14/R490</f>
        <v>3.3040232393806</v>
      </c>
      <c r="T490" s="6" t="n">
        <f aca="false">S490/128</f>
        <v>0.0258126815576609</v>
      </c>
    </row>
    <row r="491" customFormat="false" ht="15" hidden="false" customHeight="false" outlineLevel="0" collapsed="false">
      <c r="A491" s="1" t="s">
        <v>18</v>
      </c>
      <c r="B491" s="1" t="n">
        <v>96</v>
      </c>
      <c r="D491" s="1" t="n">
        <v>6049574</v>
      </c>
      <c r="E491" s="1" t="n">
        <v>0.037621</v>
      </c>
      <c r="G491" s="1" t="n">
        <v>0.319184065</v>
      </c>
      <c r="H491" s="1" t="n">
        <v>0.33216095</v>
      </c>
      <c r="I491" s="1" t="n">
        <v>0.313141346</v>
      </c>
      <c r="J491" s="1" t="n">
        <v>0.341603279</v>
      </c>
      <c r="K491" s="1" t="n">
        <v>0.322615862</v>
      </c>
      <c r="L491" s="1" t="n">
        <v>0.330696106</v>
      </c>
      <c r="M491" s="1" t="n">
        <v>0.314689398</v>
      </c>
      <c r="N491" s="1" t="n">
        <v>0.314349174</v>
      </c>
      <c r="O491" s="1" t="n">
        <v>0.315194368</v>
      </c>
      <c r="P491" s="1" t="n">
        <v>0.312453508</v>
      </c>
      <c r="R491" s="1" t="n">
        <f aca="false">PERCENTILE(G491:P491,0.9)</f>
        <v>0.3331051829</v>
      </c>
      <c r="S491" s="5" t="n">
        <f aca="false">spmv_1!R$14/R491</f>
        <v>3.31590206157672</v>
      </c>
      <c r="T491" s="6" t="n">
        <f aca="false">S491/128</f>
        <v>0.0259054848560681</v>
      </c>
    </row>
    <row r="492" customFormat="false" ht="15" hidden="false" customHeight="false" outlineLevel="0" collapsed="false">
      <c r="A492" s="1" t="s">
        <v>18</v>
      </c>
      <c r="B492" s="1" t="n">
        <v>97</v>
      </c>
      <c r="D492" s="1" t="n">
        <v>6049216</v>
      </c>
      <c r="E492" s="1" t="n">
        <v>0.037817</v>
      </c>
      <c r="G492" s="1" t="n">
        <v>0.322916269</v>
      </c>
      <c r="H492" s="1" t="n">
        <v>0.324674845</v>
      </c>
      <c r="I492" s="1" t="n">
        <v>0.309959888</v>
      </c>
      <c r="J492" s="1" t="n">
        <v>0.335494995</v>
      </c>
      <c r="K492" s="1" t="n">
        <v>0.318183661</v>
      </c>
      <c r="L492" s="1" t="n">
        <v>0.325031757</v>
      </c>
      <c r="M492" s="1" t="n">
        <v>0.316607714</v>
      </c>
      <c r="N492" s="1" t="n">
        <v>0.311902523</v>
      </c>
      <c r="O492" s="1" t="n">
        <v>0.319648266</v>
      </c>
      <c r="P492" s="1" t="n">
        <v>0.314817667</v>
      </c>
      <c r="R492" s="1" t="n">
        <f aca="false">PERCENTILE(G492:P492,0.9)</f>
        <v>0.3260780808</v>
      </c>
      <c r="S492" s="5" t="n">
        <f aca="false">spmv_1!R$14/R492</f>
        <v>3.38736096578498</v>
      </c>
      <c r="T492" s="6" t="n">
        <f aca="false">S492/128</f>
        <v>0.0264637575451951</v>
      </c>
    </row>
    <row r="493" customFormat="false" ht="15" hidden="false" customHeight="false" outlineLevel="0" collapsed="false">
      <c r="A493" s="1" t="s">
        <v>18</v>
      </c>
      <c r="B493" s="1" t="n">
        <v>98</v>
      </c>
      <c r="D493" s="1" t="n">
        <v>6048498</v>
      </c>
      <c r="E493" s="1" t="n">
        <v>0.03832</v>
      </c>
      <c r="G493" s="1" t="n">
        <v>0.319410086</v>
      </c>
      <c r="H493" s="1" t="n">
        <v>0.318448067</v>
      </c>
      <c r="I493" s="1" t="n">
        <v>0.306664228</v>
      </c>
      <c r="J493" s="1" t="n">
        <v>0.332442999</v>
      </c>
      <c r="K493" s="1" t="n">
        <v>0.310763121</v>
      </c>
      <c r="L493" s="1" t="n">
        <v>0.319032431</v>
      </c>
      <c r="M493" s="1" t="n">
        <v>0.313642263</v>
      </c>
      <c r="N493" s="1" t="n">
        <v>0.309019566</v>
      </c>
      <c r="O493" s="1" t="n">
        <v>0.315766573</v>
      </c>
      <c r="P493" s="1" t="n">
        <v>0.311679125</v>
      </c>
      <c r="R493" s="1" t="n">
        <f aca="false">PERCENTILE(G493:P493,0.9)</f>
        <v>0.3207133773</v>
      </c>
      <c r="S493" s="5" t="n">
        <f aca="false">spmv_1!R$14/R493</f>
        <v>3.44402273456399</v>
      </c>
      <c r="T493" s="6" t="n">
        <f aca="false">S493/128</f>
        <v>0.0269064276137812</v>
      </c>
    </row>
    <row r="494" customFormat="false" ht="15" hidden="false" customHeight="false" outlineLevel="0" collapsed="false">
      <c r="A494" s="1" t="s">
        <v>18</v>
      </c>
      <c r="B494" s="1" t="n">
        <v>99</v>
      </c>
      <c r="D494" s="1" t="n">
        <v>6048498</v>
      </c>
      <c r="E494" s="1" t="n">
        <v>0.037642</v>
      </c>
      <c r="G494" s="1" t="n">
        <v>0.327291012</v>
      </c>
      <c r="H494" s="1" t="n">
        <v>0.322193861</v>
      </c>
      <c r="I494" s="1" t="n">
        <v>0.3136096</v>
      </c>
      <c r="J494" s="1" t="n">
        <v>0.333688021</v>
      </c>
      <c r="K494" s="1" t="n">
        <v>0.315974236</v>
      </c>
      <c r="L494" s="1" t="n">
        <v>0.322738647</v>
      </c>
      <c r="M494" s="1" t="n">
        <v>0.320980072</v>
      </c>
      <c r="N494" s="1" t="n">
        <v>0.31545186</v>
      </c>
      <c r="O494" s="1" t="n">
        <v>0.322899818</v>
      </c>
      <c r="P494" s="1" t="n">
        <v>0.318882704</v>
      </c>
      <c r="R494" s="1" t="n">
        <f aca="false">PERCENTILE(G494:P494,0.9)</f>
        <v>0.3279307129</v>
      </c>
      <c r="S494" s="5" t="n">
        <f aca="false">spmv_1!R$14/R494</f>
        <v>3.36822419874049</v>
      </c>
      <c r="T494" s="6" t="n">
        <f aca="false">S494/128</f>
        <v>0.0263142515526601</v>
      </c>
    </row>
    <row r="495" customFormat="false" ht="15" hidden="false" customHeight="false" outlineLevel="0" collapsed="false">
      <c r="A495" s="1" t="s">
        <v>18</v>
      </c>
      <c r="B495" s="1" t="n">
        <v>100</v>
      </c>
      <c r="D495" s="1" t="n">
        <v>6049575</v>
      </c>
      <c r="E495" s="1" t="n">
        <v>0.037816</v>
      </c>
      <c r="G495" s="1" t="n">
        <v>0.325784445</v>
      </c>
      <c r="H495" s="1" t="n">
        <v>0.318381786</v>
      </c>
      <c r="I495" s="1" t="n">
        <v>0.313090086</v>
      </c>
      <c r="J495" s="1" t="n">
        <v>0.329392433</v>
      </c>
      <c r="K495" s="1" t="n">
        <v>0.316063404</v>
      </c>
      <c r="L495" s="1" t="n">
        <v>0.318711758</v>
      </c>
      <c r="M495" s="1" t="n">
        <v>0.32013917</v>
      </c>
      <c r="N495" s="1" t="n">
        <v>0.315234661</v>
      </c>
      <c r="O495" s="1" t="n">
        <v>0.323504686</v>
      </c>
      <c r="P495" s="1" t="n">
        <v>0.319135904</v>
      </c>
      <c r="R495" s="1" t="n">
        <f aca="false">PERCENTILE(G495:P495,0.9)</f>
        <v>0.3261452438</v>
      </c>
      <c r="S495" s="5" t="n">
        <f aca="false">spmv_1!R$14/R495</f>
        <v>3.38666340747662</v>
      </c>
      <c r="T495" s="6" t="n">
        <f aca="false">S495/128</f>
        <v>0.0264583078709111</v>
      </c>
    </row>
    <row r="496" customFormat="false" ht="15" hidden="false" customHeight="false" outlineLevel="0" collapsed="false">
      <c r="A496" s="1" t="s">
        <v>18</v>
      </c>
      <c r="B496" s="1" t="n">
        <v>101</v>
      </c>
      <c r="D496" s="1" t="n">
        <v>6050652</v>
      </c>
      <c r="E496" s="1" t="n">
        <v>0.037341</v>
      </c>
      <c r="G496" s="1" t="n">
        <v>0.331247807</v>
      </c>
      <c r="H496" s="1" t="n">
        <v>0.32326889</v>
      </c>
      <c r="I496" s="1" t="n">
        <v>0.317695379</v>
      </c>
      <c r="J496" s="1" t="n">
        <v>0.33055234</v>
      </c>
      <c r="K496" s="1" t="n">
        <v>0.319903374</v>
      </c>
      <c r="L496" s="1" t="n">
        <v>0.323101521</v>
      </c>
      <c r="M496" s="1" t="n">
        <v>0.325027704</v>
      </c>
      <c r="N496" s="1" t="n">
        <v>0.319546223</v>
      </c>
      <c r="O496" s="1" t="n">
        <v>0.327132225</v>
      </c>
      <c r="P496" s="1" t="n">
        <v>0.323297739</v>
      </c>
      <c r="R496" s="1" t="n">
        <f aca="false">PERCENTILE(G496:P496,0.9)</f>
        <v>0.3306218867</v>
      </c>
      <c r="S496" s="5" t="n">
        <f aca="false">spmv_1!R$14/R496</f>
        <v>3.34080775391087</v>
      </c>
      <c r="T496" s="6" t="n">
        <f aca="false">S496/128</f>
        <v>0.0261000605774286</v>
      </c>
    </row>
    <row r="497" customFormat="false" ht="15" hidden="false" customHeight="false" outlineLevel="0" collapsed="false">
      <c r="A497" s="1" t="s">
        <v>18</v>
      </c>
      <c r="B497" s="1" t="n">
        <v>102</v>
      </c>
      <c r="D497" s="1" t="n">
        <v>6051729</v>
      </c>
      <c r="E497" s="1" t="n">
        <v>0.037148</v>
      </c>
      <c r="G497" s="1" t="n">
        <v>0.333075047</v>
      </c>
      <c r="H497" s="1" t="n">
        <v>0.326246262</v>
      </c>
      <c r="I497" s="1" t="n">
        <v>0.319718838</v>
      </c>
      <c r="J497" s="1" t="n">
        <v>0.328278065</v>
      </c>
      <c r="K497" s="1" t="n">
        <v>0.321805954</v>
      </c>
      <c r="L497" s="1" t="n">
        <v>0.324546576</v>
      </c>
      <c r="M497" s="1" t="n">
        <v>0.327566385</v>
      </c>
      <c r="N497" s="1" t="n">
        <v>0.32171154</v>
      </c>
      <c r="O497" s="1" t="n">
        <v>0.329435825</v>
      </c>
      <c r="P497" s="1" t="n">
        <v>0.325745344</v>
      </c>
      <c r="R497" s="1" t="n">
        <f aca="false">PERCENTILE(G497:P497,0.9)</f>
        <v>0.3297997472</v>
      </c>
      <c r="S497" s="5" t="n">
        <f aca="false">spmv_1!R$14/R497</f>
        <v>3.3491358682885</v>
      </c>
      <c r="T497" s="6" t="n">
        <f aca="false">S497/128</f>
        <v>0.0261651239710039</v>
      </c>
    </row>
    <row r="498" customFormat="false" ht="15" hidden="false" customHeight="false" outlineLevel="0" collapsed="false">
      <c r="A498" s="1" t="s">
        <v>18</v>
      </c>
      <c r="B498" s="1" t="n">
        <v>103</v>
      </c>
      <c r="D498" s="1" t="n">
        <v>6051729</v>
      </c>
      <c r="E498" s="1" t="n">
        <v>0.036714</v>
      </c>
      <c r="G498" s="1" t="n">
        <v>0.334597826</v>
      </c>
      <c r="H498" s="1" t="n">
        <v>0.332126379</v>
      </c>
      <c r="I498" s="1" t="n">
        <v>0.325065136</v>
      </c>
      <c r="J498" s="1" t="n">
        <v>0.329118252</v>
      </c>
      <c r="K498" s="1" t="n">
        <v>0.327188015</v>
      </c>
      <c r="L498" s="1" t="n">
        <v>0.329730272</v>
      </c>
      <c r="M498" s="1" t="n">
        <v>0.330758572</v>
      </c>
      <c r="N498" s="1" t="n">
        <v>0.325984955</v>
      </c>
      <c r="O498" s="1" t="n">
        <v>0.332968712</v>
      </c>
      <c r="P498" s="1" t="n">
        <v>0.329167366</v>
      </c>
      <c r="R498" s="1" t="n">
        <f aca="false">PERCENTILE(G498:P498,0.9)</f>
        <v>0.3331316234</v>
      </c>
      <c r="S498" s="5" t="n">
        <f aca="false">spmv_1!R$14/R498</f>
        <v>3.31563887999232</v>
      </c>
      <c r="T498" s="6" t="n">
        <f aca="false">S498/128</f>
        <v>0.02590342874994</v>
      </c>
    </row>
    <row r="499" customFormat="false" ht="15" hidden="false" customHeight="false" outlineLevel="0" collapsed="false">
      <c r="A499" s="1" t="s">
        <v>18</v>
      </c>
      <c r="B499" s="1" t="n">
        <v>104</v>
      </c>
      <c r="D499" s="1" t="n">
        <v>6050652</v>
      </c>
      <c r="E499" s="1" t="n">
        <v>0.036499</v>
      </c>
      <c r="G499" s="1" t="n">
        <v>0.337435722</v>
      </c>
      <c r="H499" s="1" t="n">
        <v>0.333878517</v>
      </c>
      <c r="I499" s="1" t="n">
        <v>0.327123404</v>
      </c>
      <c r="J499" s="1" t="n">
        <v>0.328990221</v>
      </c>
      <c r="K499" s="1" t="n">
        <v>0.328851461</v>
      </c>
      <c r="L499" s="1" t="n">
        <v>0.334316492</v>
      </c>
      <c r="M499" s="1" t="n">
        <v>0.332607031</v>
      </c>
      <c r="N499" s="1" t="n">
        <v>0.327313662</v>
      </c>
      <c r="O499" s="1" t="n">
        <v>0.33456707</v>
      </c>
      <c r="P499" s="1" t="n">
        <v>0.330429554</v>
      </c>
      <c r="R499" s="1" t="n">
        <f aca="false">PERCENTILE(G499:P499,0.9)</f>
        <v>0.3348539352</v>
      </c>
      <c r="S499" s="5" t="n">
        <f aca="false">spmv_1!R$14/R499</f>
        <v>3.29858498464497</v>
      </c>
      <c r="T499" s="6" t="n">
        <f aca="false">S499/128</f>
        <v>0.0257701951925388</v>
      </c>
    </row>
    <row r="500" customFormat="false" ht="15" hidden="false" customHeight="false" outlineLevel="0" collapsed="false">
      <c r="A500" s="1" t="s">
        <v>18</v>
      </c>
      <c r="B500" s="1" t="n">
        <v>105</v>
      </c>
      <c r="D500" s="1" t="n">
        <v>6049575</v>
      </c>
      <c r="E500" s="1" t="n">
        <v>0.037058</v>
      </c>
      <c r="G500" s="1" t="n">
        <v>0.333906889</v>
      </c>
      <c r="H500" s="1" t="n">
        <v>0.328160763</v>
      </c>
      <c r="I500" s="1" t="n">
        <v>0.321785927</v>
      </c>
      <c r="J500" s="1" t="n">
        <v>0.323984385</v>
      </c>
      <c r="K500" s="1" t="n">
        <v>0.32248807</v>
      </c>
      <c r="L500" s="1" t="n">
        <v>0.325544596</v>
      </c>
      <c r="M500" s="1" t="n">
        <v>0.328985691</v>
      </c>
      <c r="N500" s="1" t="n">
        <v>0.323117495</v>
      </c>
      <c r="O500" s="1" t="n">
        <v>0.330877066</v>
      </c>
      <c r="P500" s="1" t="n">
        <v>0.326082706</v>
      </c>
      <c r="R500" s="1" t="n">
        <f aca="false">PERCENTILE(G500:P500,0.9)</f>
        <v>0.3311800483</v>
      </c>
      <c r="S500" s="5" t="n">
        <f aca="false">spmv_1!R$14/R500</f>
        <v>3.33517724986696</v>
      </c>
      <c r="T500" s="6" t="n">
        <f aca="false">S500/128</f>
        <v>0.0260560722645856</v>
      </c>
    </row>
    <row r="501" customFormat="false" ht="15" hidden="false" customHeight="false" outlineLevel="0" collapsed="false">
      <c r="A501" s="1" t="s">
        <v>18</v>
      </c>
      <c r="B501" s="1" t="n">
        <v>106</v>
      </c>
      <c r="D501" s="1" t="n">
        <v>6048498</v>
      </c>
      <c r="E501" s="1" t="n">
        <v>0.036633</v>
      </c>
      <c r="G501" s="1" t="n">
        <v>0.337833643</v>
      </c>
      <c r="H501" s="1" t="n">
        <v>0.331327677</v>
      </c>
      <c r="I501" s="1" t="n">
        <v>0.32484436</v>
      </c>
      <c r="J501" s="1" t="n">
        <v>0.327775002</v>
      </c>
      <c r="K501" s="1" t="n">
        <v>0.326630831</v>
      </c>
      <c r="L501" s="1" t="n">
        <v>0.32972002</v>
      </c>
      <c r="M501" s="1" t="n">
        <v>0.332446575</v>
      </c>
      <c r="N501" s="1" t="n">
        <v>0.326186657</v>
      </c>
      <c r="O501" s="1" t="n">
        <v>0.335007429</v>
      </c>
      <c r="P501" s="1" t="n">
        <v>0.330451727</v>
      </c>
      <c r="R501" s="1" t="n">
        <f aca="false">PERCENTILE(G501:P501,0.9)</f>
        <v>0.3352900504</v>
      </c>
      <c r="S501" s="5" t="n">
        <f aca="false">spmv_1!R$14/R501</f>
        <v>3.29429448139687</v>
      </c>
      <c r="T501" s="6" t="n">
        <f aca="false">S501/128</f>
        <v>0.0257366756359131</v>
      </c>
    </row>
    <row r="502" customFormat="false" ht="15" hidden="false" customHeight="false" outlineLevel="0" collapsed="false">
      <c r="A502" s="1" t="s">
        <v>18</v>
      </c>
      <c r="B502" s="1" t="n">
        <v>107</v>
      </c>
      <c r="D502" s="1" t="n">
        <v>6048498</v>
      </c>
      <c r="E502" s="1" t="n">
        <v>0.036022</v>
      </c>
      <c r="G502" s="1" t="n">
        <v>0.341411829</v>
      </c>
      <c r="H502" s="1" t="n">
        <v>0.338677645</v>
      </c>
      <c r="I502" s="1" t="n">
        <v>0.331726313</v>
      </c>
      <c r="J502" s="1" t="n">
        <v>0.334024429</v>
      </c>
      <c r="K502" s="1" t="n">
        <v>0.332805395</v>
      </c>
      <c r="L502" s="1" t="n">
        <v>0.335855484</v>
      </c>
      <c r="M502" s="1" t="n">
        <v>0.337492228</v>
      </c>
      <c r="N502" s="1" t="n">
        <v>0.331869125</v>
      </c>
      <c r="O502" s="1" t="n">
        <v>0.339421511</v>
      </c>
      <c r="P502" s="1" t="n">
        <v>0.334980011</v>
      </c>
      <c r="R502" s="1" t="n">
        <f aca="false">PERCENTILE(G502:P502,0.9)</f>
        <v>0.3396205428</v>
      </c>
      <c r="S502" s="5" t="n">
        <f aca="false">spmv_1!R$14/R502</f>
        <v>3.25228902113397</v>
      </c>
      <c r="T502" s="6" t="n">
        <f aca="false">S502/128</f>
        <v>0.0254085079776092</v>
      </c>
    </row>
    <row r="503" customFormat="false" ht="15" hidden="false" customHeight="false" outlineLevel="0" collapsed="false">
      <c r="A503" s="1" t="s">
        <v>18</v>
      </c>
      <c r="B503" s="1" t="n">
        <v>108</v>
      </c>
      <c r="D503" s="1" t="n">
        <v>6049575</v>
      </c>
      <c r="E503" s="1" t="n">
        <v>0.036094</v>
      </c>
      <c r="G503" s="1" t="n">
        <v>0.343176365</v>
      </c>
      <c r="H503" s="1" t="n">
        <v>0.335700512</v>
      </c>
      <c r="I503" s="1" t="n">
        <v>0.330295324</v>
      </c>
      <c r="J503" s="1" t="n">
        <v>0.334049463</v>
      </c>
      <c r="K503" s="1" t="n">
        <v>0.331330061</v>
      </c>
      <c r="L503" s="1" t="n">
        <v>0.334290743</v>
      </c>
      <c r="M503" s="1" t="n">
        <v>0.337669611</v>
      </c>
      <c r="N503" s="1" t="n">
        <v>0.330932379</v>
      </c>
      <c r="O503" s="1" t="n">
        <v>0.339521885</v>
      </c>
      <c r="P503" s="1" t="n">
        <v>0.335149765</v>
      </c>
      <c r="R503" s="1" t="n">
        <f aca="false">PERCENTILE(G503:P503,0.9)</f>
        <v>0.339887333</v>
      </c>
      <c r="S503" s="5" t="n">
        <f aca="false">spmv_1!R$14/R503</f>
        <v>3.24973617860599</v>
      </c>
      <c r="T503" s="6" t="n">
        <f aca="false">S503/128</f>
        <v>0.0253885638953593</v>
      </c>
    </row>
    <row r="504" customFormat="false" ht="15" hidden="false" customHeight="false" outlineLevel="0" collapsed="false">
      <c r="A504" s="1" t="s">
        <v>18</v>
      </c>
      <c r="B504" s="1" t="n">
        <v>109</v>
      </c>
      <c r="D504" s="1" t="n">
        <v>6050652</v>
      </c>
      <c r="E504" s="1" t="n">
        <v>0.035999</v>
      </c>
      <c r="G504" s="1" t="n">
        <v>0.341579676</v>
      </c>
      <c r="H504" s="1" t="n">
        <v>0.334694862</v>
      </c>
      <c r="I504" s="1" t="n">
        <v>0.329202652</v>
      </c>
      <c r="J504" s="1" t="n">
        <v>0.331766605</v>
      </c>
      <c r="K504" s="1" t="n">
        <v>0.329779863</v>
      </c>
      <c r="L504" s="1" t="n">
        <v>0.33306241</v>
      </c>
      <c r="M504" s="1" t="n">
        <v>0.336493731</v>
      </c>
      <c r="N504" s="1" t="n">
        <v>0.330211639</v>
      </c>
      <c r="O504" s="1" t="n">
        <v>0.338579893</v>
      </c>
      <c r="P504" s="1" t="n">
        <v>0.356241941</v>
      </c>
      <c r="R504" s="1" t="n">
        <f aca="false">PERCENTILE(G504:P504,0.9)</f>
        <v>0.3430459025</v>
      </c>
      <c r="S504" s="5" t="n">
        <f aca="false">spmv_1!R$14/R504</f>
        <v>3.21981447570271</v>
      </c>
      <c r="T504" s="6" t="n">
        <f aca="false">S504/128</f>
        <v>0.0251548005914274</v>
      </c>
    </row>
    <row r="505" customFormat="false" ht="15" hidden="false" customHeight="false" outlineLevel="0" collapsed="false">
      <c r="A505" s="1" t="s">
        <v>18</v>
      </c>
      <c r="B505" s="1" t="n">
        <v>110</v>
      </c>
      <c r="D505" s="1" t="n">
        <v>6051729</v>
      </c>
      <c r="E505" s="1" t="n">
        <v>0.036077</v>
      </c>
      <c r="G505" s="1" t="n">
        <v>0.343121529</v>
      </c>
      <c r="H505" s="1" t="n">
        <v>0.336234331</v>
      </c>
      <c r="I505" s="1" t="n">
        <v>0.330755711</v>
      </c>
      <c r="J505" s="1" t="n">
        <v>0.333582401</v>
      </c>
      <c r="K505" s="1" t="n">
        <v>0.331312656</v>
      </c>
      <c r="L505" s="1" t="n">
        <v>0.334584951</v>
      </c>
      <c r="M505" s="1" t="n">
        <v>0.337998152</v>
      </c>
      <c r="N505" s="1" t="n">
        <v>0.331665039</v>
      </c>
      <c r="O505" s="1" t="n">
        <v>0.340425253</v>
      </c>
      <c r="P505" s="1" t="n">
        <v>0.335226536</v>
      </c>
      <c r="R505" s="1" t="n">
        <f aca="false">PERCENTILE(G505:P505,0.9)</f>
        <v>0.3406948806</v>
      </c>
      <c r="S505" s="5" t="n">
        <f aca="false">spmv_1!R$14/R505</f>
        <v>3.24203334301584</v>
      </c>
      <c r="T505" s="6" t="n">
        <f aca="false">S505/128</f>
        <v>0.0253283854923112</v>
      </c>
    </row>
    <row r="506" customFormat="false" ht="15" hidden="false" customHeight="false" outlineLevel="0" collapsed="false">
      <c r="A506" s="1" t="s">
        <v>18</v>
      </c>
      <c r="B506" s="1" t="n">
        <v>111</v>
      </c>
      <c r="D506" s="1" t="n">
        <v>6050296</v>
      </c>
      <c r="E506" s="1" t="n">
        <v>0.035365</v>
      </c>
      <c r="G506" s="1" t="n">
        <v>0.348361254</v>
      </c>
      <c r="H506" s="1" t="n">
        <v>0.344699383</v>
      </c>
      <c r="I506" s="1" t="n">
        <v>0.337846756</v>
      </c>
      <c r="J506" s="1" t="n">
        <v>0.340641022</v>
      </c>
      <c r="K506" s="1" t="n">
        <v>0.338963985</v>
      </c>
      <c r="L506" s="1" t="n">
        <v>0.342072725</v>
      </c>
      <c r="M506" s="1" t="n">
        <v>0.343729973</v>
      </c>
      <c r="N506" s="1" t="n">
        <v>0.337874889</v>
      </c>
      <c r="O506" s="1" t="n">
        <v>0.346224785</v>
      </c>
      <c r="P506" s="1" t="n">
        <v>0.341256142</v>
      </c>
      <c r="R506" s="1" t="n">
        <f aca="false">PERCENTILE(G506:P506,0.9)</f>
        <v>0.3464384319</v>
      </c>
      <c r="S506" s="5" t="n">
        <f aca="false">spmv_1!R$14/R506</f>
        <v>3.18828415381706</v>
      </c>
      <c r="T506" s="6" t="n">
        <f aca="false">S506/128</f>
        <v>0.0249084699516958</v>
      </c>
    </row>
    <row r="507" customFormat="false" ht="15" hidden="false" customHeight="false" outlineLevel="0" collapsed="false">
      <c r="A507" s="1" t="s">
        <v>18</v>
      </c>
      <c r="B507" s="1" t="n">
        <v>112</v>
      </c>
      <c r="D507" s="1" t="n">
        <v>6049945</v>
      </c>
      <c r="E507" s="1" t="n">
        <v>0.030958</v>
      </c>
      <c r="G507" s="1" t="n">
        <v>0.400449514</v>
      </c>
      <c r="H507" s="1" t="n">
        <v>0.3912673</v>
      </c>
      <c r="I507" s="1" t="n">
        <v>0.386193752</v>
      </c>
      <c r="J507" s="1" t="n">
        <v>0.386893034</v>
      </c>
      <c r="K507" s="1" t="n">
        <v>0.38786602</v>
      </c>
      <c r="L507" s="1" t="n">
        <v>0.389652491</v>
      </c>
      <c r="M507" s="1" t="n">
        <v>0.393630743</v>
      </c>
      <c r="N507" s="1" t="n">
        <v>0.386044741</v>
      </c>
      <c r="O507" s="1" t="n">
        <v>0.394848108</v>
      </c>
      <c r="P507" s="1" t="n">
        <v>0.391621828</v>
      </c>
      <c r="R507" s="1" t="n">
        <f aca="false">PERCENTILE(G507:P507,0.9)</f>
        <v>0.3954082486</v>
      </c>
      <c r="S507" s="5" t="n">
        <f aca="false">spmv_1!R$14/R507</f>
        <v>2.79342721506392</v>
      </c>
      <c r="T507" s="6" t="n">
        <f aca="false">S507/128</f>
        <v>0.0218236501176869</v>
      </c>
    </row>
    <row r="508" customFormat="false" ht="15" hidden="false" customHeight="false" outlineLevel="0" collapsed="false">
      <c r="A508" s="1" t="s">
        <v>18</v>
      </c>
      <c r="B508" s="1" t="n">
        <v>113</v>
      </c>
      <c r="D508" s="1" t="n">
        <v>6049946</v>
      </c>
      <c r="E508" s="1" t="n">
        <v>0.030847</v>
      </c>
      <c r="G508" s="1" t="n">
        <v>0.402906179</v>
      </c>
      <c r="H508" s="1" t="n">
        <v>0.391401291</v>
      </c>
      <c r="I508" s="1" t="n">
        <v>0.386396408</v>
      </c>
      <c r="J508" s="1" t="n">
        <v>0.388236046</v>
      </c>
      <c r="K508" s="1" t="n">
        <v>0.392114639</v>
      </c>
      <c r="L508" s="1" t="n">
        <v>0.387069464</v>
      </c>
      <c r="M508" s="1" t="n">
        <v>0.396763802</v>
      </c>
      <c r="N508" s="1" t="n">
        <v>0.387219906</v>
      </c>
      <c r="O508" s="1" t="n">
        <v>0.397847414</v>
      </c>
      <c r="P508" s="1" t="n">
        <v>0.39254117</v>
      </c>
      <c r="R508" s="1" t="n">
        <f aca="false">PERCENTILE(G508:P508,0.9)</f>
        <v>0.3983532905</v>
      </c>
      <c r="S508" s="5" t="n">
        <f aca="false">spmv_1!R$14/R508</f>
        <v>2.77277529530034</v>
      </c>
      <c r="T508" s="6" t="n">
        <f aca="false">S508/128</f>
        <v>0.0216623069945339</v>
      </c>
    </row>
    <row r="509" customFormat="false" ht="15" hidden="false" customHeight="false" outlineLevel="0" collapsed="false">
      <c r="A509" s="1" t="s">
        <v>18</v>
      </c>
      <c r="B509" s="1" t="n">
        <v>114</v>
      </c>
      <c r="D509" s="1" t="n">
        <v>6050664</v>
      </c>
      <c r="E509" s="1" t="n">
        <v>0.034152</v>
      </c>
      <c r="G509" s="1" t="n">
        <v>0.364056826</v>
      </c>
      <c r="H509" s="1" t="n">
        <v>0.353282452</v>
      </c>
      <c r="I509" s="1" t="n">
        <v>0.35036397</v>
      </c>
      <c r="J509" s="1" t="n">
        <v>0.351605654</v>
      </c>
      <c r="K509" s="1" t="n">
        <v>0.351173878</v>
      </c>
      <c r="L509" s="1" t="n">
        <v>0.350515127</v>
      </c>
      <c r="M509" s="1" t="n">
        <v>0.357952595</v>
      </c>
      <c r="N509" s="1" t="n">
        <v>0.349657774</v>
      </c>
      <c r="O509" s="1" t="n">
        <v>0.359966278</v>
      </c>
      <c r="P509" s="1" t="n">
        <v>0.354830027</v>
      </c>
      <c r="R509" s="1" t="n">
        <f aca="false">PERCENTILE(G509:P509,0.9)</f>
        <v>0.3603753328</v>
      </c>
      <c r="S509" s="5" t="n">
        <f aca="false">spmv_1!R$14/R509</f>
        <v>3.06498270599724</v>
      </c>
      <c r="T509" s="6" t="n">
        <f aca="false">S509/128</f>
        <v>0.0239451773906034</v>
      </c>
    </row>
    <row r="510" customFormat="false" ht="15" hidden="false" customHeight="false" outlineLevel="0" collapsed="false">
      <c r="A510" s="1" t="s">
        <v>18</v>
      </c>
      <c r="B510" s="1" t="n">
        <v>115</v>
      </c>
      <c r="D510" s="1" t="n">
        <v>6051741</v>
      </c>
      <c r="E510" s="1" t="n">
        <v>0.030342</v>
      </c>
      <c r="G510" s="1" t="n">
        <v>0.406886816</v>
      </c>
      <c r="H510" s="1" t="n">
        <v>0.398262501</v>
      </c>
      <c r="I510" s="1" t="n">
        <v>0.394403458</v>
      </c>
      <c r="J510" s="1" t="n">
        <v>0.397283792</v>
      </c>
      <c r="K510" s="1" t="n">
        <v>0.396383524</v>
      </c>
      <c r="L510" s="1" t="n">
        <v>0.395140409</v>
      </c>
      <c r="M510" s="1" t="n">
        <v>0.402986526</v>
      </c>
      <c r="N510" s="1" t="n">
        <v>0.394478083</v>
      </c>
      <c r="O510" s="1" t="n">
        <v>0.404390574</v>
      </c>
      <c r="P510" s="1" t="n">
        <v>0.398846626</v>
      </c>
      <c r="R510" s="1" t="n">
        <f aca="false">PERCENTILE(G510:P510,0.9)</f>
        <v>0.4046401982</v>
      </c>
      <c r="S510" s="5" t="n">
        <f aca="false">spmv_1!R$14/R510</f>
        <v>2.72969459686272</v>
      </c>
      <c r="T510" s="6" t="n">
        <f aca="false">S510/128</f>
        <v>0.02132573903799</v>
      </c>
    </row>
    <row r="511" customFormat="false" ht="15" hidden="false" customHeight="false" outlineLevel="0" collapsed="false">
      <c r="A511" s="1" t="s">
        <v>18</v>
      </c>
      <c r="B511" s="1" t="n">
        <v>116</v>
      </c>
      <c r="D511" s="1" t="n">
        <v>6052818</v>
      </c>
      <c r="E511" s="1" t="n">
        <v>0.030278</v>
      </c>
      <c r="G511" s="1" t="n">
        <v>0.408771515</v>
      </c>
      <c r="H511" s="1" t="n">
        <v>0.399064302</v>
      </c>
      <c r="I511" s="1" t="n">
        <v>0.396008015</v>
      </c>
      <c r="J511" s="1" t="n">
        <v>0.397260427</v>
      </c>
      <c r="K511" s="1" t="n">
        <v>0.396246433</v>
      </c>
      <c r="L511" s="1" t="n">
        <v>0.397548914</v>
      </c>
      <c r="M511" s="1" t="n">
        <v>0.403631926</v>
      </c>
      <c r="N511" s="1" t="n">
        <v>0.394878626</v>
      </c>
      <c r="O511" s="1" t="n">
        <v>0.404238224</v>
      </c>
      <c r="P511" s="1" t="n">
        <v>0.400486946</v>
      </c>
      <c r="R511" s="1" t="n">
        <f aca="false">PERCENTILE(G511:P511,0.9)</f>
        <v>0.4046915531</v>
      </c>
      <c r="S511" s="5" t="n">
        <f aca="false">spmv_1!R$14/R511</f>
        <v>2.72934820170824</v>
      </c>
      <c r="T511" s="6" t="n">
        <f aca="false">S511/128</f>
        <v>0.0213230328258456</v>
      </c>
    </row>
    <row r="512" customFormat="false" ht="15" hidden="false" customHeight="false" outlineLevel="0" collapsed="false">
      <c r="A512" s="1" t="s">
        <v>18</v>
      </c>
      <c r="B512" s="1" t="n">
        <v>117</v>
      </c>
      <c r="D512" s="1" t="n">
        <v>6052818</v>
      </c>
      <c r="E512" s="1" t="n">
        <v>0.030512</v>
      </c>
      <c r="G512" s="1" t="n">
        <v>0.404073238</v>
      </c>
      <c r="H512" s="1" t="n">
        <v>0.395241499</v>
      </c>
      <c r="I512" s="1" t="n">
        <v>0.391261578</v>
      </c>
      <c r="J512" s="1" t="n">
        <v>0.393986225</v>
      </c>
      <c r="K512" s="1" t="n">
        <v>0.39197731</v>
      </c>
      <c r="L512" s="1" t="n">
        <v>0.39753294</v>
      </c>
      <c r="M512" s="1" t="n">
        <v>0.401097536</v>
      </c>
      <c r="N512" s="1" t="n">
        <v>0.39136529</v>
      </c>
      <c r="O512" s="1" t="n">
        <v>0.40346241</v>
      </c>
      <c r="P512" s="1" t="n">
        <v>0.397533655</v>
      </c>
      <c r="R512" s="1" t="n">
        <f aca="false">PERCENTILE(G512:P512,0.9)</f>
        <v>0.4035234928</v>
      </c>
      <c r="S512" s="5" t="n">
        <f aca="false">spmv_1!R$14/R512</f>
        <v>2.73724871638998</v>
      </c>
      <c r="T512" s="6" t="n">
        <f aca="false">S512/128</f>
        <v>0.0213847555967967</v>
      </c>
    </row>
    <row r="513" customFormat="false" ht="15" hidden="false" customHeight="false" outlineLevel="0" collapsed="false">
      <c r="A513" s="1" t="s">
        <v>18</v>
      </c>
      <c r="B513" s="1" t="n">
        <v>118</v>
      </c>
      <c r="D513" s="1" t="n">
        <v>6051741</v>
      </c>
      <c r="E513" s="1" t="n">
        <v>0.029945</v>
      </c>
      <c r="G513" s="1" t="n">
        <v>0.408525467</v>
      </c>
      <c r="H513" s="1" t="n">
        <v>0.398171186</v>
      </c>
      <c r="I513" s="1" t="n">
        <v>0.393718958</v>
      </c>
      <c r="J513" s="1" t="n">
        <v>0.395439863</v>
      </c>
      <c r="K513" s="1" t="n">
        <v>0.395820379</v>
      </c>
      <c r="L513" s="1" t="n">
        <v>0.397600651</v>
      </c>
      <c r="M513" s="1" t="n">
        <v>0.401062489</v>
      </c>
      <c r="N513" s="1" t="n">
        <v>0.394361496</v>
      </c>
      <c r="O513" s="1" t="n">
        <v>0.456925154</v>
      </c>
      <c r="P513" s="1" t="n">
        <v>0.400270462</v>
      </c>
      <c r="R513" s="1" t="n">
        <f aca="false">PERCENTILE(G513:P513,0.9)</f>
        <v>0.4133654357</v>
      </c>
      <c r="S513" s="5" t="n">
        <f aca="false">spmv_1!R$14/R513</f>
        <v>2.6720767323701</v>
      </c>
      <c r="T513" s="6" t="n">
        <f aca="false">S513/128</f>
        <v>0.0208755994716414</v>
      </c>
    </row>
    <row r="514" customFormat="false" ht="15" hidden="false" customHeight="false" outlineLevel="0" collapsed="false">
      <c r="A514" s="1" t="s">
        <v>18</v>
      </c>
      <c r="B514" s="1" t="n">
        <v>119</v>
      </c>
      <c r="D514" s="1" t="n">
        <v>6050664</v>
      </c>
      <c r="E514" s="1" t="n">
        <v>0.030686</v>
      </c>
      <c r="G514" s="1" t="n">
        <v>0.403006077</v>
      </c>
      <c r="H514" s="1" t="n">
        <v>0.393811703</v>
      </c>
      <c r="I514" s="1" t="n">
        <v>0.388885021</v>
      </c>
      <c r="J514" s="1" t="n">
        <v>0.392030001</v>
      </c>
      <c r="K514" s="1" t="n">
        <v>0.391169786</v>
      </c>
      <c r="L514" s="1" t="n">
        <v>0.392267942</v>
      </c>
      <c r="M514" s="1" t="n">
        <v>0.398290157</v>
      </c>
      <c r="N514" s="1" t="n">
        <v>0.390634298</v>
      </c>
      <c r="O514" s="1" t="n">
        <v>0.399399519</v>
      </c>
      <c r="P514" s="1" t="n">
        <v>0.394140959</v>
      </c>
      <c r="R514" s="1" t="n">
        <f aca="false">PERCENTILE(G514:P514,0.9)</f>
        <v>0.3997601748</v>
      </c>
      <c r="S514" s="5" t="n">
        <f aca="false">spmv_1!R$14/R514</f>
        <v>2.76301700951728</v>
      </c>
      <c r="T514" s="6" t="n">
        <f aca="false">S514/128</f>
        <v>0.0215860703868537</v>
      </c>
    </row>
    <row r="515" customFormat="false" ht="15" hidden="false" customHeight="false" outlineLevel="0" collapsed="false">
      <c r="A515" s="1" t="s">
        <v>18</v>
      </c>
      <c r="B515" s="1" t="n">
        <v>120</v>
      </c>
      <c r="D515" s="1" t="n">
        <v>6049587</v>
      </c>
      <c r="E515" s="1" t="n">
        <v>0.030876</v>
      </c>
      <c r="G515" s="1" t="n">
        <v>0.400753498</v>
      </c>
      <c r="H515" s="1" t="n">
        <v>0.390821457</v>
      </c>
      <c r="I515" s="1" t="n">
        <v>0.387643337</v>
      </c>
      <c r="J515" s="1" t="n">
        <v>0.388895988</v>
      </c>
      <c r="K515" s="1" t="n">
        <v>0.388164759</v>
      </c>
      <c r="L515" s="1" t="n">
        <v>0.391429424</v>
      </c>
      <c r="M515" s="1" t="n">
        <v>0.395932674</v>
      </c>
      <c r="N515" s="1" t="n">
        <v>0.387076378</v>
      </c>
      <c r="O515" s="1" t="n">
        <v>0.395569801</v>
      </c>
      <c r="P515" s="1" t="n">
        <v>0.392343283</v>
      </c>
      <c r="R515" s="1" t="n">
        <f aca="false">PERCENTILE(G515:P515,0.9)</f>
        <v>0.3964147564</v>
      </c>
      <c r="S515" s="5" t="n">
        <f aca="false">spmv_1!R$14/R515</f>
        <v>2.78633462772881</v>
      </c>
      <c r="T515" s="6" t="n">
        <f aca="false">S515/128</f>
        <v>0.0217682392791313</v>
      </c>
    </row>
    <row r="516" customFormat="false" ht="15" hidden="false" customHeight="false" outlineLevel="0" collapsed="false">
      <c r="A516" s="1" t="s">
        <v>18</v>
      </c>
      <c r="B516" s="1" t="n">
        <v>121</v>
      </c>
      <c r="D516" s="1" t="n">
        <v>6049587</v>
      </c>
      <c r="E516" s="1" t="n">
        <v>0.034154</v>
      </c>
      <c r="G516" s="1" t="n">
        <v>0.363588333</v>
      </c>
      <c r="H516" s="1" t="n">
        <v>0.35278821</v>
      </c>
      <c r="I516" s="1" t="n">
        <v>0.350258112</v>
      </c>
      <c r="J516" s="1" t="n">
        <v>0.351527452</v>
      </c>
      <c r="K516" s="1" t="n">
        <v>0.35054493</v>
      </c>
      <c r="L516" s="1" t="n">
        <v>0.353304863</v>
      </c>
      <c r="M516" s="1" t="n">
        <v>0.357742548</v>
      </c>
      <c r="N516" s="1" t="n">
        <v>0.349030018</v>
      </c>
      <c r="O516" s="1" t="n">
        <v>0.359423161</v>
      </c>
      <c r="P516" s="1" t="n">
        <v>0.354364872</v>
      </c>
      <c r="R516" s="1" t="n">
        <f aca="false">PERCENTILE(G516:P516,0.9)</f>
        <v>0.3598396782</v>
      </c>
      <c r="S516" s="5" t="n">
        <f aca="false">spmv_1!R$14/R516</f>
        <v>3.06954521587275</v>
      </c>
      <c r="T516" s="6" t="n">
        <f aca="false">S516/128</f>
        <v>0.0239808219990059</v>
      </c>
    </row>
    <row r="517" customFormat="false" ht="15" hidden="false" customHeight="false" outlineLevel="0" collapsed="false">
      <c r="A517" s="1" t="s">
        <v>18</v>
      </c>
      <c r="B517" s="1" t="n">
        <v>122</v>
      </c>
      <c r="D517" s="1" t="n">
        <v>6050664</v>
      </c>
      <c r="E517" s="1" t="n">
        <v>0.034766</v>
      </c>
      <c r="G517" s="1" t="n">
        <v>0.356068611</v>
      </c>
      <c r="H517" s="1" t="n">
        <v>0.347179651</v>
      </c>
      <c r="I517" s="1" t="n">
        <v>0.344222307</v>
      </c>
      <c r="J517" s="1" t="n">
        <v>0.344756842</v>
      </c>
      <c r="K517" s="1" t="n">
        <v>0.344021082</v>
      </c>
      <c r="L517" s="1" t="n">
        <v>0.3467834</v>
      </c>
      <c r="M517" s="1" t="n">
        <v>0.351748943</v>
      </c>
      <c r="N517" s="1" t="n">
        <v>0.343911886</v>
      </c>
      <c r="O517" s="1" t="n">
        <v>0.353830099</v>
      </c>
      <c r="P517" s="1" t="n">
        <v>0.34825778</v>
      </c>
      <c r="R517" s="1" t="n">
        <f aca="false">PERCENTILE(G517:P517,0.9)</f>
        <v>0.3540539502</v>
      </c>
      <c r="S517" s="5" t="n">
        <f aca="false">spmv_1!R$14/R517</f>
        <v>3.11970580211309</v>
      </c>
      <c r="T517" s="6" t="n">
        <f aca="false">S517/128</f>
        <v>0.0243727015790085</v>
      </c>
    </row>
    <row r="518" customFormat="false" ht="15" hidden="false" customHeight="false" outlineLevel="0" collapsed="false">
      <c r="A518" s="1" t="s">
        <v>18</v>
      </c>
      <c r="B518" s="1" t="n">
        <v>123</v>
      </c>
      <c r="D518" s="1" t="n">
        <v>6051741</v>
      </c>
      <c r="E518" s="1" t="n">
        <v>0.035081</v>
      </c>
      <c r="G518" s="1" t="n">
        <v>0.35329771</v>
      </c>
      <c r="H518" s="1" t="n">
        <v>0.344318151</v>
      </c>
      <c r="I518" s="1" t="n">
        <v>0.340617418</v>
      </c>
      <c r="J518" s="1" t="n">
        <v>0.34108305</v>
      </c>
      <c r="K518" s="1" t="n">
        <v>0.341404676</v>
      </c>
      <c r="L518" s="1" t="n">
        <v>0.343834639</v>
      </c>
      <c r="M518" s="1" t="n">
        <v>0.348212719</v>
      </c>
      <c r="N518" s="1" t="n">
        <v>0.341170073</v>
      </c>
      <c r="O518" s="1" t="n">
        <v>0.350691795</v>
      </c>
      <c r="P518" s="1" t="n">
        <v>0.345480919</v>
      </c>
      <c r="R518" s="1" t="n">
        <f aca="false">PERCENTILE(G518:P518,0.9)</f>
        <v>0.3509523865</v>
      </c>
      <c r="S518" s="5" t="n">
        <f aca="false">spmv_1!R$14/R518</f>
        <v>3.14727639756341</v>
      </c>
      <c r="T518" s="6" t="n">
        <f aca="false">S518/128</f>
        <v>0.0245880968559641</v>
      </c>
    </row>
    <row r="519" customFormat="false" ht="15" hidden="false" customHeight="false" outlineLevel="0" collapsed="false">
      <c r="A519" s="1" t="s">
        <v>18</v>
      </c>
      <c r="B519" s="1" t="n">
        <v>124</v>
      </c>
      <c r="D519" s="1" t="n">
        <v>6052818</v>
      </c>
      <c r="E519" s="1" t="n">
        <v>0.035246</v>
      </c>
      <c r="G519" s="1" t="n">
        <v>0.351688147</v>
      </c>
      <c r="H519" s="1" t="n">
        <v>0.342793703</v>
      </c>
      <c r="I519" s="1" t="n">
        <v>0.33908391</v>
      </c>
      <c r="J519" s="1" t="n">
        <v>0.339734316</v>
      </c>
      <c r="K519" s="1" t="n">
        <v>0.33980155</v>
      </c>
      <c r="L519" s="1" t="n">
        <v>0.342268944</v>
      </c>
      <c r="M519" s="1" t="n">
        <v>0.346778393</v>
      </c>
      <c r="N519" s="1" t="n">
        <v>0.339650393</v>
      </c>
      <c r="O519" s="1" t="n">
        <v>0.348707676</v>
      </c>
      <c r="P519" s="1" t="n">
        <v>0.344059229</v>
      </c>
      <c r="R519" s="1" t="n">
        <f aca="false">PERCENTILE(G519:P519,0.9)</f>
        <v>0.3490057231</v>
      </c>
      <c r="S519" s="5" t="n">
        <f aca="false">spmv_1!R$14/R519</f>
        <v>3.16483108898337</v>
      </c>
      <c r="T519" s="6" t="n">
        <f aca="false">S519/128</f>
        <v>0.0247252428826825</v>
      </c>
    </row>
    <row r="520" customFormat="false" ht="15" hidden="false" customHeight="false" outlineLevel="0" collapsed="false">
      <c r="A520" s="1" t="s">
        <v>18</v>
      </c>
      <c r="B520" s="1" t="n">
        <v>125</v>
      </c>
      <c r="D520" s="1" t="n">
        <v>6052818</v>
      </c>
      <c r="E520" s="1" t="n">
        <v>0.031469</v>
      </c>
      <c r="G520" s="1" t="n">
        <v>0.393187761</v>
      </c>
      <c r="H520" s="1" t="n">
        <v>0.383983135</v>
      </c>
      <c r="I520" s="1" t="n">
        <v>0.38045907</v>
      </c>
      <c r="J520" s="1" t="n">
        <v>0.381575823</v>
      </c>
      <c r="K520" s="1" t="n">
        <v>0.381288052</v>
      </c>
      <c r="L520" s="1" t="n">
        <v>0.383727789</v>
      </c>
      <c r="M520" s="1" t="n">
        <v>0.388243198</v>
      </c>
      <c r="N520" s="1" t="n">
        <v>0.380083799</v>
      </c>
      <c r="O520" s="1" t="n">
        <v>0.388321877</v>
      </c>
      <c r="P520" s="1" t="n">
        <v>0.385979652</v>
      </c>
      <c r="R520" s="1" t="n">
        <f aca="false">PERCENTILE(G520:P520,0.9)</f>
        <v>0.3888084654</v>
      </c>
      <c r="S520" s="5" t="n">
        <f aca="false">spmv_1!R$14/R520</f>
        <v>2.84084391414591</v>
      </c>
      <c r="T520" s="6" t="n">
        <f aca="false">S520/128</f>
        <v>0.0221940930792649</v>
      </c>
    </row>
    <row r="521" customFormat="false" ht="15" hidden="false" customHeight="false" outlineLevel="0" collapsed="false">
      <c r="A521" s="1" t="s">
        <v>18</v>
      </c>
      <c r="B521" s="1" t="n">
        <v>126</v>
      </c>
      <c r="D521" s="1" t="n">
        <v>6051741</v>
      </c>
      <c r="E521" s="1" t="n">
        <v>0.035524</v>
      </c>
      <c r="G521" s="1" t="n">
        <v>0.348692417</v>
      </c>
      <c r="H521" s="1" t="n">
        <v>0.34013176</v>
      </c>
      <c r="I521" s="1" t="n">
        <v>0.336639643</v>
      </c>
      <c r="J521" s="1" t="n">
        <v>0.337211609</v>
      </c>
      <c r="K521" s="1" t="n">
        <v>0.337156296</v>
      </c>
      <c r="L521" s="1" t="n">
        <v>0.339867115</v>
      </c>
      <c r="M521" s="1" t="n">
        <v>0.343907356</v>
      </c>
      <c r="N521" s="1" t="n">
        <v>0.337153196</v>
      </c>
      <c r="O521" s="1" t="n">
        <v>0.345257282</v>
      </c>
      <c r="P521" s="1" t="n">
        <v>0.34112978</v>
      </c>
      <c r="R521" s="1" t="n">
        <f aca="false">PERCENTILE(G521:P521,0.9)</f>
        <v>0.3456007955</v>
      </c>
      <c r="S521" s="5" t="n">
        <f aca="false">spmv_1!R$14/R521</f>
        <v>3.19601163273364</v>
      </c>
      <c r="T521" s="6" t="n">
        <f aca="false">S521/128</f>
        <v>0.0249688408807316</v>
      </c>
    </row>
    <row r="522" customFormat="false" ht="15" hidden="false" customHeight="false" outlineLevel="0" collapsed="false">
      <c r="A522" s="1" t="s">
        <v>18</v>
      </c>
      <c r="B522" s="1" t="n">
        <v>127</v>
      </c>
      <c r="D522" s="1" t="n">
        <v>6049231</v>
      </c>
      <c r="E522" s="1" t="n">
        <v>0.035618</v>
      </c>
      <c r="G522" s="1" t="n">
        <v>0.347805023</v>
      </c>
      <c r="H522" s="1" t="n">
        <v>0.339052916</v>
      </c>
      <c r="I522" s="1" t="n">
        <v>0.335624933</v>
      </c>
      <c r="J522" s="1" t="n">
        <v>0.336099386</v>
      </c>
      <c r="K522" s="1" t="n">
        <v>0.336107016</v>
      </c>
      <c r="L522" s="1" t="n">
        <v>0.338769674</v>
      </c>
      <c r="M522" s="1" t="n">
        <v>0.342808008</v>
      </c>
      <c r="N522" s="1" t="n">
        <v>0.336143255</v>
      </c>
      <c r="O522" s="1" t="n">
        <v>0.344250917</v>
      </c>
      <c r="P522" s="1" t="n">
        <v>0.340023994</v>
      </c>
      <c r="R522" s="1" t="n">
        <f aca="false">PERCENTILE(G522:P522,0.9)</f>
        <v>0.3446063276</v>
      </c>
      <c r="S522" s="5" t="n">
        <f aca="false">spmv_1!R$14/R522</f>
        <v>3.20523471055382</v>
      </c>
      <c r="T522" s="6" t="n">
        <f aca="false">S522/128</f>
        <v>0.0250408961762017</v>
      </c>
    </row>
    <row r="525" customFormat="false" ht="15" hidden="false" customHeight="false" outlineLevel="0" collapsed="false">
      <c r="A525" s="2" t="s">
        <v>0</v>
      </c>
      <c r="B525" s="2" t="s">
        <v>1</v>
      </c>
      <c r="C525" s="3"/>
      <c r="D525" s="2" t="s">
        <v>2</v>
      </c>
      <c r="E525" s="2" t="s">
        <v>3</v>
      </c>
      <c r="F525" s="3"/>
      <c r="G525" s="2" t="s">
        <v>4</v>
      </c>
      <c r="H525" s="2" t="s">
        <v>5</v>
      </c>
      <c r="I525" s="2" t="s">
        <v>6</v>
      </c>
      <c r="J525" s="2" t="s">
        <v>7</v>
      </c>
      <c r="K525" s="2" t="s">
        <v>8</v>
      </c>
      <c r="L525" s="2" t="s">
        <v>9</v>
      </c>
      <c r="M525" s="2" t="s">
        <v>10</v>
      </c>
      <c r="N525" s="2" t="s">
        <v>11</v>
      </c>
      <c r="O525" s="2" t="s">
        <v>12</v>
      </c>
      <c r="P525" s="2" t="s">
        <v>13</v>
      </c>
      <c r="R525" s="4" t="s">
        <v>14</v>
      </c>
      <c r="S525" s="7" t="s">
        <v>20</v>
      </c>
      <c r="T525" s="8" t="s">
        <v>21</v>
      </c>
    </row>
    <row r="526" customFormat="false" ht="15" hidden="false" customHeight="false" outlineLevel="0" collapsed="false">
      <c r="A526" s="1" t="s">
        <v>19</v>
      </c>
      <c r="B526" s="1" t="n">
        <v>0</v>
      </c>
      <c r="D526" s="1" t="n">
        <v>291172</v>
      </c>
      <c r="E526" s="1" t="n">
        <v>0.069684</v>
      </c>
      <c r="G526" s="1" t="n">
        <v>0.01117301</v>
      </c>
      <c r="H526" s="1" t="n">
        <v>0.012212038</v>
      </c>
      <c r="I526" s="1" t="n">
        <v>0.008631945</v>
      </c>
      <c r="J526" s="1" t="n">
        <v>0.007485867</v>
      </c>
      <c r="K526" s="1" t="n">
        <v>0.007282734</v>
      </c>
      <c r="L526" s="1" t="n">
        <v>0.007405519</v>
      </c>
      <c r="M526" s="1" t="n">
        <v>0.007328272</v>
      </c>
      <c r="N526" s="1" t="n">
        <v>0.007270098</v>
      </c>
      <c r="O526" s="1" t="n">
        <v>0.007305384</v>
      </c>
      <c r="P526" s="1" t="n">
        <v>0.007473946</v>
      </c>
      <c r="R526" s="1" t="n">
        <f aca="false">PERCENTILE(G526:P526,0.9)</f>
        <v>0.0112769128</v>
      </c>
      <c r="S526" s="5" t="n">
        <f aca="false">spmv_1!R$18/R526</f>
        <v>6.87588262631595</v>
      </c>
      <c r="T526" s="6" t="n">
        <f aca="false">S526/128</f>
        <v>0.0537178330180934</v>
      </c>
    </row>
    <row r="527" customFormat="false" ht="15" hidden="false" customHeight="false" outlineLevel="0" collapsed="false">
      <c r="A527" s="1" t="s">
        <v>19</v>
      </c>
      <c r="B527" s="1" t="n">
        <v>1</v>
      </c>
      <c r="D527" s="1" t="n">
        <v>286937</v>
      </c>
      <c r="E527" s="1" t="n">
        <v>0.06739</v>
      </c>
      <c r="G527" s="1" t="n">
        <v>0.011229992</v>
      </c>
      <c r="H527" s="1" t="n">
        <v>0.01214242</v>
      </c>
      <c r="I527" s="1" t="n">
        <v>0.009076118</v>
      </c>
      <c r="J527" s="1" t="n">
        <v>0.007797003</v>
      </c>
      <c r="K527" s="1" t="n">
        <v>0.007461309</v>
      </c>
      <c r="L527" s="1" t="n">
        <v>0.007552147</v>
      </c>
      <c r="M527" s="1" t="n">
        <v>0.007469654</v>
      </c>
      <c r="N527" s="1" t="n">
        <v>0.007417202</v>
      </c>
      <c r="O527" s="1" t="n">
        <v>0.007456779</v>
      </c>
      <c r="P527" s="1" t="n">
        <v>0.007554531</v>
      </c>
      <c r="R527" s="1" t="n">
        <f aca="false">PERCENTILE(G527:P527,0.9)</f>
        <v>0.0113212348</v>
      </c>
      <c r="S527" s="5" t="n">
        <f aca="false">spmv_1!R$18/R527</f>
        <v>6.84896393103692</v>
      </c>
      <c r="T527" s="6" t="n">
        <f aca="false">S527/128</f>
        <v>0.053507530711226</v>
      </c>
    </row>
    <row r="528" customFormat="false" ht="15" hidden="false" customHeight="false" outlineLevel="0" collapsed="false">
      <c r="A528" s="1" t="s">
        <v>19</v>
      </c>
      <c r="B528" s="1" t="n">
        <v>2</v>
      </c>
      <c r="D528" s="1" t="n">
        <v>285555</v>
      </c>
      <c r="E528" s="1" t="n">
        <v>0.068555</v>
      </c>
      <c r="G528" s="1" t="n">
        <v>0.010773182</v>
      </c>
      <c r="H528" s="1" t="n">
        <v>0.012010813</v>
      </c>
      <c r="I528" s="1" t="n">
        <v>0.008675814</v>
      </c>
      <c r="J528" s="1" t="n">
        <v>0.007512808</v>
      </c>
      <c r="K528" s="1" t="n">
        <v>0.007376909</v>
      </c>
      <c r="L528" s="1" t="n">
        <v>0.007461309</v>
      </c>
      <c r="M528" s="1" t="n">
        <v>0.007380247</v>
      </c>
      <c r="N528" s="1" t="n">
        <v>0.007355452</v>
      </c>
      <c r="O528" s="1" t="n">
        <v>0.007456779</v>
      </c>
      <c r="P528" s="1" t="n">
        <v>0.007303953</v>
      </c>
      <c r="R528" s="1" t="n">
        <f aca="false">PERCENTILE(G528:P528,0.9)</f>
        <v>0.0108969451</v>
      </c>
      <c r="S528" s="5" t="n">
        <f aca="false">spmv_1!R$18/R528</f>
        <v>7.11563911614091</v>
      </c>
      <c r="T528" s="6" t="n">
        <f aca="false">S528/128</f>
        <v>0.0555909305948508</v>
      </c>
    </row>
    <row r="529" customFormat="false" ht="15" hidden="false" customHeight="false" outlineLevel="0" collapsed="false">
      <c r="A529" s="1" t="s">
        <v>19</v>
      </c>
      <c r="B529" s="1" t="n">
        <v>3</v>
      </c>
      <c r="D529" s="1" t="n">
        <v>297435</v>
      </c>
      <c r="E529" s="1" t="n">
        <v>0.071174</v>
      </c>
      <c r="G529" s="1" t="n">
        <v>0.01059413</v>
      </c>
      <c r="H529" s="1" t="n">
        <v>0.012031555</v>
      </c>
      <c r="I529" s="1" t="n">
        <v>0.008770227</v>
      </c>
      <c r="J529" s="1" t="n">
        <v>0.007561207</v>
      </c>
      <c r="K529" s="1" t="n">
        <v>0.00742054</v>
      </c>
      <c r="L529" s="1" t="n">
        <v>0.007514477</v>
      </c>
      <c r="M529" s="1" t="n">
        <v>0.007388353</v>
      </c>
      <c r="N529" s="1" t="n">
        <v>0.007378817</v>
      </c>
      <c r="O529" s="1" t="n">
        <v>0.007475853</v>
      </c>
      <c r="P529" s="1" t="n">
        <v>0.007445097</v>
      </c>
      <c r="R529" s="1" t="n">
        <f aca="false">PERCENTILE(G529:P529,0.9)</f>
        <v>0.0107378725</v>
      </c>
      <c r="S529" s="5" t="n">
        <f aca="false">spmv_1!R$18/R529</f>
        <v>7.22105135817174</v>
      </c>
      <c r="T529" s="6" t="n">
        <f aca="false">S529/128</f>
        <v>0.0564144637357167</v>
      </c>
    </row>
    <row r="530" customFormat="false" ht="15" hidden="false" customHeight="false" outlineLevel="0" collapsed="false">
      <c r="A530" s="1" t="s">
        <v>19</v>
      </c>
      <c r="B530" s="1" t="n">
        <v>4</v>
      </c>
      <c r="D530" s="1" t="n">
        <v>291171</v>
      </c>
      <c r="E530" s="1" t="n">
        <v>0.069573</v>
      </c>
      <c r="G530" s="1" t="n">
        <v>0.010786295</v>
      </c>
      <c r="H530" s="1" t="n">
        <v>0.011971951</v>
      </c>
      <c r="I530" s="1" t="n">
        <v>0.008708715</v>
      </c>
      <c r="J530" s="1" t="n">
        <v>0.007534504</v>
      </c>
      <c r="K530" s="1" t="n">
        <v>0.007425547</v>
      </c>
      <c r="L530" s="1" t="n">
        <v>0.007532835</v>
      </c>
      <c r="M530" s="1" t="n">
        <v>0.007389784</v>
      </c>
      <c r="N530" s="1" t="n">
        <v>0.007392645</v>
      </c>
      <c r="O530" s="1" t="n">
        <v>0.007497072</v>
      </c>
      <c r="P530" s="1" t="n">
        <v>0.007463455</v>
      </c>
      <c r="R530" s="1" t="n">
        <f aca="false">PERCENTILE(G530:P530,0.9)</f>
        <v>0.0109048606</v>
      </c>
      <c r="S530" s="5" t="n">
        <f aca="false">spmv_1!R$18/R530</f>
        <v>7.11047409446023</v>
      </c>
      <c r="T530" s="6" t="n">
        <f aca="false">S530/128</f>
        <v>0.0555505788629705</v>
      </c>
    </row>
    <row r="531" customFormat="false" ht="15" hidden="false" customHeight="false" outlineLevel="0" collapsed="false">
      <c r="A531" s="1" t="s">
        <v>19</v>
      </c>
      <c r="B531" s="1" t="n">
        <v>5</v>
      </c>
      <c r="D531" s="1" t="n">
        <v>287024</v>
      </c>
      <c r="E531" s="1" t="n">
        <v>0.068581</v>
      </c>
      <c r="G531" s="1" t="n">
        <v>0.010760069</v>
      </c>
      <c r="H531" s="1" t="n">
        <v>0.01194644</v>
      </c>
      <c r="I531" s="1" t="n">
        <v>0.008683205</v>
      </c>
      <c r="J531" s="1" t="n">
        <v>0.00754261</v>
      </c>
      <c r="K531" s="1" t="n">
        <v>0.007435322</v>
      </c>
      <c r="L531" s="1" t="n">
        <v>0.00754118</v>
      </c>
      <c r="M531" s="1" t="n">
        <v>0.007416248</v>
      </c>
      <c r="N531" s="1" t="n">
        <v>0.007395744</v>
      </c>
      <c r="O531" s="1" t="n">
        <v>0.007497549</v>
      </c>
      <c r="P531" s="1" t="n">
        <v>0.007485151</v>
      </c>
      <c r="R531" s="1" t="n">
        <f aca="false">PERCENTILE(G531:P531,0.9)</f>
        <v>0.0108787061</v>
      </c>
      <c r="S531" s="5" t="n">
        <f aca="false">spmv_1!R$18/R531</f>
        <v>7.12756904058655</v>
      </c>
      <c r="T531" s="6" t="n">
        <f aca="false">S531/128</f>
        <v>0.0556841331295824</v>
      </c>
    </row>
    <row r="532" customFormat="false" ht="15" hidden="false" customHeight="false" outlineLevel="0" collapsed="false">
      <c r="A532" s="1" t="s">
        <v>19</v>
      </c>
      <c r="B532" s="1" t="n">
        <v>6</v>
      </c>
      <c r="D532" s="1" t="n">
        <v>285425</v>
      </c>
      <c r="E532" s="1" t="n">
        <v>0.068362</v>
      </c>
      <c r="G532" s="1" t="n">
        <v>0.010658503</v>
      </c>
      <c r="H532" s="1" t="n">
        <v>0.011805773</v>
      </c>
      <c r="I532" s="1" t="n">
        <v>0.008723497</v>
      </c>
      <c r="J532" s="1" t="n">
        <v>0.00758338</v>
      </c>
      <c r="K532" s="1" t="n">
        <v>0.007416964</v>
      </c>
      <c r="L532" s="1" t="n">
        <v>0.007517338</v>
      </c>
      <c r="M532" s="1" t="n">
        <v>0.007433653</v>
      </c>
      <c r="N532" s="1" t="n">
        <v>0.007415771</v>
      </c>
      <c r="O532" s="1" t="n">
        <v>0.007481337</v>
      </c>
      <c r="P532" s="1" t="n">
        <v>0.007467747</v>
      </c>
      <c r="R532" s="1" t="n">
        <f aca="false">PERCENTILE(G532:P532,0.9)</f>
        <v>0.01077323</v>
      </c>
      <c r="S532" s="5" t="n">
        <f aca="false">spmv_1!R$18/R532</f>
        <v>7.19735202905721</v>
      </c>
      <c r="T532" s="6" t="n">
        <f aca="false">S532/128</f>
        <v>0.0562293127270095</v>
      </c>
    </row>
    <row r="533" customFormat="false" ht="15" hidden="false" customHeight="false" outlineLevel="0" collapsed="false">
      <c r="A533" s="1" t="s">
        <v>19</v>
      </c>
      <c r="B533" s="1" t="n">
        <v>7</v>
      </c>
      <c r="D533" s="1" t="n">
        <v>297677</v>
      </c>
      <c r="E533" s="1" t="n">
        <v>0.071106</v>
      </c>
      <c r="G533" s="1" t="n">
        <v>0.010482311</v>
      </c>
      <c r="H533" s="1" t="n">
        <v>0.011855125</v>
      </c>
      <c r="I533" s="1" t="n">
        <v>0.008831739</v>
      </c>
      <c r="J533" s="1" t="n">
        <v>0.007635117</v>
      </c>
      <c r="K533" s="1" t="n">
        <v>0.007461548</v>
      </c>
      <c r="L533" s="1" t="n">
        <v>0.007550955</v>
      </c>
      <c r="M533" s="1" t="n">
        <v>0.007464409</v>
      </c>
      <c r="N533" s="1" t="n">
        <v>0.007441998</v>
      </c>
      <c r="O533" s="1" t="n">
        <v>0.007513762</v>
      </c>
      <c r="P533" s="1" t="n">
        <v>0.007490396</v>
      </c>
      <c r="R533" s="1" t="n">
        <f aca="false">PERCENTILE(G533:P533,0.9)</f>
        <v>0.0106195924</v>
      </c>
      <c r="S533" s="5" t="n">
        <f aca="false">spmv_1!R$18/R533</f>
        <v>7.30147880251977</v>
      </c>
      <c r="T533" s="6" t="n">
        <f aca="false">S533/128</f>
        <v>0.0570428031446857</v>
      </c>
    </row>
    <row r="534" customFormat="false" ht="15" hidden="false" customHeight="false" outlineLevel="0" collapsed="false">
      <c r="A534" s="1" t="s">
        <v>19</v>
      </c>
      <c r="B534" s="1" t="n">
        <v>8</v>
      </c>
      <c r="D534" s="1" t="n">
        <v>290999</v>
      </c>
      <c r="E534" s="1" t="n">
        <v>0.067891</v>
      </c>
      <c r="G534" s="1" t="n">
        <v>0.011036873</v>
      </c>
      <c r="H534" s="1" t="n">
        <v>0.01194191</v>
      </c>
      <c r="I534" s="1" t="n">
        <v>0.008957624</v>
      </c>
      <c r="J534" s="1" t="n">
        <v>0.007849932</v>
      </c>
      <c r="K534" s="1" t="n">
        <v>0.00764823</v>
      </c>
      <c r="L534" s="1" t="n">
        <v>0.007697582</v>
      </c>
      <c r="M534" s="1" t="n">
        <v>0.007617474</v>
      </c>
      <c r="N534" s="1" t="n">
        <v>0.007596731</v>
      </c>
      <c r="O534" s="1" t="n">
        <v>0.007668018</v>
      </c>
      <c r="P534" s="1" t="n">
        <v>0.007711172</v>
      </c>
      <c r="R534" s="1" t="n">
        <f aca="false">PERCENTILE(G534:P534,0.9)</f>
        <v>0.0111273767</v>
      </c>
      <c r="S534" s="5" t="n">
        <f aca="false">spmv_1!R$18/R534</f>
        <v>6.9682846991241</v>
      </c>
      <c r="T534" s="6" t="n">
        <f aca="false">S534/128</f>
        <v>0.054439724211907</v>
      </c>
    </row>
    <row r="535" customFormat="false" ht="15" hidden="false" customHeight="false" outlineLevel="0" collapsed="false">
      <c r="A535" s="1" t="s">
        <v>19</v>
      </c>
      <c r="B535" s="1" t="n">
        <v>9</v>
      </c>
      <c r="D535" s="1" t="n">
        <v>286535</v>
      </c>
      <c r="E535" s="1" t="n">
        <v>0.066551</v>
      </c>
      <c r="G535" s="1" t="n">
        <v>0.011035442</v>
      </c>
      <c r="H535" s="1" t="n">
        <v>0.012017965</v>
      </c>
      <c r="I535" s="1" t="n">
        <v>0.00900054</v>
      </c>
      <c r="J535" s="1" t="n">
        <v>0.007876873</v>
      </c>
      <c r="K535" s="1" t="n">
        <v>0.00768733</v>
      </c>
      <c r="L535" s="1" t="n">
        <v>0.007754564</v>
      </c>
      <c r="M535" s="1" t="n">
        <v>0.007642031</v>
      </c>
      <c r="N535" s="1" t="n">
        <v>0.007656097</v>
      </c>
      <c r="O535" s="1" t="n">
        <v>0.007706881</v>
      </c>
      <c r="P535" s="1" t="n">
        <v>0.007732153</v>
      </c>
      <c r="R535" s="1" t="n">
        <f aca="false">PERCENTILE(G535:P535,0.9)</f>
        <v>0.0111336943</v>
      </c>
      <c r="S535" s="5" t="n">
        <f aca="false">spmv_1!R$18/R535</f>
        <v>6.96433068042833</v>
      </c>
      <c r="T535" s="6" t="n">
        <f aca="false">S535/128</f>
        <v>0.0544088334408463</v>
      </c>
    </row>
    <row r="536" customFormat="false" ht="15" hidden="false" customHeight="false" outlineLevel="0" collapsed="false">
      <c r="A536" s="1" t="s">
        <v>19</v>
      </c>
      <c r="B536" s="1" t="n">
        <v>10</v>
      </c>
      <c r="D536" s="1" t="n">
        <v>285621</v>
      </c>
      <c r="E536" s="1" t="n">
        <v>0.066684</v>
      </c>
      <c r="G536" s="1" t="n">
        <v>0.010964632</v>
      </c>
      <c r="H536" s="1" t="n">
        <v>0.011982441</v>
      </c>
      <c r="I536" s="1" t="n">
        <v>0.008952856</v>
      </c>
      <c r="J536" s="1" t="n">
        <v>0.007841587</v>
      </c>
      <c r="K536" s="1" t="n">
        <v>0.007647753</v>
      </c>
      <c r="L536" s="1" t="n">
        <v>0.007671356</v>
      </c>
      <c r="M536" s="1" t="n">
        <v>0.007619143</v>
      </c>
      <c r="N536" s="1" t="n">
        <v>0.007609606</v>
      </c>
      <c r="O536" s="1" t="n">
        <v>0.007668734</v>
      </c>
      <c r="P536" s="1" t="n">
        <v>0.00770545</v>
      </c>
      <c r="R536" s="1" t="n">
        <f aca="false">PERCENTILE(G536:P536,0.9)</f>
        <v>0.0110664129</v>
      </c>
      <c r="S536" s="5" t="n">
        <f aca="false">spmv_1!R$18/R536</f>
        <v>7.00667230661527</v>
      </c>
      <c r="T536" s="6" t="n">
        <f aca="false">S536/128</f>
        <v>0.0547396273954318</v>
      </c>
    </row>
    <row r="537" customFormat="false" ht="15" hidden="false" customHeight="false" outlineLevel="0" collapsed="false">
      <c r="A537" s="1" t="s">
        <v>19</v>
      </c>
      <c r="B537" s="1" t="n">
        <v>11</v>
      </c>
      <c r="D537" s="1" t="n">
        <v>297570</v>
      </c>
      <c r="E537" s="1" t="n">
        <v>0.069629</v>
      </c>
      <c r="G537" s="1" t="n">
        <v>0.011036396</v>
      </c>
      <c r="H537" s="1" t="n">
        <v>0.01196003</v>
      </c>
      <c r="I537" s="1" t="n">
        <v>0.008938313</v>
      </c>
      <c r="J537" s="1" t="n">
        <v>0.007829189</v>
      </c>
      <c r="K537" s="1" t="n">
        <v>0.007615805</v>
      </c>
      <c r="L537" s="1" t="n">
        <v>0.007632494</v>
      </c>
      <c r="M537" s="1" t="n">
        <v>0.007588625</v>
      </c>
      <c r="N537" s="1" t="n">
        <v>0.007568121</v>
      </c>
      <c r="O537" s="1" t="n">
        <v>0.00762558</v>
      </c>
      <c r="P537" s="1" t="n">
        <v>0.00767827</v>
      </c>
      <c r="R537" s="1" t="n">
        <f aca="false">PERCENTILE(G537:P537,0.9)</f>
        <v>0.0111287594</v>
      </c>
      <c r="S537" s="5" t="n">
        <f aca="false">spmv_1!R$18/R537</f>
        <v>6.96741892002805</v>
      </c>
      <c r="T537" s="6" t="n">
        <f aca="false">S537/128</f>
        <v>0.0544329603127191</v>
      </c>
    </row>
    <row r="538" customFormat="false" ht="15" hidden="false" customHeight="false" outlineLevel="0" collapsed="false">
      <c r="A538" s="1" t="s">
        <v>19</v>
      </c>
      <c r="B538" s="1" t="n">
        <v>12</v>
      </c>
      <c r="D538" s="1" t="n">
        <v>291480</v>
      </c>
      <c r="E538" s="1" t="n">
        <v>0.068916</v>
      </c>
      <c r="G538" s="1" t="n">
        <v>0.010923147</v>
      </c>
      <c r="H538" s="1" t="n">
        <v>0.011918306</v>
      </c>
      <c r="I538" s="1" t="n">
        <v>0.008841991</v>
      </c>
      <c r="J538" s="1" t="n">
        <v>0.00772357</v>
      </c>
      <c r="K538" s="1" t="n">
        <v>0.007508755</v>
      </c>
      <c r="L538" s="1" t="n">
        <v>0.007546425</v>
      </c>
      <c r="M538" s="1" t="n">
        <v>0.007509708</v>
      </c>
      <c r="N538" s="1" t="n">
        <v>0.007499933</v>
      </c>
      <c r="O538" s="1" t="n">
        <v>0.007539272</v>
      </c>
      <c r="P538" s="1" t="n">
        <v>0.007579088</v>
      </c>
      <c r="R538" s="1" t="n">
        <f aca="false">PERCENTILE(G538:P538,0.9)</f>
        <v>0.0110226629</v>
      </c>
      <c r="S538" s="5" t="n">
        <f aca="false">spmv_1!R$18/R538</f>
        <v>7.03448245704765</v>
      </c>
      <c r="T538" s="6" t="n">
        <f aca="false">S538/128</f>
        <v>0.0549568941956848</v>
      </c>
    </row>
    <row r="539" customFormat="false" ht="15" hidden="false" customHeight="false" outlineLevel="0" collapsed="false">
      <c r="A539" s="1" t="s">
        <v>19</v>
      </c>
      <c r="B539" s="1" t="n">
        <v>13</v>
      </c>
      <c r="D539" s="1" t="n">
        <v>286536</v>
      </c>
      <c r="E539" s="1" t="n">
        <v>0.067941</v>
      </c>
      <c r="G539" s="1" t="n">
        <v>0.010989666</v>
      </c>
      <c r="H539" s="1" t="n">
        <v>0.011895657</v>
      </c>
      <c r="I539" s="1" t="n">
        <v>0.008788109</v>
      </c>
      <c r="J539" s="1" t="n">
        <v>0.007714748</v>
      </c>
      <c r="K539" s="1" t="n">
        <v>0.007472277</v>
      </c>
      <c r="L539" s="1" t="n">
        <v>0.007493973</v>
      </c>
      <c r="M539" s="1" t="n">
        <v>0.007461071</v>
      </c>
      <c r="N539" s="1" t="n">
        <v>0.007451773</v>
      </c>
      <c r="O539" s="1" t="n">
        <v>0.007501602</v>
      </c>
      <c r="P539" s="1" t="n">
        <v>0.007579327</v>
      </c>
      <c r="R539" s="1" t="n">
        <f aca="false">PERCENTILE(G539:P539,0.9)</f>
        <v>0.0110802651</v>
      </c>
      <c r="S539" s="5" t="n">
        <f aca="false">spmv_1!R$18/R539</f>
        <v>6.99791278459574</v>
      </c>
      <c r="T539" s="6" t="n">
        <f aca="false">S539/128</f>
        <v>0.0546711936296542</v>
      </c>
    </row>
    <row r="540" customFormat="false" ht="15" hidden="false" customHeight="false" outlineLevel="0" collapsed="false">
      <c r="A540" s="1" t="s">
        <v>19</v>
      </c>
      <c r="B540" s="1" t="n">
        <v>14</v>
      </c>
      <c r="D540" s="1" t="n">
        <v>285847</v>
      </c>
      <c r="E540" s="1" t="n">
        <v>0.068525</v>
      </c>
      <c r="G540" s="1" t="n">
        <v>0.010924816</v>
      </c>
      <c r="H540" s="1" t="n">
        <v>0.011821985</v>
      </c>
      <c r="I540" s="1" t="n">
        <v>0.008697987</v>
      </c>
      <c r="J540" s="1" t="n">
        <v>0.007606268</v>
      </c>
      <c r="K540" s="1" t="n">
        <v>0.007378578</v>
      </c>
      <c r="L540" s="1" t="n">
        <v>0.007405519</v>
      </c>
      <c r="M540" s="1" t="n">
        <v>0.007362604</v>
      </c>
      <c r="N540" s="1" t="n">
        <v>0.007354498</v>
      </c>
      <c r="O540" s="1" t="n">
        <v>0.007397652</v>
      </c>
      <c r="P540" s="1" t="n">
        <v>0.007479191</v>
      </c>
      <c r="R540" s="1" t="n">
        <f aca="false">PERCENTILE(G540:P540,0.9)</f>
        <v>0.0110145329</v>
      </c>
      <c r="S540" s="5" t="n">
        <f aca="false">spmv_1!R$18/R540</f>
        <v>7.03967471920666</v>
      </c>
      <c r="T540" s="6" t="n">
        <f aca="false">S540/128</f>
        <v>0.054997458743802</v>
      </c>
    </row>
    <row r="541" customFormat="false" ht="15" hidden="false" customHeight="false" outlineLevel="0" collapsed="false">
      <c r="A541" s="1" t="s">
        <v>19</v>
      </c>
      <c r="B541" s="1" t="n">
        <v>15</v>
      </c>
      <c r="D541" s="1" t="n">
        <v>296996</v>
      </c>
      <c r="E541" s="1" t="n">
        <v>0.071374</v>
      </c>
      <c r="G541" s="1" t="n">
        <v>0.01084733</v>
      </c>
      <c r="H541" s="1" t="n">
        <v>0.011846542</v>
      </c>
      <c r="I541" s="1" t="n">
        <v>0.008656263</v>
      </c>
      <c r="J541" s="1" t="n">
        <v>0.007555485</v>
      </c>
      <c r="K541" s="1" t="n">
        <v>0.007353306</v>
      </c>
      <c r="L541" s="1" t="n">
        <v>0.007390976</v>
      </c>
      <c r="M541" s="1" t="n">
        <v>0.007350445</v>
      </c>
      <c r="N541" s="1" t="n">
        <v>0.007368326</v>
      </c>
      <c r="O541" s="1" t="n">
        <v>0.007392406</v>
      </c>
      <c r="P541" s="1" t="n">
        <v>0.007460833</v>
      </c>
      <c r="R541" s="1" t="n">
        <f aca="false">PERCENTILE(G541:P541,0.9)</f>
        <v>0.0109472512</v>
      </c>
      <c r="S541" s="5" t="n">
        <f aca="false">spmv_1!R$18/R541</f>
        <v>7.08294049194742</v>
      </c>
      <c r="T541" s="6" t="n">
        <f aca="false">S541/128</f>
        <v>0.0553354725933392</v>
      </c>
    </row>
    <row r="542" customFormat="false" ht="15" hidden="false" customHeight="false" outlineLevel="0" collapsed="false">
      <c r="A542" s="1" t="s">
        <v>19</v>
      </c>
      <c r="B542" s="1" t="n">
        <v>16</v>
      </c>
      <c r="D542" s="1" t="n">
        <v>290686</v>
      </c>
      <c r="E542" s="1" t="n">
        <v>0.063854</v>
      </c>
      <c r="G542" s="1" t="n">
        <v>0.011418104</v>
      </c>
      <c r="H542" s="1" t="n">
        <v>0.012497187</v>
      </c>
      <c r="I542" s="1" t="n">
        <v>0.00936842</v>
      </c>
      <c r="J542" s="1" t="n">
        <v>0.008238077</v>
      </c>
      <c r="K542" s="1" t="n">
        <v>0.008208513</v>
      </c>
      <c r="L542" s="1" t="n">
        <v>0.008255005</v>
      </c>
      <c r="M542" s="1" t="n">
        <v>0.008207083</v>
      </c>
      <c r="N542" s="1" t="n">
        <v>0.008298397</v>
      </c>
      <c r="O542" s="1" t="n">
        <v>0.008333683</v>
      </c>
      <c r="P542" s="1" t="n">
        <v>0.008222818</v>
      </c>
      <c r="R542" s="1" t="n">
        <f aca="false">PERCENTILE(G542:P542,0.9)</f>
        <v>0.0115260123</v>
      </c>
      <c r="S542" s="5" t="n">
        <f aca="false">spmv_1!R$18/R542</f>
        <v>6.72728145535642</v>
      </c>
      <c r="T542" s="6" t="n">
        <f aca="false">S542/128</f>
        <v>0.052556886369972</v>
      </c>
    </row>
    <row r="543" customFormat="false" ht="15" hidden="false" customHeight="false" outlineLevel="0" collapsed="false">
      <c r="A543" s="1" t="s">
        <v>19</v>
      </c>
      <c r="B543" s="1" t="n">
        <v>17</v>
      </c>
      <c r="D543" s="1" t="n">
        <v>286810</v>
      </c>
      <c r="E543" s="1" t="n">
        <v>0.062728</v>
      </c>
      <c r="G543" s="1" t="n">
        <v>0.01136899</v>
      </c>
      <c r="H543" s="1" t="n">
        <v>0.012537003</v>
      </c>
      <c r="I543" s="1" t="n">
        <v>0.009406328</v>
      </c>
      <c r="J543" s="1" t="n">
        <v>0.008276939</v>
      </c>
      <c r="K543" s="1" t="n">
        <v>0.008250237</v>
      </c>
      <c r="L543" s="1" t="n">
        <v>0.008305311</v>
      </c>
      <c r="M543" s="1" t="n">
        <v>0.008282423</v>
      </c>
      <c r="N543" s="1" t="n">
        <v>0.008367777</v>
      </c>
      <c r="O543" s="1" t="n">
        <v>0.008353233</v>
      </c>
      <c r="P543" s="1" t="n">
        <v>0.008296728</v>
      </c>
      <c r="R543" s="1" t="n">
        <f aca="false">PERCENTILE(G543:P543,0.9)</f>
        <v>0.0114857913</v>
      </c>
      <c r="S543" s="5" t="n">
        <f aca="false">spmv_1!R$18/R543</f>
        <v>6.75083908237128</v>
      </c>
      <c r="T543" s="6" t="n">
        <f aca="false">S543/128</f>
        <v>0.0527409303310256</v>
      </c>
    </row>
    <row r="544" customFormat="false" ht="15" hidden="false" customHeight="false" outlineLevel="0" collapsed="false">
      <c r="A544" s="1" t="s">
        <v>19</v>
      </c>
      <c r="B544" s="1" t="n">
        <v>18</v>
      </c>
      <c r="D544" s="1" t="n">
        <v>285049</v>
      </c>
      <c r="E544" s="1" t="n">
        <v>0.062152</v>
      </c>
      <c r="G544" s="1" t="n">
        <v>0.011334181</v>
      </c>
      <c r="H544" s="1" t="n">
        <v>0.012574673</v>
      </c>
      <c r="I544" s="1" t="n">
        <v>0.009452581</v>
      </c>
      <c r="J544" s="1" t="n">
        <v>0.00834012</v>
      </c>
      <c r="K544" s="1" t="n">
        <v>0.00828886</v>
      </c>
      <c r="L544" s="1" t="n">
        <v>0.008346081</v>
      </c>
      <c r="M544" s="1" t="n">
        <v>0.008320093</v>
      </c>
      <c r="N544" s="1" t="n">
        <v>0.008390188</v>
      </c>
      <c r="O544" s="1" t="n">
        <v>0.008401394</v>
      </c>
      <c r="P544" s="1" t="n">
        <v>0.008278131</v>
      </c>
      <c r="R544" s="1" t="n">
        <f aca="false">PERCENTILE(G544:P544,0.9)</f>
        <v>0.0114582302</v>
      </c>
      <c r="S544" s="5" t="n">
        <f aca="false">spmv_1!R$18/R544</f>
        <v>6.76707724025304</v>
      </c>
      <c r="T544" s="6" t="n">
        <f aca="false">S544/128</f>
        <v>0.0528677909394768</v>
      </c>
    </row>
    <row r="545" customFormat="false" ht="15" hidden="false" customHeight="false" outlineLevel="0" collapsed="false">
      <c r="A545" s="1" t="s">
        <v>19</v>
      </c>
      <c r="B545" s="1" t="n">
        <v>19</v>
      </c>
      <c r="D545" s="1" t="n">
        <v>296836</v>
      </c>
      <c r="E545" s="1" t="n">
        <v>0.072006</v>
      </c>
      <c r="G545" s="1" t="n">
        <v>0.010467052</v>
      </c>
      <c r="H545" s="1" t="n">
        <v>0.011813164</v>
      </c>
      <c r="I545" s="1" t="n">
        <v>0.008585453</v>
      </c>
      <c r="J545" s="1" t="n">
        <v>0.007491112</v>
      </c>
      <c r="K545" s="1" t="n">
        <v>0.007321119</v>
      </c>
      <c r="L545" s="1" t="n">
        <v>0.007377386</v>
      </c>
      <c r="M545" s="1" t="n">
        <v>0.007334232</v>
      </c>
      <c r="N545" s="1" t="n">
        <v>0.007316828</v>
      </c>
      <c r="O545" s="1" t="n">
        <v>0.007373571</v>
      </c>
      <c r="P545" s="1" t="n">
        <v>0.007367373</v>
      </c>
      <c r="R545" s="1" t="n">
        <f aca="false">PERCENTILE(G545:P545,0.9)</f>
        <v>0.0106016632</v>
      </c>
      <c r="S545" s="5" t="n">
        <f aca="false">spmv_1!R$18/R545</f>
        <v>7.31382683426503</v>
      </c>
      <c r="T545" s="6" t="n">
        <f aca="false">S545/128</f>
        <v>0.0571392721426955</v>
      </c>
    </row>
    <row r="546" customFormat="false" ht="15" hidden="false" customHeight="false" outlineLevel="0" collapsed="false">
      <c r="A546" s="1" t="s">
        <v>19</v>
      </c>
      <c r="B546" s="1" t="n">
        <v>20</v>
      </c>
      <c r="D546" s="1" t="n">
        <v>291047</v>
      </c>
      <c r="E546" s="1" t="n">
        <v>0.071146</v>
      </c>
      <c r="G546" s="1" t="n">
        <v>0.010390997</v>
      </c>
      <c r="H546" s="1" t="n">
        <v>0.011744261</v>
      </c>
      <c r="I546" s="1" t="n">
        <v>0.008514166</v>
      </c>
      <c r="J546" s="1" t="n">
        <v>0.007437706</v>
      </c>
      <c r="K546" s="1" t="n">
        <v>0.007268906</v>
      </c>
      <c r="L546" s="1" t="n">
        <v>0.007318258</v>
      </c>
      <c r="M546" s="1" t="n">
        <v>0.007289648</v>
      </c>
      <c r="N546" s="1" t="n">
        <v>0.00723958</v>
      </c>
      <c r="O546" s="1" t="n">
        <v>0.007293463</v>
      </c>
      <c r="P546" s="1" t="n">
        <v>0.007319689</v>
      </c>
      <c r="R546" s="1" t="n">
        <f aca="false">PERCENTILE(G546:P546,0.9)</f>
        <v>0.0105263234</v>
      </c>
      <c r="S546" s="5" t="n">
        <f aca="false">spmv_1!R$18/R546</f>
        <v>7.36617391025626</v>
      </c>
      <c r="T546" s="6" t="n">
        <f aca="false">S546/128</f>
        <v>0.0575482336738771</v>
      </c>
    </row>
    <row r="547" customFormat="false" ht="15" hidden="false" customHeight="false" outlineLevel="0" collapsed="false">
      <c r="A547" s="1" t="s">
        <v>19</v>
      </c>
      <c r="B547" s="1" t="n">
        <v>21</v>
      </c>
      <c r="D547" s="1" t="n">
        <v>287249</v>
      </c>
      <c r="E547" s="1" t="n">
        <v>0.063007</v>
      </c>
      <c r="G547" s="1" t="n">
        <v>0.011267185</v>
      </c>
      <c r="H547" s="1" t="n">
        <v>0.012563467</v>
      </c>
      <c r="I547" s="1" t="n">
        <v>0.009392023</v>
      </c>
      <c r="J547" s="1" t="n">
        <v>0.008299112</v>
      </c>
      <c r="K547" s="1" t="n">
        <v>0.008206606</v>
      </c>
      <c r="L547" s="1" t="n">
        <v>0.008269787</v>
      </c>
      <c r="M547" s="1" t="n">
        <v>0.008282185</v>
      </c>
      <c r="N547" s="1" t="n">
        <v>0.008349657</v>
      </c>
      <c r="O547" s="1" t="n">
        <v>0.008349895</v>
      </c>
      <c r="P547" s="1" t="n">
        <v>0.008200645</v>
      </c>
      <c r="R547" s="1" t="n">
        <f aca="false">PERCENTILE(G547:P547,0.9)</f>
        <v>0.0113968132</v>
      </c>
      <c r="S547" s="5" t="n">
        <f aca="false">spmv_1!R$18/R547</f>
        <v>6.80354476635627</v>
      </c>
      <c r="T547" s="6" t="n">
        <f aca="false">S547/128</f>
        <v>0.0531526934871583</v>
      </c>
    </row>
    <row r="548" customFormat="false" ht="15" hidden="false" customHeight="false" outlineLevel="0" collapsed="false">
      <c r="A548" s="1" t="s">
        <v>19</v>
      </c>
      <c r="B548" s="1" t="n">
        <v>22</v>
      </c>
      <c r="D548" s="1" t="n">
        <v>285558</v>
      </c>
      <c r="E548" s="1" t="n">
        <v>0.062048</v>
      </c>
      <c r="G548" s="1" t="n">
        <v>0.011208296</v>
      </c>
      <c r="H548" s="1" t="n">
        <v>0.012658834</v>
      </c>
      <c r="I548" s="1" t="n">
        <v>0.009552479</v>
      </c>
      <c r="J548" s="1" t="n">
        <v>0.008401155</v>
      </c>
      <c r="K548" s="1" t="n">
        <v>0.008413076</v>
      </c>
      <c r="L548" s="1" t="n">
        <v>0.008412361</v>
      </c>
      <c r="M548" s="1" t="n">
        <v>0.008326292</v>
      </c>
      <c r="N548" s="1" t="n">
        <v>0.008347511</v>
      </c>
      <c r="O548" s="1" t="n">
        <v>0.008318424</v>
      </c>
      <c r="P548" s="1" t="n">
        <v>0.008406162</v>
      </c>
      <c r="R548" s="1" t="n">
        <f aca="false">PERCENTILE(G548:P548,0.9)</f>
        <v>0.0113533498</v>
      </c>
      <c r="S548" s="5" t="n">
        <f aca="false">spmv_1!R$18/R548</f>
        <v>6.82959039983072</v>
      </c>
      <c r="T548" s="6" t="n">
        <f aca="false">S548/128</f>
        <v>0.0533561749986775</v>
      </c>
    </row>
    <row r="549" customFormat="false" ht="15" hidden="false" customHeight="false" outlineLevel="0" collapsed="false">
      <c r="A549" s="1" t="s">
        <v>19</v>
      </c>
      <c r="B549" s="1" t="n">
        <v>23</v>
      </c>
      <c r="D549" s="1" t="n">
        <v>296873</v>
      </c>
      <c r="E549" s="1" t="n">
        <v>0.066479</v>
      </c>
      <c r="G549" s="1" t="n">
        <v>0.011059284</v>
      </c>
      <c r="H549" s="1" t="n">
        <v>0.012218237</v>
      </c>
      <c r="I549" s="1" t="n">
        <v>0.009203911</v>
      </c>
      <c r="J549" s="1" t="n">
        <v>0.008093596</v>
      </c>
      <c r="K549" s="1" t="n">
        <v>0.008118391</v>
      </c>
      <c r="L549" s="1" t="n">
        <v>0.008135557</v>
      </c>
      <c r="M549" s="1" t="n">
        <v>0.008057356</v>
      </c>
      <c r="N549" s="1" t="n">
        <v>0.008136988</v>
      </c>
      <c r="O549" s="1" t="n">
        <v>0.008206606</v>
      </c>
      <c r="P549" s="1" t="n">
        <v>0.00808382</v>
      </c>
      <c r="R549" s="1" t="n">
        <f aca="false">PERCENTILE(G549:P549,0.9)</f>
        <v>0.0111751793</v>
      </c>
      <c r="S549" s="5" t="n">
        <f aca="false">spmv_1!R$18/R549</f>
        <v>6.93847738085061</v>
      </c>
      <c r="T549" s="6" t="n">
        <f aca="false">S549/128</f>
        <v>0.0542068545378954</v>
      </c>
    </row>
    <row r="550" customFormat="false" ht="15" hidden="false" customHeight="false" outlineLevel="0" collapsed="false">
      <c r="A550" s="1" t="s">
        <v>19</v>
      </c>
      <c r="B550" s="1" t="n">
        <v>24</v>
      </c>
      <c r="D550" s="1" t="n">
        <v>290851</v>
      </c>
      <c r="E550" s="1" t="n">
        <v>0.072509</v>
      </c>
      <c r="G550" s="1" t="n">
        <v>0.010206461</v>
      </c>
      <c r="H550" s="1" t="n">
        <v>0.011368513</v>
      </c>
      <c r="I550" s="1" t="n">
        <v>0.008288383</v>
      </c>
      <c r="J550" s="1" t="n">
        <v>0.007227898</v>
      </c>
      <c r="K550" s="1" t="n">
        <v>0.007130384</v>
      </c>
      <c r="L550" s="1" t="n">
        <v>0.007237673</v>
      </c>
      <c r="M550" s="1" t="n">
        <v>0.00711441</v>
      </c>
      <c r="N550" s="1" t="n">
        <v>0.00713253</v>
      </c>
      <c r="O550" s="1" t="n">
        <v>0.007193327</v>
      </c>
      <c r="P550" s="1" t="n">
        <v>0.007324934</v>
      </c>
      <c r="R550" s="1" t="n">
        <f aca="false">PERCENTILE(G550:P550,0.9)</f>
        <v>0.0103226662</v>
      </c>
      <c r="S550" s="5" t="n">
        <f aca="false">spmv_1!R$18/R550</f>
        <v>7.51150209623169</v>
      </c>
      <c r="T550" s="6" t="n">
        <f aca="false">S550/128</f>
        <v>0.0586836101268101</v>
      </c>
    </row>
    <row r="551" customFormat="false" ht="15" hidden="false" customHeight="false" outlineLevel="0" collapsed="false">
      <c r="A551" s="1" t="s">
        <v>19</v>
      </c>
      <c r="B551" s="1" t="n">
        <v>25</v>
      </c>
      <c r="D551" s="1" t="n">
        <v>287485</v>
      </c>
      <c r="E551" s="1" t="n">
        <v>0.072038</v>
      </c>
      <c r="G551" s="1" t="n">
        <v>0.010081768</v>
      </c>
      <c r="H551" s="1" t="n">
        <v>0.011206865</v>
      </c>
      <c r="I551" s="1" t="n">
        <v>0.008197784</v>
      </c>
      <c r="J551" s="1" t="n">
        <v>0.007152557</v>
      </c>
      <c r="K551" s="1" t="n">
        <v>0.00703907</v>
      </c>
      <c r="L551" s="1" t="n">
        <v>0.007189512</v>
      </c>
      <c r="M551" s="1" t="n">
        <v>0.007049084</v>
      </c>
      <c r="N551" s="1" t="n">
        <v>0.007080317</v>
      </c>
      <c r="O551" s="1" t="n">
        <v>0.00712347</v>
      </c>
      <c r="P551" s="1" t="n">
        <v>0.007694483</v>
      </c>
      <c r="R551" s="1" t="n">
        <f aca="false">PERCENTILE(G551:P551,0.9)</f>
        <v>0.0101942777</v>
      </c>
      <c r="S551" s="5" t="n">
        <f aca="false">spmv_1!R$18/R551</f>
        <v>7.60610325535864</v>
      </c>
      <c r="T551" s="6" t="n">
        <f aca="false">S551/128</f>
        <v>0.0594226816824894</v>
      </c>
    </row>
    <row r="552" customFormat="false" ht="15" hidden="false" customHeight="false" outlineLevel="0" collapsed="false">
      <c r="A552" s="1" t="s">
        <v>19</v>
      </c>
      <c r="B552" s="1" t="n">
        <v>26</v>
      </c>
      <c r="D552" s="1" t="n">
        <v>285580</v>
      </c>
      <c r="E552" s="1" t="n">
        <v>0.063662</v>
      </c>
      <c r="G552" s="1" t="n">
        <v>0.010815859</v>
      </c>
      <c r="H552" s="1" t="n">
        <v>0.011983156</v>
      </c>
      <c r="I552" s="1" t="n">
        <v>0.009115696</v>
      </c>
      <c r="J552" s="1" t="n">
        <v>0.007982016</v>
      </c>
      <c r="K552" s="1" t="n">
        <v>0.007889986</v>
      </c>
      <c r="L552" s="1" t="n">
        <v>0.00809288</v>
      </c>
      <c r="M552" s="1" t="n">
        <v>0.007902384</v>
      </c>
      <c r="N552" s="1" t="n">
        <v>0.0079422</v>
      </c>
      <c r="O552" s="1" t="n">
        <v>0.008808613</v>
      </c>
      <c r="P552" s="1" t="n">
        <v>0.009185314</v>
      </c>
      <c r="R552" s="1" t="n">
        <f aca="false">PERCENTILE(G552:P552,0.9)</f>
        <v>0.0109325887</v>
      </c>
      <c r="S552" s="5" t="n">
        <f aca="false">spmv_1!R$18/R552</f>
        <v>7.09243994517053</v>
      </c>
      <c r="T552" s="6" t="n">
        <f aca="false">S552/128</f>
        <v>0.0554096870716448</v>
      </c>
    </row>
    <row r="553" customFormat="false" ht="15" hidden="false" customHeight="false" outlineLevel="0" collapsed="false">
      <c r="A553" s="1" t="s">
        <v>19</v>
      </c>
      <c r="B553" s="1" t="n">
        <v>27</v>
      </c>
      <c r="D553" s="1" t="n">
        <v>297364</v>
      </c>
      <c r="E553" s="1" t="n">
        <v>0.066613</v>
      </c>
      <c r="G553" s="1" t="n">
        <v>0.010742664</v>
      </c>
      <c r="H553" s="1" t="n">
        <v>0.011914253</v>
      </c>
      <c r="I553" s="1" t="n">
        <v>0.0090909</v>
      </c>
      <c r="J553" s="1" t="n">
        <v>0.007934809</v>
      </c>
      <c r="K553" s="1" t="n">
        <v>0.007839918</v>
      </c>
      <c r="L553" s="1" t="n">
        <v>0.008067846</v>
      </c>
      <c r="M553" s="1" t="n">
        <v>0.007888079</v>
      </c>
      <c r="N553" s="1" t="n">
        <v>0.007926702</v>
      </c>
      <c r="O553" s="1" t="n">
        <v>0.008787394</v>
      </c>
      <c r="P553" s="1" t="n">
        <v>0.009088755</v>
      </c>
      <c r="R553" s="1" t="n">
        <f aca="false">PERCENTILE(G553:P553,0.9)</f>
        <v>0.0108598229</v>
      </c>
      <c r="S553" s="5" t="n">
        <f aca="false">spmv_1!R$18/R553</f>
        <v>7.13996254948136</v>
      </c>
      <c r="T553" s="6" t="n">
        <f aca="false">S553/128</f>
        <v>0.0557809574178231</v>
      </c>
    </row>
    <row r="554" customFormat="false" ht="15" hidden="false" customHeight="false" outlineLevel="0" collapsed="false">
      <c r="A554" s="1" t="s">
        <v>19</v>
      </c>
      <c r="B554" s="1" t="n">
        <v>28</v>
      </c>
      <c r="D554" s="1" t="n">
        <v>290723</v>
      </c>
      <c r="E554" s="1" t="n">
        <v>0.067776</v>
      </c>
      <c r="G554" s="1" t="n">
        <v>0.010507584</v>
      </c>
      <c r="H554" s="1" t="n">
        <v>0.011800289</v>
      </c>
      <c r="I554" s="1" t="n">
        <v>0.00883317</v>
      </c>
      <c r="J554" s="1" t="n">
        <v>0.007695198</v>
      </c>
      <c r="K554" s="1" t="n">
        <v>0.00755167</v>
      </c>
      <c r="L554" s="1" t="n">
        <v>0.007753611</v>
      </c>
      <c r="M554" s="1" t="n">
        <v>0.007581711</v>
      </c>
      <c r="N554" s="1" t="n">
        <v>0.007594824</v>
      </c>
      <c r="O554" s="1" t="n">
        <v>0.0079844</v>
      </c>
      <c r="P554" s="1" t="n">
        <v>0.008487225</v>
      </c>
      <c r="R554" s="1" t="n">
        <f aca="false">PERCENTILE(G554:P554,0.9)</f>
        <v>0.0106368545</v>
      </c>
      <c r="S554" s="5" t="n">
        <f aca="false">spmv_1!R$18/R554</f>
        <v>7.28962954226741</v>
      </c>
      <c r="T554" s="6" t="n">
        <f aca="false">S554/128</f>
        <v>0.0569502307989641</v>
      </c>
    </row>
    <row r="555" customFormat="false" ht="15" hidden="false" customHeight="false" outlineLevel="0" collapsed="false">
      <c r="A555" s="1" t="s">
        <v>19</v>
      </c>
      <c r="B555" s="1" t="n">
        <v>29</v>
      </c>
      <c r="D555" s="1" t="n">
        <v>287585</v>
      </c>
      <c r="E555" s="1" t="n">
        <v>0.064627</v>
      </c>
      <c r="G555" s="1" t="n">
        <v>0.010721684</v>
      </c>
      <c r="H555" s="1" t="n">
        <v>0.01187396</v>
      </c>
      <c r="I555" s="1" t="n">
        <v>0.009053946</v>
      </c>
      <c r="J555" s="1" t="n">
        <v>0.007926702</v>
      </c>
      <c r="K555" s="1" t="n">
        <v>0.007808208</v>
      </c>
      <c r="L555" s="1" t="n">
        <v>0.008056164</v>
      </c>
      <c r="M555" s="1" t="n">
        <v>0.007847548</v>
      </c>
      <c r="N555" s="1" t="n">
        <v>0.007873535</v>
      </c>
      <c r="O555" s="1" t="n">
        <v>0.008687735</v>
      </c>
      <c r="P555" s="1" t="n">
        <v>0.009149551</v>
      </c>
      <c r="R555" s="1" t="n">
        <f aca="false">PERCENTILE(G555:P555,0.9)</f>
        <v>0.0108369116</v>
      </c>
      <c r="S555" s="5" t="n">
        <f aca="false">spmv_1!R$18/R555</f>
        <v>7.15505779340306</v>
      </c>
      <c r="T555" s="6" t="n">
        <f aca="false">S555/128</f>
        <v>0.0558988890109614</v>
      </c>
    </row>
    <row r="556" customFormat="false" ht="15" hidden="false" customHeight="false" outlineLevel="0" collapsed="false">
      <c r="A556" s="1" t="s">
        <v>19</v>
      </c>
      <c r="B556" s="1" t="n">
        <v>30</v>
      </c>
      <c r="D556" s="1" t="n">
        <v>285995</v>
      </c>
      <c r="E556" s="1" t="n">
        <v>0.0645</v>
      </c>
      <c r="G556" s="1" t="n">
        <v>0.010678053</v>
      </c>
      <c r="H556" s="1" t="n">
        <v>0.011827946</v>
      </c>
      <c r="I556" s="1" t="n">
        <v>0.009037733</v>
      </c>
      <c r="J556" s="1" t="n">
        <v>0.007885933</v>
      </c>
      <c r="K556" s="1" t="n">
        <v>0.007775068</v>
      </c>
      <c r="L556" s="1" t="n">
        <v>0.007963419</v>
      </c>
      <c r="M556" s="1" t="n">
        <v>0.007857323</v>
      </c>
      <c r="N556" s="1" t="n">
        <v>0.007856607</v>
      </c>
      <c r="O556" s="1" t="n">
        <v>0.008676529</v>
      </c>
      <c r="P556" s="1" t="n">
        <v>0.009122372</v>
      </c>
      <c r="R556" s="1" t="n">
        <f aca="false">PERCENTILE(G556:P556,0.9)</f>
        <v>0.0107930423</v>
      </c>
      <c r="S556" s="5" t="n">
        <f aca="false">spmv_1!R$18/R556</f>
        <v>7.18414017519416</v>
      </c>
      <c r="T556" s="6" t="n">
        <f aca="false">S556/128</f>
        <v>0.0561260951187044</v>
      </c>
    </row>
    <row r="557" customFormat="false" ht="15" hidden="false" customHeight="false" outlineLevel="0" collapsed="false">
      <c r="A557" s="1" t="s">
        <v>19</v>
      </c>
      <c r="B557" s="1" t="n">
        <v>31</v>
      </c>
      <c r="D557" s="1" t="n">
        <v>298019</v>
      </c>
      <c r="E557" s="1" t="n">
        <v>0.068142</v>
      </c>
      <c r="G557" s="1" t="n">
        <v>0.010409594</v>
      </c>
      <c r="H557" s="1" t="n">
        <v>0.011473656</v>
      </c>
      <c r="I557" s="1" t="n">
        <v>0.008994341</v>
      </c>
      <c r="J557" s="1" t="n">
        <v>0.007760048</v>
      </c>
      <c r="K557" s="1" t="n">
        <v>0.007696152</v>
      </c>
      <c r="L557" s="1" t="n">
        <v>0.0078547</v>
      </c>
      <c r="M557" s="1" t="n">
        <v>0.007740974</v>
      </c>
      <c r="N557" s="1" t="n">
        <v>0.007826567</v>
      </c>
      <c r="O557" s="1" t="n">
        <v>0.008572102</v>
      </c>
      <c r="P557" s="1" t="n">
        <v>0.009141922</v>
      </c>
      <c r="R557" s="1" t="n">
        <f aca="false">PERCENTILE(G557:P557,0.9)</f>
        <v>0.0105160002</v>
      </c>
      <c r="S557" s="5" t="n">
        <f aca="false">spmv_1!R$18/R557</f>
        <v>7.37340503283749</v>
      </c>
      <c r="T557" s="6" t="n">
        <f aca="false">S557/128</f>
        <v>0.0576047268190429</v>
      </c>
    </row>
    <row r="558" customFormat="false" ht="15" hidden="false" customHeight="false" outlineLevel="0" collapsed="false">
      <c r="A558" s="1" t="s">
        <v>19</v>
      </c>
      <c r="B558" s="1" t="n">
        <v>32</v>
      </c>
      <c r="D558" s="1" t="n">
        <v>290420</v>
      </c>
      <c r="E558" s="1" t="n">
        <v>0.066205</v>
      </c>
      <c r="G558" s="1" t="n">
        <v>0.017561913</v>
      </c>
      <c r="H558" s="1" t="n">
        <v>0.01111269</v>
      </c>
      <c r="I558" s="1" t="n">
        <v>0.008201838</v>
      </c>
      <c r="J558" s="1" t="n">
        <v>0.007256985</v>
      </c>
      <c r="K558" s="1" t="n">
        <v>0.007148266</v>
      </c>
      <c r="L558" s="1" t="n">
        <v>0.007237434</v>
      </c>
      <c r="M558" s="1" t="n">
        <v>0.007124424</v>
      </c>
      <c r="N558" s="1" t="n">
        <v>0.007156372</v>
      </c>
      <c r="O558" s="1" t="n">
        <v>0.007205248</v>
      </c>
      <c r="P558" s="1" t="n">
        <v>0.007728815</v>
      </c>
      <c r="R558" s="1" t="n">
        <f aca="false">PERCENTILE(G558:P558,0.9)</f>
        <v>0.0117576123</v>
      </c>
      <c r="S558" s="5" t="n">
        <f aca="false">spmv_1!R$18/R558</f>
        <v>6.59476829321886</v>
      </c>
      <c r="T558" s="6" t="n">
        <f aca="false">S558/128</f>
        <v>0.0515216272907723</v>
      </c>
    </row>
    <row r="559" customFormat="false" ht="15" hidden="false" customHeight="false" outlineLevel="0" collapsed="false">
      <c r="A559" s="1" t="s">
        <v>19</v>
      </c>
      <c r="B559" s="1" t="n">
        <v>33</v>
      </c>
      <c r="D559" s="1" t="n">
        <v>287619</v>
      </c>
      <c r="E559" s="1" t="n">
        <v>0.065578</v>
      </c>
      <c r="G559" s="1" t="n">
        <v>0.017664194</v>
      </c>
      <c r="H559" s="1" t="n">
        <v>0.011084795</v>
      </c>
      <c r="I559" s="1" t="n">
        <v>0.008183718</v>
      </c>
      <c r="J559" s="1" t="n">
        <v>0.007243633</v>
      </c>
      <c r="K559" s="1" t="n">
        <v>0.007166386</v>
      </c>
      <c r="L559" s="1" t="n">
        <v>0.007221699</v>
      </c>
      <c r="M559" s="1" t="n">
        <v>0.007116079</v>
      </c>
      <c r="N559" s="1" t="n">
        <v>0.007148981</v>
      </c>
      <c r="O559" s="1" t="n">
        <v>0.007196665</v>
      </c>
      <c r="P559" s="1" t="n">
        <v>0.007691383</v>
      </c>
      <c r="R559" s="1" t="n">
        <f aca="false">PERCENTILE(G559:P559,0.9)</f>
        <v>0.0117427349</v>
      </c>
      <c r="S559" s="5" t="n">
        <f aca="false">spmv_1!R$18/R559</f>
        <v>6.60312350234527</v>
      </c>
      <c r="T559" s="6" t="n">
        <f aca="false">S559/128</f>
        <v>0.0515869023620724</v>
      </c>
    </row>
    <row r="560" customFormat="false" ht="15" hidden="false" customHeight="false" outlineLevel="0" collapsed="false">
      <c r="A560" s="1" t="s">
        <v>19</v>
      </c>
      <c r="B560" s="1" t="n">
        <v>34</v>
      </c>
      <c r="D560" s="1" t="n">
        <v>286237</v>
      </c>
      <c r="E560" s="1" t="n">
        <v>0.065084</v>
      </c>
      <c r="G560" s="1" t="n">
        <v>0.01768136</v>
      </c>
      <c r="H560" s="1" t="n">
        <v>0.011091232</v>
      </c>
      <c r="I560" s="1" t="n">
        <v>0.008178473</v>
      </c>
      <c r="J560" s="1" t="n">
        <v>0.007282495</v>
      </c>
      <c r="K560" s="1" t="n">
        <v>0.007195234</v>
      </c>
      <c r="L560" s="1" t="n">
        <v>0.007261038</v>
      </c>
      <c r="M560" s="1" t="n">
        <v>0.007147789</v>
      </c>
      <c r="N560" s="1" t="n">
        <v>0.007186651</v>
      </c>
      <c r="O560" s="1" t="n">
        <v>0.007227182</v>
      </c>
      <c r="P560" s="1" t="n">
        <v>0.007707357</v>
      </c>
      <c r="R560" s="1" t="n">
        <f aca="false">PERCENTILE(G560:P560,0.9)</f>
        <v>0.0117502448</v>
      </c>
      <c r="S560" s="5" t="n">
        <f aca="false">spmv_1!R$18/R560</f>
        <v>6.5989032671047</v>
      </c>
      <c r="T560" s="6" t="n">
        <f aca="false">S560/128</f>
        <v>0.0515539317742555</v>
      </c>
    </row>
    <row r="561" customFormat="false" ht="15" hidden="false" customHeight="false" outlineLevel="0" collapsed="false">
      <c r="A561" s="1" t="s">
        <v>19</v>
      </c>
      <c r="B561" s="1" t="n">
        <v>35</v>
      </c>
      <c r="D561" s="1" t="n">
        <v>298673</v>
      </c>
      <c r="E561" s="1" t="n">
        <v>0.068453</v>
      </c>
      <c r="G561" s="1" t="n">
        <v>0.017612934</v>
      </c>
      <c r="H561" s="1" t="n">
        <v>0.011029959</v>
      </c>
      <c r="I561" s="1" t="n">
        <v>0.008131742</v>
      </c>
      <c r="J561" s="1" t="n">
        <v>0.007203102</v>
      </c>
      <c r="K561" s="1" t="n">
        <v>0.007119656</v>
      </c>
      <c r="L561" s="1" t="n">
        <v>0.007186651</v>
      </c>
      <c r="M561" s="1" t="n">
        <v>0.007081509</v>
      </c>
      <c r="N561" s="1" t="n">
        <v>0.007108212</v>
      </c>
      <c r="O561" s="1" t="n">
        <v>0.007149696</v>
      </c>
      <c r="P561" s="1" t="n">
        <v>0.007640362</v>
      </c>
      <c r="R561" s="1" t="n">
        <f aca="false">PERCENTILE(G561:P561,0.9)</f>
        <v>0.0116882565</v>
      </c>
      <c r="S561" s="5" t="n">
        <f aca="false">spmv_1!R$18/R561</f>
        <v>6.63390034262167</v>
      </c>
      <c r="T561" s="6" t="n">
        <f aca="false">S561/128</f>
        <v>0.0518273464267318</v>
      </c>
    </row>
    <row r="562" customFormat="false" ht="15" hidden="false" customHeight="false" outlineLevel="0" collapsed="false">
      <c r="A562" s="1" t="s">
        <v>19</v>
      </c>
      <c r="B562" s="1" t="n">
        <v>36</v>
      </c>
      <c r="D562" s="1" t="n">
        <v>290510</v>
      </c>
      <c r="E562" s="1" t="n">
        <v>0.066269</v>
      </c>
      <c r="G562" s="1" t="n">
        <v>0.018010616</v>
      </c>
      <c r="H562" s="1" t="n">
        <v>0.011005402</v>
      </c>
      <c r="I562" s="1" t="n">
        <v>0.008116484</v>
      </c>
      <c r="J562" s="1" t="n">
        <v>0.007214546</v>
      </c>
      <c r="K562" s="1" t="n">
        <v>0.007146835</v>
      </c>
      <c r="L562" s="1" t="n">
        <v>0.007184505</v>
      </c>
      <c r="M562" s="1" t="n">
        <v>0.007085085</v>
      </c>
      <c r="N562" s="1" t="n">
        <v>0.007116079</v>
      </c>
      <c r="O562" s="1" t="n">
        <v>0.007158279</v>
      </c>
      <c r="P562" s="1" t="n">
        <v>0.007637978</v>
      </c>
      <c r="R562" s="1" t="n">
        <f aca="false">PERCENTILE(G562:P562,0.9)</f>
        <v>0.0117059234</v>
      </c>
      <c r="S562" s="5" t="n">
        <f aca="false">spmv_1!R$18/R562</f>
        <v>6.62388827864703</v>
      </c>
      <c r="T562" s="6" t="n">
        <f aca="false">S562/128</f>
        <v>0.0517491271769299</v>
      </c>
    </row>
    <row r="563" customFormat="false" ht="15" hidden="false" customHeight="false" outlineLevel="0" collapsed="false">
      <c r="A563" s="1" t="s">
        <v>19</v>
      </c>
      <c r="B563" s="1" t="n">
        <v>37</v>
      </c>
      <c r="D563" s="1" t="n">
        <v>287477</v>
      </c>
      <c r="E563" s="1" t="n">
        <v>0.06582</v>
      </c>
      <c r="G563" s="1" t="n">
        <v>0.017832756</v>
      </c>
      <c r="H563" s="1" t="n">
        <v>0.010944605</v>
      </c>
      <c r="I563" s="1" t="n">
        <v>0.008107901</v>
      </c>
      <c r="J563" s="1" t="n">
        <v>0.007209063</v>
      </c>
      <c r="K563" s="1" t="n">
        <v>0.007122517</v>
      </c>
      <c r="L563" s="1" t="n">
        <v>0.007171392</v>
      </c>
      <c r="M563" s="1" t="n">
        <v>0.00707674</v>
      </c>
      <c r="N563" s="1" t="n">
        <v>0.007109404</v>
      </c>
      <c r="O563" s="1" t="n">
        <v>0.007158756</v>
      </c>
      <c r="P563" s="1" t="n">
        <v>0.007619143</v>
      </c>
      <c r="R563" s="1" t="n">
        <f aca="false">PERCENTILE(G563:P563,0.9)</f>
        <v>0.0116334201</v>
      </c>
      <c r="S563" s="5" t="n">
        <f aca="false">spmv_1!R$18/R563</f>
        <v>6.66517052882841</v>
      </c>
      <c r="T563" s="6" t="n">
        <f aca="false">S563/128</f>
        <v>0.0520716447564719</v>
      </c>
    </row>
    <row r="564" customFormat="false" ht="15" hidden="false" customHeight="false" outlineLevel="0" collapsed="false">
      <c r="A564" s="1" t="s">
        <v>19</v>
      </c>
      <c r="B564" s="1" t="n">
        <v>38</v>
      </c>
      <c r="D564" s="1" t="n">
        <v>286439</v>
      </c>
      <c r="E564" s="1" t="n">
        <v>0.065639</v>
      </c>
      <c r="G564" s="1" t="n">
        <v>0.018058538</v>
      </c>
      <c r="H564" s="1" t="n">
        <v>0.010702133</v>
      </c>
      <c r="I564" s="1" t="n">
        <v>0.008059025</v>
      </c>
      <c r="J564" s="1" t="n">
        <v>0.007214069</v>
      </c>
      <c r="K564" s="1" t="n">
        <v>0.007120371</v>
      </c>
      <c r="L564" s="1" t="n">
        <v>0.007173061</v>
      </c>
      <c r="M564" s="1" t="n">
        <v>0.007076979</v>
      </c>
      <c r="N564" s="1" t="n">
        <v>0.007111311</v>
      </c>
      <c r="O564" s="1" t="n">
        <v>0.007161379</v>
      </c>
      <c r="P564" s="1" t="n">
        <v>0.007600784</v>
      </c>
      <c r="R564" s="1" t="n">
        <f aca="false">PERCENTILE(G564:P564,0.9)</f>
        <v>0.0114377735</v>
      </c>
      <c r="S564" s="5" t="n">
        <f aca="false">spmv_1!R$18/R564</f>
        <v>6.77918030113116</v>
      </c>
      <c r="T564" s="6" t="n">
        <f aca="false">S564/128</f>
        <v>0.0529623461025872</v>
      </c>
    </row>
    <row r="565" customFormat="false" ht="15" hidden="false" customHeight="false" outlineLevel="0" collapsed="false">
      <c r="A565" s="1" t="s">
        <v>19</v>
      </c>
      <c r="B565" s="1" t="n">
        <v>39</v>
      </c>
      <c r="D565" s="1" t="n">
        <v>296961</v>
      </c>
      <c r="E565" s="1" t="n">
        <v>0.068536</v>
      </c>
      <c r="G565" s="1" t="n">
        <v>0.018023014</v>
      </c>
      <c r="H565" s="1" t="n">
        <v>0.01060915</v>
      </c>
      <c r="I565" s="1" t="n">
        <v>0.007989645</v>
      </c>
      <c r="J565" s="1" t="n">
        <v>0.007147789</v>
      </c>
      <c r="K565" s="1" t="n">
        <v>0.007064104</v>
      </c>
      <c r="L565" s="1" t="n">
        <v>0.007112503</v>
      </c>
      <c r="M565" s="1" t="n">
        <v>0.00702405</v>
      </c>
      <c r="N565" s="1" t="n">
        <v>0.007055044</v>
      </c>
      <c r="O565" s="1" t="n">
        <v>0.007087231</v>
      </c>
      <c r="P565" s="1" t="n">
        <v>0.007546425</v>
      </c>
      <c r="R565" s="1" t="n">
        <f aca="false">PERCENTILE(G565:P565,0.9)</f>
        <v>0.0113505364</v>
      </c>
      <c r="S565" s="5" t="n">
        <f aca="false">spmv_1!R$18/R565</f>
        <v>6.83128321583111</v>
      </c>
      <c r="T565" s="6" t="n">
        <f aca="false">S565/128</f>
        <v>0.0533694001236805</v>
      </c>
    </row>
    <row r="566" customFormat="false" ht="15" hidden="false" customHeight="false" outlineLevel="0" collapsed="false">
      <c r="A566" s="1" t="s">
        <v>19</v>
      </c>
      <c r="B566" s="1" t="n">
        <v>40</v>
      </c>
      <c r="D566" s="1" t="n">
        <v>290538</v>
      </c>
      <c r="E566" s="1" t="n">
        <v>0.067484</v>
      </c>
      <c r="G566" s="1" t="n">
        <v>0.017965078</v>
      </c>
      <c r="H566" s="1" t="n">
        <v>0.010489464</v>
      </c>
      <c r="I566" s="1" t="n">
        <v>0.007945299</v>
      </c>
      <c r="J566" s="1" t="n">
        <v>0.007094622</v>
      </c>
      <c r="K566" s="1" t="n">
        <v>0.007007599</v>
      </c>
      <c r="L566" s="1" t="n">
        <v>0.00707531</v>
      </c>
      <c r="M566" s="1" t="n">
        <v>0.006967783</v>
      </c>
      <c r="N566" s="1" t="n">
        <v>0.007004261</v>
      </c>
      <c r="O566" s="1" t="n">
        <v>0.007046938</v>
      </c>
      <c r="P566" s="1" t="n">
        <v>0.007509708</v>
      </c>
      <c r="R566" s="1" t="n">
        <f aca="false">PERCENTILE(G566:P566,0.9)</f>
        <v>0.0112370254</v>
      </c>
      <c r="S566" s="5" t="n">
        <f aca="false">spmv_1!R$18/R566</f>
        <v>6.90028953747849</v>
      </c>
      <c r="T566" s="6" t="n">
        <f aca="false">S566/128</f>
        <v>0.0539085120115507</v>
      </c>
    </row>
    <row r="567" customFormat="false" ht="15" hidden="false" customHeight="false" outlineLevel="0" collapsed="false">
      <c r="A567" s="1" t="s">
        <v>19</v>
      </c>
      <c r="B567" s="1" t="n">
        <v>41</v>
      </c>
      <c r="D567" s="1" t="n">
        <v>286508</v>
      </c>
      <c r="E567" s="1" t="n">
        <v>0.066276</v>
      </c>
      <c r="G567" s="1" t="n">
        <v>0.018054247</v>
      </c>
      <c r="H567" s="1" t="n">
        <v>0.010308981</v>
      </c>
      <c r="I567" s="1" t="n">
        <v>0.007990122</v>
      </c>
      <c r="J567" s="1" t="n">
        <v>0.007139206</v>
      </c>
      <c r="K567" s="1" t="n">
        <v>0.007046938</v>
      </c>
      <c r="L567" s="1" t="n">
        <v>0.007093191</v>
      </c>
      <c r="M567" s="1" t="n">
        <v>0.007005215</v>
      </c>
      <c r="N567" s="1" t="n">
        <v>0.007014751</v>
      </c>
      <c r="O567" s="1" t="n">
        <v>0.007093906</v>
      </c>
      <c r="P567" s="1" t="n">
        <v>0.007712603</v>
      </c>
      <c r="R567" s="1" t="n">
        <f aca="false">PERCENTILE(G567:P567,0.9)</f>
        <v>0.0110835076</v>
      </c>
      <c r="S567" s="5" t="n">
        <f aca="false">spmv_1!R$18/R567</f>
        <v>6.99586553267668</v>
      </c>
      <c r="T567" s="6" t="n">
        <f aca="false">S567/128</f>
        <v>0.0546551994740366</v>
      </c>
    </row>
    <row r="568" customFormat="false" ht="15" hidden="false" customHeight="false" outlineLevel="0" collapsed="false">
      <c r="A568" s="1" t="s">
        <v>19</v>
      </c>
      <c r="B568" s="1" t="n">
        <v>42</v>
      </c>
      <c r="D568" s="1" t="n">
        <v>286920</v>
      </c>
      <c r="E568" s="1" t="n">
        <v>0.067401</v>
      </c>
      <c r="G568" s="1" t="n">
        <v>0.01817441</v>
      </c>
      <c r="H568" s="1" t="n">
        <v>0.010051966</v>
      </c>
      <c r="I568" s="1" t="n">
        <v>0.007851839</v>
      </c>
      <c r="J568" s="1" t="n">
        <v>0.007005692</v>
      </c>
      <c r="K568" s="1" t="n">
        <v>0.006921768</v>
      </c>
      <c r="L568" s="1" t="n">
        <v>0.006966829</v>
      </c>
      <c r="M568" s="1" t="n">
        <v>0.006884813</v>
      </c>
      <c r="N568" s="1" t="n">
        <v>0.006887674</v>
      </c>
      <c r="O568" s="1" t="n">
        <v>0.006953478</v>
      </c>
      <c r="P568" s="1" t="n">
        <v>0.007439137</v>
      </c>
      <c r="R568" s="1" t="n">
        <f aca="false">PERCENTILE(G568:P568,0.9)</f>
        <v>0.0108642104</v>
      </c>
      <c r="S568" s="5" t="n">
        <f aca="false">spmv_1!R$18/R568</f>
        <v>7.13707908307814</v>
      </c>
      <c r="T568" s="6" t="n">
        <f aca="false">S568/128</f>
        <v>0.055758430336548</v>
      </c>
    </row>
    <row r="569" customFormat="false" ht="15" hidden="false" customHeight="false" outlineLevel="0" collapsed="false">
      <c r="A569" s="1" t="s">
        <v>19</v>
      </c>
      <c r="B569" s="1" t="n">
        <v>43</v>
      </c>
      <c r="D569" s="1" t="n">
        <v>297561</v>
      </c>
      <c r="E569" s="1" t="n">
        <v>0.06978</v>
      </c>
      <c r="G569" s="1" t="n">
        <v>0.018209219</v>
      </c>
      <c r="H569" s="1" t="n">
        <v>0.010053158</v>
      </c>
      <c r="I569" s="1" t="n">
        <v>0.007870197</v>
      </c>
      <c r="J569" s="1" t="n">
        <v>0.007014513</v>
      </c>
      <c r="K569" s="1" t="n">
        <v>0.00693655</v>
      </c>
      <c r="L569" s="1" t="n">
        <v>0.00698781</v>
      </c>
      <c r="M569" s="1" t="n">
        <v>0.006898165</v>
      </c>
      <c r="N569" s="1" t="n">
        <v>0.006887436</v>
      </c>
      <c r="O569" s="1" t="n">
        <v>0.006973028</v>
      </c>
      <c r="P569" s="1" t="n">
        <v>0.007455111</v>
      </c>
      <c r="R569" s="1" t="n">
        <f aca="false">PERCENTILE(G569:P569,0.9)</f>
        <v>0.0108687641</v>
      </c>
      <c r="S569" s="5" t="n">
        <f aca="false">spmv_1!R$18/R569</f>
        <v>7.13408885192384</v>
      </c>
      <c r="T569" s="6" t="n">
        <f aca="false">S569/128</f>
        <v>0.055735069155655</v>
      </c>
    </row>
    <row r="570" customFormat="false" ht="15" hidden="false" customHeight="false" outlineLevel="0" collapsed="false">
      <c r="A570" s="1" t="s">
        <v>19</v>
      </c>
      <c r="B570" s="1" t="n">
        <v>44</v>
      </c>
      <c r="D570" s="1" t="n">
        <v>291036</v>
      </c>
      <c r="E570" s="1" t="n">
        <v>0.068319</v>
      </c>
      <c r="G570" s="1" t="n">
        <v>0.018361568</v>
      </c>
      <c r="H570" s="1" t="n">
        <v>0.009937048</v>
      </c>
      <c r="I570" s="1" t="n">
        <v>0.007850885</v>
      </c>
      <c r="J570" s="1" t="n">
        <v>0.006999731</v>
      </c>
      <c r="K570" s="1" t="n">
        <v>0.006926775</v>
      </c>
      <c r="L570" s="1" t="n">
        <v>0.006966829</v>
      </c>
      <c r="M570" s="1" t="n">
        <v>0.006883621</v>
      </c>
      <c r="N570" s="1" t="n">
        <v>0.006886244</v>
      </c>
      <c r="O570" s="1" t="n">
        <v>0.006961107</v>
      </c>
      <c r="P570" s="1" t="n">
        <v>0.007425785</v>
      </c>
      <c r="R570" s="1" t="n">
        <f aca="false">PERCENTILE(G570:P570,0.9)</f>
        <v>0.0107795</v>
      </c>
      <c r="S570" s="5" t="n">
        <f aca="false">spmv_1!R$18/R570</f>
        <v>7.19316561992671</v>
      </c>
      <c r="T570" s="6" t="n">
        <f aca="false">S570/128</f>
        <v>0.0561966064056775</v>
      </c>
    </row>
    <row r="571" customFormat="false" ht="15" hidden="false" customHeight="false" outlineLevel="0" collapsed="false">
      <c r="A571" s="1" t="s">
        <v>19</v>
      </c>
      <c r="B571" s="1" t="n">
        <v>45</v>
      </c>
      <c r="D571" s="1" t="n">
        <v>287050</v>
      </c>
      <c r="E571" s="1" t="n">
        <v>0.068475</v>
      </c>
      <c r="G571" s="1" t="n">
        <v>0.018175364</v>
      </c>
      <c r="H571" s="1" t="n">
        <v>0.009814739</v>
      </c>
      <c r="I571" s="1" t="n">
        <v>0.00771904</v>
      </c>
      <c r="J571" s="1" t="n">
        <v>0.006873369</v>
      </c>
      <c r="K571" s="1" t="n">
        <v>0.006787539</v>
      </c>
      <c r="L571" s="1" t="n">
        <v>0.006824732</v>
      </c>
      <c r="M571" s="1" t="n">
        <v>0.006742001</v>
      </c>
      <c r="N571" s="1" t="n">
        <v>0.006767035</v>
      </c>
      <c r="O571" s="1" t="n">
        <v>0.006846189</v>
      </c>
      <c r="P571" s="1" t="n">
        <v>0.007291079</v>
      </c>
      <c r="R571" s="1" t="n">
        <f aca="false">PERCENTILE(G571:P571,0.9)</f>
        <v>0.0106508015</v>
      </c>
      <c r="S571" s="5" t="n">
        <f aca="false">spmv_1!R$18/R571</f>
        <v>7.28008392607824</v>
      </c>
      <c r="T571" s="6" t="n">
        <f aca="false">S571/128</f>
        <v>0.0568756556724863</v>
      </c>
    </row>
    <row r="572" customFormat="false" ht="15" hidden="false" customHeight="false" outlineLevel="0" collapsed="false">
      <c r="A572" s="1" t="s">
        <v>19</v>
      </c>
      <c r="B572" s="1" t="n">
        <v>46</v>
      </c>
      <c r="D572" s="1" t="n">
        <v>287492</v>
      </c>
      <c r="E572" s="1" t="n">
        <v>0.068227</v>
      </c>
      <c r="G572" s="1" t="n">
        <v>0.018261671</v>
      </c>
      <c r="H572" s="1" t="n">
        <v>0.009809494</v>
      </c>
      <c r="I572" s="1" t="n">
        <v>0.007773161</v>
      </c>
      <c r="J572" s="1" t="n">
        <v>0.006917238</v>
      </c>
      <c r="K572" s="1" t="n">
        <v>0.006815672</v>
      </c>
      <c r="L572" s="1" t="n">
        <v>0.006831646</v>
      </c>
      <c r="M572" s="1" t="n">
        <v>0.006771564</v>
      </c>
      <c r="N572" s="1" t="n">
        <v>0.006791592</v>
      </c>
      <c r="O572" s="1" t="n">
        <v>0.006881475</v>
      </c>
      <c r="P572" s="1" t="n">
        <v>0.007421494</v>
      </c>
      <c r="R572" s="1" t="n">
        <f aca="false">PERCENTILE(G572:P572,0.9)</f>
        <v>0.0106547117</v>
      </c>
      <c r="S572" s="5" t="n">
        <f aca="false">spmv_1!R$18/R572</f>
        <v>7.27741218938848</v>
      </c>
      <c r="T572" s="6" t="n">
        <f aca="false">S572/128</f>
        <v>0.0568547827295975</v>
      </c>
    </row>
    <row r="573" customFormat="false" ht="15" hidden="false" customHeight="false" outlineLevel="0" collapsed="false">
      <c r="A573" s="1" t="s">
        <v>19</v>
      </c>
      <c r="B573" s="1" t="n">
        <v>47</v>
      </c>
      <c r="D573" s="1" t="n">
        <v>297993</v>
      </c>
      <c r="E573" s="1" t="n">
        <v>0.07185</v>
      </c>
      <c r="G573" s="1" t="n">
        <v>0.018160343</v>
      </c>
      <c r="H573" s="1" t="n">
        <v>0.009665012</v>
      </c>
      <c r="I573" s="1" t="n">
        <v>0.007637501</v>
      </c>
      <c r="J573" s="1" t="n">
        <v>0.006781101</v>
      </c>
      <c r="K573" s="1" t="n">
        <v>0.006708384</v>
      </c>
      <c r="L573" s="1" t="n">
        <v>0.006743193</v>
      </c>
      <c r="M573" s="1" t="n">
        <v>0.006658316</v>
      </c>
      <c r="N573" s="1" t="n">
        <v>0.006659746</v>
      </c>
      <c r="O573" s="1" t="n">
        <v>0.00674963</v>
      </c>
      <c r="P573" s="1" t="n">
        <v>0.007185221</v>
      </c>
      <c r="R573" s="1" t="n">
        <f aca="false">PERCENTILE(G573:P573,0.9)</f>
        <v>0.0105145451</v>
      </c>
      <c r="S573" s="5" t="n">
        <f aca="false">spmv_1!R$18/R573</f>
        <v>7.37442543282258</v>
      </c>
      <c r="T573" s="6" t="n">
        <f aca="false">S573/128</f>
        <v>0.0576126986939264</v>
      </c>
    </row>
    <row r="574" customFormat="false" ht="15" hidden="false" customHeight="false" outlineLevel="0" collapsed="false">
      <c r="A574" s="1" t="s">
        <v>19</v>
      </c>
      <c r="B574" s="1" t="n">
        <v>48</v>
      </c>
      <c r="D574" s="1" t="n">
        <v>290006</v>
      </c>
      <c r="E574" s="1" t="n">
        <v>0.069825</v>
      </c>
      <c r="G574" s="1" t="n">
        <v>0.018219233</v>
      </c>
      <c r="H574" s="1" t="n">
        <v>0.009625912</v>
      </c>
      <c r="I574" s="1" t="n">
        <v>0.007619619</v>
      </c>
      <c r="J574" s="1" t="n">
        <v>0.006804943</v>
      </c>
      <c r="K574" s="1" t="n">
        <v>0.006737471</v>
      </c>
      <c r="L574" s="1" t="n">
        <v>0.006726503</v>
      </c>
      <c r="M574" s="1" t="n">
        <v>0.006666183</v>
      </c>
      <c r="N574" s="1" t="n">
        <v>0.006693363</v>
      </c>
      <c r="O574" s="1" t="n">
        <v>0.006771564</v>
      </c>
      <c r="P574" s="1" t="n">
        <v>0.007202148</v>
      </c>
      <c r="R574" s="1" t="n">
        <f aca="false">PERCENTILE(G574:P574,0.9)</f>
        <v>0.0104852441</v>
      </c>
      <c r="S574" s="5" t="n">
        <f aca="false">spmv_1!R$18/R574</f>
        <v>7.39503325439987</v>
      </c>
      <c r="T574" s="6" t="n">
        <f aca="false">S574/128</f>
        <v>0.057773697299999</v>
      </c>
    </row>
    <row r="575" customFormat="false" ht="15" hidden="false" customHeight="false" outlineLevel="0" collapsed="false">
      <c r="A575" s="1" t="s">
        <v>19</v>
      </c>
      <c r="B575" s="1" t="n">
        <v>49</v>
      </c>
      <c r="D575" s="1" t="n">
        <v>286820</v>
      </c>
      <c r="E575" s="1" t="n">
        <v>0.069635</v>
      </c>
      <c r="G575" s="1" t="n">
        <v>0.018110514</v>
      </c>
      <c r="H575" s="1" t="n">
        <v>0.009449244</v>
      </c>
      <c r="I575" s="1" t="n">
        <v>0.007596016</v>
      </c>
      <c r="J575" s="1" t="n">
        <v>0.006726742</v>
      </c>
      <c r="K575" s="1" t="n">
        <v>0.006677866</v>
      </c>
      <c r="L575" s="1" t="n">
        <v>0.006693363</v>
      </c>
      <c r="M575" s="1" t="n">
        <v>0.00661993</v>
      </c>
      <c r="N575" s="1" t="n">
        <v>0.006637812</v>
      </c>
      <c r="O575" s="1" t="n">
        <v>0.00671792</v>
      </c>
      <c r="P575" s="1" t="n">
        <v>0.007148743</v>
      </c>
      <c r="R575" s="1" t="n">
        <f aca="false">PERCENTILE(G575:P575,0.9)</f>
        <v>0.010315371</v>
      </c>
      <c r="S575" s="5" t="n">
        <f aca="false">spmv_1!R$18/R575</f>
        <v>7.51681435403535</v>
      </c>
      <c r="T575" s="6" t="n">
        <f aca="false">S575/128</f>
        <v>0.0587251121409012</v>
      </c>
    </row>
    <row r="576" customFormat="false" ht="15" hidden="false" customHeight="false" outlineLevel="0" collapsed="false">
      <c r="A576" s="1" t="s">
        <v>19</v>
      </c>
      <c r="B576" s="1" t="n">
        <v>50</v>
      </c>
      <c r="D576" s="1" t="n">
        <v>286763</v>
      </c>
      <c r="E576" s="1" t="n">
        <v>0.070269</v>
      </c>
      <c r="G576" s="1" t="n">
        <v>0.018324137</v>
      </c>
      <c r="H576" s="1" t="n">
        <v>0.009278059</v>
      </c>
      <c r="I576" s="1" t="n">
        <v>0.007426262</v>
      </c>
      <c r="J576" s="1" t="n">
        <v>0.006630898</v>
      </c>
      <c r="K576" s="1" t="n">
        <v>0.006600618</v>
      </c>
      <c r="L576" s="1" t="n">
        <v>0.006616831</v>
      </c>
      <c r="M576" s="1" t="n">
        <v>0.006549358</v>
      </c>
      <c r="N576" s="1" t="n">
        <v>0.006546974</v>
      </c>
      <c r="O576" s="1" t="n">
        <v>0.006633282</v>
      </c>
      <c r="P576" s="1" t="n">
        <v>0.007011652</v>
      </c>
      <c r="R576" s="1" t="n">
        <f aca="false">PERCENTILE(G576:P576,0.9)</f>
        <v>0.0101826668</v>
      </c>
      <c r="S576" s="5" t="n">
        <f aca="false">spmv_1!R$18/R576</f>
        <v>7.61477619988509</v>
      </c>
      <c r="T576" s="6" t="n">
        <f aca="false">S576/128</f>
        <v>0.0594904390616022</v>
      </c>
    </row>
    <row r="577" customFormat="false" ht="15" hidden="false" customHeight="false" outlineLevel="0" collapsed="false">
      <c r="A577" s="1" t="s">
        <v>19</v>
      </c>
      <c r="B577" s="1" t="n">
        <v>51</v>
      </c>
      <c r="D577" s="1" t="n">
        <v>297746</v>
      </c>
      <c r="E577" s="1" t="n">
        <v>0.072476</v>
      </c>
      <c r="G577" s="1" t="n">
        <v>0.0183568</v>
      </c>
      <c r="H577" s="1" t="n">
        <v>0.009329319</v>
      </c>
      <c r="I577" s="1" t="n">
        <v>0.007485628</v>
      </c>
      <c r="J577" s="1" t="n">
        <v>0.006688356</v>
      </c>
      <c r="K577" s="1" t="n">
        <v>0.00665164</v>
      </c>
      <c r="L577" s="1" t="n">
        <v>0.006657362</v>
      </c>
      <c r="M577" s="1" t="n">
        <v>0.006603718</v>
      </c>
      <c r="N577" s="1" t="n">
        <v>0.006610155</v>
      </c>
      <c r="O577" s="1" t="n">
        <v>0.006689548</v>
      </c>
      <c r="P577" s="1" t="n">
        <v>0.007091045</v>
      </c>
      <c r="R577" s="1" t="n">
        <f aca="false">PERCENTILE(G577:P577,0.9)</f>
        <v>0.0102320671</v>
      </c>
      <c r="S577" s="5" t="n">
        <f aca="false">spmv_1!R$18/R577</f>
        <v>7.57801214966622</v>
      </c>
      <c r="T577" s="6" t="n">
        <f aca="false">S577/128</f>
        <v>0.0592032199192674</v>
      </c>
    </row>
    <row r="578" customFormat="false" ht="15" hidden="false" customHeight="false" outlineLevel="0" collapsed="false">
      <c r="A578" s="1" t="s">
        <v>19</v>
      </c>
      <c r="B578" s="1" t="n">
        <v>52</v>
      </c>
      <c r="D578" s="1" t="n">
        <v>290093</v>
      </c>
      <c r="E578" s="1" t="n">
        <v>0.070949</v>
      </c>
      <c r="G578" s="1" t="n">
        <v>0.018358707</v>
      </c>
      <c r="H578" s="1" t="n">
        <v>0.009291887</v>
      </c>
      <c r="I578" s="1" t="n">
        <v>0.00742507</v>
      </c>
      <c r="J578" s="1" t="n">
        <v>0.006649971</v>
      </c>
      <c r="K578" s="1" t="n">
        <v>0.006591797</v>
      </c>
      <c r="L578" s="1" t="n">
        <v>0.00663662</v>
      </c>
      <c r="M578" s="1" t="n">
        <v>0.00654006</v>
      </c>
      <c r="N578" s="1" t="n">
        <v>0.00656414</v>
      </c>
      <c r="O578" s="1" t="n">
        <v>0.006587505</v>
      </c>
      <c r="P578" s="1" t="n">
        <v>0.007129431</v>
      </c>
      <c r="R578" s="1" t="n">
        <f aca="false">PERCENTILE(G578:P578,0.9)</f>
        <v>0.010198569</v>
      </c>
      <c r="S578" s="5" t="n">
        <f aca="false">spmv_1!R$18/R578</f>
        <v>7.60290279940255</v>
      </c>
      <c r="T578" s="6" t="n">
        <f aca="false">S578/128</f>
        <v>0.0593976781203324</v>
      </c>
    </row>
    <row r="579" customFormat="false" ht="15" hidden="false" customHeight="false" outlineLevel="0" collapsed="false">
      <c r="A579" s="1" t="s">
        <v>19</v>
      </c>
      <c r="B579" s="1" t="n">
        <v>53</v>
      </c>
      <c r="D579" s="1" t="n">
        <v>287372</v>
      </c>
      <c r="E579" s="1" t="n">
        <v>0.071313</v>
      </c>
      <c r="G579" s="1" t="n">
        <v>0.018285751</v>
      </c>
      <c r="H579" s="1" t="n">
        <v>0.009100676</v>
      </c>
      <c r="I579" s="1" t="n">
        <v>0.00732851</v>
      </c>
      <c r="J579" s="1" t="n">
        <v>0.006524801</v>
      </c>
      <c r="K579" s="1" t="n">
        <v>0.006529331</v>
      </c>
      <c r="L579" s="1" t="n">
        <v>0.006504774</v>
      </c>
      <c r="M579" s="1" t="n">
        <v>0.006443739</v>
      </c>
      <c r="N579" s="1" t="n">
        <v>0.006440163</v>
      </c>
      <c r="O579" s="1" t="n">
        <v>0.006502867</v>
      </c>
      <c r="P579" s="1" t="n">
        <v>0.006934166</v>
      </c>
      <c r="R579" s="1" t="n">
        <f aca="false">PERCENTILE(G579:P579,0.9)</f>
        <v>0.0100191835</v>
      </c>
      <c r="S579" s="5" t="n">
        <f aca="false">spmv_1!R$18/R579</f>
        <v>7.73902671809534</v>
      </c>
      <c r="T579" s="6" t="n">
        <f aca="false">S579/128</f>
        <v>0.0604611462351199</v>
      </c>
    </row>
    <row r="580" customFormat="false" ht="15" hidden="false" customHeight="false" outlineLevel="0" collapsed="false">
      <c r="A580" s="1" t="s">
        <v>19</v>
      </c>
      <c r="B580" s="1" t="n">
        <v>54</v>
      </c>
      <c r="D580" s="1" t="n">
        <v>285785</v>
      </c>
      <c r="E580" s="1" t="n">
        <v>0.071159</v>
      </c>
      <c r="G580" s="1" t="n">
        <v>0.018320322</v>
      </c>
      <c r="H580" s="1" t="n">
        <v>0.008900881</v>
      </c>
      <c r="I580" s="1" t="n">
        <v>0.007335901</v>
      </c>
      <c r="J580" s="1" t="n">
        <v>0.006505966</v>
      </c>
      <c r="K580" s="1" t="n">
        <v>0.006514311</v>
      </c>
      <c r="L580" s="1" t="n">
        <v>0.006483793</v>
      </c>
      <c r="M580" s="1" t="n">
        <v>0.006428719</v>
      </c>
      <c r="N580" s="1" t="n">
        <v>0.006425619</v>
      </c>
      <c r="O580" s="1" t="n">
        <v>0.006488562</v>
      </c>
      <c r="P580" s="1" t="n">
        <v>0.00691843</v>
      </c>
      <c r="R580" s="1" t="n">
        <f aca="false">PERCENTILE(G580:P580,0.9)</f>
        <v>0.0098428251</v>
      </c>
      <c r="S580" s="5" t="n">
        <f aca="false">spmv_1!R$18/R580</f>
        <v>7.87769040008646</v>
      </c>
      <c r="T580" s="6" t="n">
        <f aca="false">S580/128</f>
        <v>0.0615444562506755</v>
      </c>
    </row>
    <row r="581" customFormat="false" ht="15" hidden="false" customHeight="false" outlineLevel="0" collapsed="false">
      <c r="A581" s="1" t="s">
        <v>19</v>
      </c>
      <c r="B581" s="1" t="n">
        <v>55</v>
      </c>
      <c r="D581" s="1" t="n">
        <v>297135</v>
      </c>
      <c r="E581" s="1" t="n">
        <v>0.074143</v>
      </c>
      <c r="G581" s="1" t="n">
        <v>0.018299341</v>
      </c>
      <c r="H581" s="1" t="n">
        <v>0.008800745</v>
      </c>
      <c r="I581" s="1" t="n">
        <v>0.00729537</v>
      </c>
      <c r="J581" s="1" t="n">
        <v>0.006489754</v>
      </c>
      <c r="K581" s="1" t="n">
        <v>0.006521463</v>
      </c>
      <c r="L581" s="1" t="n">
        <v>0.006483555</v>
      </c>
      <c r="M581" s="1" t="n">
        <v>0.006406784</v>
      </c>
      <c r="N581" s="1" t="n">
        <v>0.006434679</v>
      </c>
      <c r="O581" s="1" t="n">
        <v>0.006489992</v>
      </c>
      <c r="P581" s="1" t="n">
        <v>0.006929874</v>
      </c>
      <c r="R581" s="1" t="n">
        <f aca="false">PERCENTILE(G581:P581,0.9)</f>
        <v>0.0097506046</v>
      </c>
      <c r="S581" s="5" t="n">
        <f aca="false">spmv_1!R$18/R581</f>
        <v>7.95219701555738</v>
      </c>
      <c r="T581" s="6" t="n">
        <f aca="false">S581/128</f>
        <v>0.062126539184042</v>
      </c>
    </row>
    <row r="582" customFormat="false" ht="15" hidden="false" customHeight="false" outlineLevel="0" collapsed="false">
      <c r="A582" s="1" t="s">
        <v>19</v>
      </c>
      <c r="B582" s="1" t="n">
        <v>56</v>
      </c>
      <c r="D582" s="1" t="n">
        <v>289764</v>
      </c>
      <c r="E582" s="1" t="n">
        <v>0.06969</v>
      </c>
      <c r="G582" s="1" t="n">
        <v>0.018387318</v>
      </c>
      <c r="H582" s="1" t="n">
        <v>0.008985281</v>
      </c>
      <c r="I582" s="1" t="n">
        <v>0.007672787</v>
      </c>
      <c r="J582" s="1" t="n">
        <v>0.006844759</v>
      </c>
      <c r="K582" s="1" t="n">
        <v>0.00680232</v>
      </c>
      <c r="L582" s="1" t="n">
        <v>0.006852865</v>
      </c>
      <c r="M582" s="1" t="n">
        <v>0.00674963</v>
      </c>
      <c r="N582" s="1" t="n">
        <v>0.006769896</v>
      </c>
      <c r="O582" s="1" t="n">
        <v>0.00678277</v>
      </c>
      <c r="P582" s="1" t="n">
        <v>0.007310152</v>
      </c>
      <c r="R582" s="1" t="n">
        <f aca="false">PERCENTILE(G582:P582,0.9)</f>
        <v>0.0099254847</v>
      </c>
      <c r="S582" s="5" t="n">
        <f aca="false">spmv_1!R$18/R582</f>
        <v>7.8120848647321</v>
      </c>
      <c r="T582" s="6" t="n">
        <f aca="false">S582/128</f>
        <v>0.0610319130057195</v>
      </c>
    </row>
    <row r="583" customFormat="false" ht="15" hidden="false" customHeight="false" outlineLevel="0" collapsed="false">
      <c r="A583" s="1" t="s">
        <v>19</v>
      </c>
      <c r="B583" s="1" t="n">
        <v>57</v>
      </c>
      <c r="D583" s="1" t="n">
        <v>287184</v>
      </c>
      <c r="E583" s="1" t="n">
        <v>0.072328</v>
      </c>
      <c r="G583" s="1" t="n">
        <v>0.018426657</v>
      </c>
      <c r="H583" s="1" t="n">
        <v>0.008720875</v>
      </c>
      <c r="I583" s="1" t="n">
        <v>0.007184982</v>
      </c>
      <c r="J583" s="1" t="n">
        <v>0.006423473</v>
      </c>
      <c r="K583" s="1" t="n">
        <v>0.006393671</v>
      </c>
      <c r="L583" s="1" t="n">
        <v>0.006421328</v>
      </c>
      <c r="M583" s="1" t="n">
        <v>0.006346703</v>
      </c>
      <c r="N583" s="1" t="n">
        <v>0.006335735</v>
      </c>
      <c r="O583" s="1" t="n">
        <v>0.006370068</v>
      </c>
      <c r="P583" s="1" t="n">
        <v>0.006787777</v>
      </c>
      <c r="R583" s="1" t="n">
        <f aca="false">PERCENTILE(G583:P583,0.9)</f>
        <v>0.0096914532</v>
      </c>
      <c r="S583" s="5" t="n">
        <f aca="false">spmv_1!R$18/R583</f>
        <v>8.00073293445817</v>
      </c>
      <c r="T583" s="6" t="n">
        <f aca="false">S583/128</f>
        <v>0.0625057260504545</v>
      </c>
    </row>
    <row r="584" customFormat="false" ht="15" hidden="false" customHeight="false" outlineLevel="0" collapsed="false">
      <c r="A584" s="1" t="s">
        <v>19</v>
      </c>
      <c r="B584" s="1" t="n">
        <v>58</v>
      </c>
      <c r="D584" s="1" t="n">
        <v>285351</v>
      </c>
      <c r="E584" s="1" t="n">
        <v>0.072974</v>
      </c>
      <c r="G584" s="1" t="n">
        <v>0.018327951</v>
      </c>
      <c r="H584" s="1" t="n">
        <v>0.008417368</v>
      </c>
      <c r="I584" s="1" t="n">
        <v>0.007102013</v>
      </c>
      <c r="J584" s="1" t="n">
        <v>0.006290197</v>
      </c>
      <c r="K584" s="1" t="n">
        <v>0.0062778</v>
      </c>
      <c r="L584" s="1" t="n">
        <v>0.00633812</v>
      </c>
      <c r="M584" s="1" t="n">
        <v>0.006231546</v>
      </c>
      <c r="N584" s="1" t="n">
        <v>0.006234407</v>
      </c>
      <c r="O584" s="1" t="n">
        <v>0.006278276</v>
      </c>
      <c r="P584" s="1" t="n">
        <v>0.006708622</v>
      </c>
      <c r="R584" s="1" t="n">
        <f aca="false">PERCENTILE(G584:P584,0.9)</f>
        <v>0.0094084263</v>
      </c>
      <c r="S584" s="5" t="n">
        <f aca="false">spmv_1!R$18/R584</f>
        <v>8.24141321062376</v>
      </c>
      <c r="T584" s="6" t="n">
        <f aca="false">S584/128</f>
        <v>0.0643860407079981</v>
      </c>
    </row>
    <row r="585" customFormat="false" ht="15" hidden="false" customHeight="false" outlineLevel="0" collapsed="false">
      <c r="A585" s="1" t="s">
        <v>19</v>
      </c>
      <c r="B585" s="1" t="n">
        <v>59</v>
      </c>
      <c r="D585" s="1" t="n">
        <v>296957</v>
      </c>
      <c r="E585" s="1" t="n">
        <v>0.074615</v>
      </c>
      <c r="G585" s="1" t="n">
        <v>0.018334389</v>
      </c>
      <c r="H585" s="1" t="n">
        <v>0.008429766</v>
      </c>
      <c r="I585" s="1" t="n">
        <v>0.007311583</v>
      </c>
      <c r="J585" s="1" t="n">
        <v>0.006483316</v>
      </c>
      <c r="K585" s="1" t="n">
        <v>0.006472111</v>
      </c>
      <c r="L585" s="1" t="n">
        <v>0.006473064</v>
      </c>
      <c r="M585" s="1" t="n">
        <v>0.006404877</v>
      </c>
      <c r="N585" s="1" t="n">
        <v>0.006402016</v>
      </c>
      <c r="O585" s="1" t="n">
        <v>0.006459236</v>
      </c>
      <c r="P585" s="1" t="n">
        <v>0.006826639</v>
      </c>
      <c r="R585" s="1" t="n">
        <f aca="false">PERCENTILE(G585:P585,0.9)</f>
        <v>0.0094202283</v>
      </c>
      <c r="S585" s="5" t="n">
        <f aca="false">spmv_1!R$18/R585</f>
        <v>8.23108807246211</v>
      </c>
      <c r="T585" s="6" t="n">
        <f aca="false">S585/128</f>
        <v>0.0643053755661102</v>
      </c>
    </row>
    <row r="586" customFormat="false" ht="15" hidden="false" customHeight="false" outlineLevel="0" collapsed="false">
      <c r="A586" s="1" t="s">
        <v>19</v>
      </c>
      <c r="B586" s="1" t="n">
        <v>60</v>
      </c>
      <c r="D586" s="1" t="n">
        <v>290185</v>
      </c>
      <c r="E586" s="1" t="n">
        <v>0.073582</v>
      </c>
      <c r="G586" s="1" t="n">
        <v>0.018278837</v>
      </c>
      <c r="H586" s="1" t="n">
        <v>0.008289337</v>
      </c>
      <c r="I586" s="1" t="n">
        <v>0.007245302</v>
      </c>
      <c r="J586" s="1" t="n">
        <v>0.00641346</v>
      </c>
      <c r="K586" s="1" t="n">
        <v>0.006410122</v>
      </c>
      <c r="L586" s="1" t="n">
        <v>0.006371021</v>
      </c>
      <c r="M586" s="1" t="n">
        <v>0.006354094</v>
      </c>
      <c r="N586" s="1" t="n">
        <v>0.00632596</v>
      </c>
      <c r="O586" s="1" t="n">
        <v>0.00640583</v>
      </c>
      <c r="P586" s="1" t="n">
        <v>0.006779909</v>
      </c>
      <c r="R586" s="1" t="n">
        <f aca="false">PERCENTILE(G586:P586,0.9)</f>
        <v>0.009288287</v>
      </c>
      <c r="S586" s="5" t="n">
        <f aca="false">spmv_1!R$18/R586</f>
        <v>8.34801172702782</v>
      </c>
      <c r="T586" s="6" t="n">
        <f aca="false">S586/128</f>
        <v>0.0652188416174048</v>
      </c>
    </row>
    <row r="587" customFormat="false" ht="15" hidden="false" customHeight="false" outlineLevel="0" collapsed="false">
      <c r="A587" s="1" t="s">
        <v>19</v>
      </c>
      <c r="B587" s="1" t="n">
        <v>61</v>
      </c>
      <c r="D587" s="1" t="n">
        <v>287872</v>
      </c>
      <c r="E587" s="1" t="n">
        <v>0.073469</v>
      </c>
      <c r="G587" s="1" t="n">
        <v>0.018242836</v>
      </c>
      <c r="H587" s="1" t="n">
        <v>0.008110285</v>
      </c>
      <c r="I587" s="1" t="n">
        <v>0.00720644</v>
      </c>
      <c r="J587" s="1" t="n">
        <v>0.006395817</v>
      </c>
      <c r="K587" s="1" t="n">
        <v>0.006371975</v>
      </c>
      <c r="L587" s="1" t="n">
        <v>0.006349087</v>
      </c>
      <c r="M587" s="1" t="n">
        <v>0.006298304</v>
      </c>
      <c r="N587" s="1" t="n">
        <v>0.006313086</v>
      </c>
      <c r="O587" s="1" t="n">
        <v>0.006349564</v>
      </c>
      <c r="P587" s="1" t="n">
        <v>0.006728172</v>
      </c>
      <c r="R587" s="1" t="n">
        <f aca="false">PERCENTILE(G587:P587,0.9)</f>
        <v>0.0091235401</v>
      </c>
      <c r="S587" s="5" t="n">
        <f aca="false">spmv_1!R$18/R587</f>
        <v>8.4987546445924</v>
      </c>
      <c r="T587" s="6" t="n">
        <f aca="false">S587/128</f>
        <v>0.0663965206608781</v>
      </c>
    </row>
    <row r="588" customFormat="false" ht="15" hidden="false" customHeight="false" outlineLevel="0" collapsed="false">
      <c r="A588" s="1" t="s">
        <v>19</v>
      </c>
      <c r="B588" s="1" t="n">
        <v>62</v>
      </c>
      <c r="D588" s="1" t="n">
        <v>286345</v>
      </c>
      <c r="E588" s="1" t="n">
        <v>0.073644</v>
      </c>
      <c r="G588" s="1" t="n">
        <v>0.018312693</v>
      </c>
      <c r="H588" s="1" t="n">
        <v>0.007978916</v>
      </c>
      <c r="I588" s="1" t="n">
        <v>0.007119894</v>
      </c>
      <c r="J588" s="1" t="n">
        <v>0.006368876</v>
      </c>
      <c r="K588" s="1" t="n">
        <v>0.006307602</v>
      </c>
      <c r="L588" s="1" t="n">
        <v>0.006296396</v>
      </c>
      <c r="M588" s="1" t="n">
        <v>0.006204367</v>
      </c>
      <c r="N588" s="1" t="n">
        <v>0.00623703</v>
      </c>
      <c r="O588" s="1" t="n">
        <v>0.006289721</v>
      </c>
      <c r="P588" s="1" t="n">
        <v>0.006648779</v>
      </c>
      <c r="R588" s="1" t="n">
        <f aca="false">PERCENTILE(G588:P588,0.9)</f>
        <v>0.0090122937</v>
      </c>
      <c r="S588" s="5" t="n">
        <f aca="false">spmv_1!R$18/R588</f>
        <v>8.60366199561384</v>
      </c>
      <c r="T588" s="6" t="n">
        <f aca="false">S588/128</f>
        <v>0.0672161093407331</v>
      </c>
    </row>
    <row r="589" customFormat="false" ht="15" hidden="false" customHeight="false" outlineLevel="0" collapsed="false">
      <c r="A589" s="1" t="s">
        <v>19</v>
      </c>
      <c r="B589" s="1" t="n">
        <v>63</v>
      </c>
      <c r="D589" s="1" t="n">
        <v>297652</v>
      </c>
      <c r="E589" s="1" t="n">
        <v>0.077191</v>
      </c>
      <c r="G589" s="1" t="n">
        <v>0.0181849</v>
      </c>
      <c r="H589" s="1" t="n">
        <v>0.007733822</v>
      </c>
      <c r="I589" s="1" t="n">
        <v>0.0070858</v>
      </c>
      <c r="J589" s="1" t="n">
        <v>0.006317139</v>
      </c>
      <c r="K589" s="1" t="n">
        <v>0.006295443</v>
      </c>
      <c r="L589" s="1" t="n">
        <v>0.006242275</v>
      </c>
      <c r="M589" s="1" t="n">
        <v>0.006187916</v>
      </c>
      <c r="N589" s="1" t="n">
        <v>0.006220102</v>
      </c>
      <c r="O589" s="1" t="n">
        <v>0.006251574</v>
      </c>
      <c r="P589" s="1" t="n">
        <v>0.006602049</v>
      </c>
      <c r="R589" s="1" t="n">
        <f aca="false">PERCENTILE(G589:P589,0.9)</f>
        <v>0.0087789298</v>
      </c>
      <c r="S589" s="5" t="n">
        <f aca="false">spmv_1!R$18/R589</f>
        <v>8.83236687916106</v>
      </c>
      <c r="T589" s="6" t="n">
        <f aca="false">S589/128</f>
        <v>0.0690028662434458</v>
      </c>
    </row>
    <row r="590" customFormat="false" ht="15" hidden="false" customHeight="false" outlineLevel="0" collapsed="false">
      <c r="A590" s="1" t="s">
        <v>19</v>
      </c>
      <c r="B590" s="1" t="n">
        <v>64</v>
      </c>
      <c r="D590" s="1" t="n">
        <v>291183</v>
      </c>
      <c r="E590" s="1" t="n">
        <v>0.069143</v>
      </c>
      <c r="G590" s="1" t="n">
        <v>0.018360376</v>
      </c>
      <c r="H590" s="1" t="n">
        <v>0.013382673</v>
      </c>
      <c r="I590" s="1" t="n">
        <v>0.00713706</v>
      </c>
      <c r="J590" s="1" t="n">
        <v>0.006681919</v>
      </c>
      <c r="K590" s="1" t="n">
        <v>0.00643158</v>
      </c>
      <c r="L590" s="1" t="n">
        <v>0.006438255</v>
      </c>
      <c r="M590" s="1" t="n">
        <v>0.006417274</v>
      </c>
      <c r="N590" s="1" t="n">
        <v>0.006411552</v>
      </c>
      <c r="O590" s="1" t="n">
        <v>0.006335497</v>
      </c>
      <c r="P590" s="1" t="n">
        <v>0.006630421</v>
      </c>
      <c r="R590" s="1" t="n">
        <f aca="false">PERCENTILE(G590:P590,0.9)</f>
        <v>0.0138804433</v>
      </c>
      <c r="S590" s="5" t="n">
        <f aca="false">spmv_1!R$18/R590</f>
        <v>5.5861853345851</v>
      </c>
      <c r="T590" s="6" t="n">
        <f aca="false">S590/128</f>
        <v>0.0436420729264461</v>
      </c>
    </row>
    <row r="591" customFormat="false" ht="15" hidden="false" customHeight="false" outlineLevel="0" collapsed="false">
      <c r="A591" s="1" t="s">
        <v>19</v>
      </c>
      <c r="B591" s="1" t="n">
        <v>65</v>
      </c>
      <c r="D591" s="1" t="n">
        <v>288674</v>
      </c>
      <c r="E591" s="1" t="n">
        <v>0.066099</v>
      </c>
      <c r="G591" s="1" t="n">
        <v>0.018411398</v>
      </c>
      <c r="H591" s="1" t="n">
        <v>0.013794899</v>
      </c>
      <c r="I591" s="1" t="n">
        <v>0.007370949</v>
      </c>
      <c r="J591" s="1" t="n">
        <v>0.00718689</v>
      </c>
      <c r="K591" s="1" t="n">
        <v>0.006775141</v>
      </c>
      <c r="L591" s="1" t="n">
        <v>0.006691694</v>
      </c>
      <c r="M591" s="1" t="n">
        <v>0.006800175</v>
      </c>
      <c r="N591" s="1" t="n">
        <v>0.006729841</v>
      </c>
      <c r="O591" s="1" t="n">
        <v>0.00671339</v>
      </c>
      <c r="P591" s="1" t="n">
        <v>0.006870985</v>
      </c>
      <c r="R591" s="1" t="n">
        <f aca="false">PERCENTILE(G591:P591,0.9)</f>
        <v>0.0142565489</v>
      </c>
      <c r="S591" s="5" t="n">
        <f aca="false">spmv_1!R$18/R591</f>
        <v>5.43881477515221</v>
      </c>
      <c r="T591" s="6" t="n">
        <f aca="false">S591/128</f>
        <v>0.0424907404308767</v>
      </c>
    </row>
    <row r="592" customFormat="false" ht="15" hidden="false" customHeight="false" outlineLevel="0" collapsed="false">
      <c r="A592" s="1" t="s">
        <v>19</v>
      </c>
      <c r="B592" s="1" t="n">
        <v>66</v>
      </c>
      <c r="D592" s="1" t="n">
        <v>286179</v>
      </c>
      <c r="E592" s="1" t="n">
        <v>0.0673</v>
      </c>
      <c r="G592" s="1" t="n">
        <v>0.018353462</v>
      </c>
      <c r="H592" s="1" t="n">
        <v>0.013547659</v>
      </c>
      <c r="I592" s="1" t="n">
        <v>0.007216215</v>
      </c>
      <c r="J592" s="1" t="n">
        <v>0.006781578</v>
      </c>
      <c r="K592" s="1" t="n">
        <v>0.006533146</v>
      </c>
      <c r="L592" s="1" t="n">
        <v>0.006547928</v>
      </c>
      <c r="M592" s="1" t="n">
        <v>0.006512642</v>
      </c>
      <c r="N592" s="1" t="n">
        <v>0.006496668</v>
      </c>
      <c r="O592" s="1" t="n">
        <v>0.006430864</v>
      </c>
      <c r="P592" s="1" t="n">
        <v>0.006625175</v>
      </c>
      <c r="R592" s="1" t="n">
        <f aca="false">PERCENTILE(G592:P592,0.9)</f>
        <v>0.0140282393</v>
      </c>
      <c r="S592" s="5" t="n">
        <f aca="false">spmv_1!R$18/R592</f>
        <v>5.52733148770851</v>
      </c>
      <c r="T592" s="6" t="n">
        <f aca="false">S592/128</f>
        <v>0.0431822772477227</v>
      </c>
    </row>
    <row r="593" customFormat="false" ht="15" hidden="false" customHeight="false" outlineLevel="0" collapsed="false">
      <c r="A593" s="1" t="s">
        <v>19</v>
      </c>
      <c r="B593" s="1" t="n">
        <v>67</v>
      </c>
      <c r="D593" s="1" t="n">
        <v>297555</v>
      </c>
      <c r="E593" s="1" t="n">
        <v>0.067912</v>
      </c>
      <c r="G593" s="1" t="n">
        <v>0.01832509</v>
      </c>
      <c r="H593" s="1" t="n">
        <v>0.013870955</v>
      </c>
      <c r="I593" s="1" t="n">
        <v>0.007395983</v>
      </c>
      <c r="J593" s="1" t="n">
        <v>0.007238388</v>
      </c>
      <c r="K593" s="1" t="n">
        <v>0.006819248</v>
      </c>
      <c r="L593" s="1" t="n">
        <v>0.006736755</v>
      </c>
      <c r="M593" s="1" t="n">
        <v>0.006832361</v>
      </c>
      <c r="N593" s="1" t="n">
        <v>0.006763458</v>
      </c>
      <c r="O593" s="1" t="n">
        <v>0.006761789</v>
      </c>
      <c r="P593" s="1" t="n">
        <v>0.006885767</v>
      </c>
      <c r="R593" s="1" t="n">
        <f aca="false">PERCENTILE(G593:P593,0.9)</f>
        <v>0.0143163685</v>
      </c>
      <c r="S593" s="5" t="n">
        <f aca="false">spmv_1!R$18/R593</f>
        <v>5.41608919887749</v>
      </c>
      <c r="T593" s="6" t="n">
        <f aca="false">S593/128</f>
        <v>0.0423131968662304</v>
      </c>
    </row>
    <row r="594" customFormat="false" ht="15" hidden="false" customHeight="false" outlineLevel="0" collapsed="false">
      <c r="A594" s="1" t="s">
        <v>19</v>
      </c>
      <c r="B594" s="1" t="n">
        <v>68</v>
      </c>
      <c r="D594" s="1" t="n">
        <v>291055</v>
      </c>
      <c r="E594" s="1" t="n">
        <v>0.068784</v>
      </c>
      <c r="G594" s="1" t="n">
        <v>0.018121481</v>
      </c>
      <c r="H594" s="1" t="n">
        <v>0.013589621</v>
      </c>
      <c r="I594" s="1" t="n">
        <v>0.007186651</v>
      </c>
      <c r="J594" s="1" t="n">
        <v>0.006755352</v>
      </c>
      <c r="K594" s="1" t="n">
        <v>0.006499052</v>
      </c>
      <c r="L594" s="1" t="n">
        <v>0.006525993</v>
      </c>
      <c r="M594" s="1" t="n">
        <v>0.006489515</v>
      </c>
      <c r="N594" s="1" t="n">
        <v>0.006481647</v>
      </c>
      <c r="O594" s="1" t="n">
        <v>0.006400347</v>
      </c>
      <c r="P594" s="1" t="n">
        <v>0.006579161</v>
      </c>
      <c r="R594" s="1" t="n">
        <f aca="false">PERCENTILE(G594:P594,0.9)</f>
        <v>0.014042807</v>
      </c>
      <c r="S594" s="5" t="n">
        <f aca="false">spmv_1!R$18/R594</f>
        <v>5.52159755524661</v>
      </c>
      <c r="T594" s="6" t="n">
        <f aca="false">S594/128</f>
        <v>0.0431374809003642</v>
      </c>
    </row>
    <row r="595" customFormat="false" ht="15" hidden="false" customHeight="false" outlineLevel="0" collapsed="false">
      <c r="A595" s="1" t="s">
        <v>19</v>
      </c>
      <c r="B595" s="1" t="n">
        <v>69</v>
      </c>
      <c r="D595" s="1" t="n">
        <v>287930</v>
      </c>
      <c r="E595" s="1" t="n">
        <v>0.065793</v>
      </c>
      <c r="G595" s="1" t="n">
        <v>0.018220901</v>
      </c>
      <c r="H595" s="1" t="n">
        <v>0.013906717</v>
      </c>
      <c r="I595" s="1" t="n">
        <v>0.007388115</v>
      </c>
      <c r="J595" s="1" t="n">
        <v>0.007238865</v>
      </c>
      <c r="K595" s="1" t="n">
        <v>0.006817341</v>
      </c>
      <c r="L595" s="1" t="n">
        <v>0.00673151</v>
      </c>
      <c r="M595" s="1" t="n">
        <v>0.006850958</v>
      </c>
      <c r="N595" s="1" t="n">
        <v>0.006782532</v>
      </c>
      <c r="O595" s="1" t="n">
        <v>0.006755114</v>
      </c>
      <c r="P595" s="1" t="n">
        <v>0.006833315</v>
      </c>
      <c r="R595" s="1" t="n">
        <f aca="false">PERCENTILE(G595:P595,0.9)</f>
        <v>0.0143381354</v>
      </c>
      <c r="S595" s="5" t="n">
        <f aca="false">spmv_1!R$18/R595</f>
        <v>5.40786696713716</v>
      </c>
      <c r="T595" s="6" t="n">
        <f aca="false">S595/128</f>
        <v>0.0422489606807591</v>
      </c>
    </row>
    <row r="596" customFormat="false" ht="15" hidden="false" customHeight="false" outlineLevel="0" collapsed="false">
      <c r="A596" s="1" t="s">
        <v>19</v>
      </c>
      <c r="B596" s="1" t="n">
        <v>70</v>
      </c>
      <c r="D596" s="1" t="n">
        <v>284628</v>
      </c>
      <c r="E596" s="1" t="n">
        <v>0.068958</v>
      </c>
      <c r="G596" s="1" t="n">
        <v>0.017944574</v>
      </c>
      <c r="H596" s="1" t="n">
        <v>0.013350487</v>
      </c>
      <c r="I596" s="1" t="n">
        <v>0.006984472</v>
      </c>
      <c r="J596" s="1" t="n">
        <v>0.006549835</v>
      </c>
      <c r="K596" s="1" t="n">
        <v>0.006298065</v>
      </c>
      <c r="L596" s="1" t="n">
        <v>0.006322145</v>
      </c>
      <c r="M596" s="1" t="n">
        <v>0.006284237</v>
      </c>
      <c r="N596" s="1" t="n">
        <v>0.006258488</v>
      </c>
      <c r="O596" s="1" t="n">
        <v>0.006209612</v>
      </c>
      <c r="P596" s="1" t="n">
        <v>0.00634861</v>
      </c>
      <c r="R596" s="1" t="n">
        <f aca="false">PERCENTILE(G596:P596,0.9)</f>
        <v>0.0138098957</v>
      </c>
      <c r="S596" s="5" t="n">
        <f aca="false">spmv_1!R$18/R596</f>
        <v>5.61472226035712</v>
      </c>
      <c r="T596" s="6" t="n">
        <f aca="false">S596/128</f>
        <v>0.04386501765904</v>
      </c>
    </row>
    <row r="597" customFormat="false" ht="15" hidden="false" customHeight="false" outlineLevel="0" collapsed="false">
      <c r="A597" s="1" t="s">
        <v>19</v>
      </c>
      <c r="B597" s="1" t="n">
        <v>71</v>
      </c>
      <c r="D597" s="1" t="n">
        <v>296393</v>
      </c>
      <c r="E597" s="1" t="n">
        <v>0.06817</v>
      </c>
      <c r="G597" s="1" t="n">
        <v>0.017962694</v>
      </c>
      <c r="H597" s="1" t="n">
        <v>0.013901949</v>
      </c>
      <c r="I597" s="1" t="n">
        <v>0.007357836</v>
      </c>
      <c r="J597" s="1" t="n">
        <v>0.007203341</v>
      </c>
      <c r="K597" s="1" t="n">
        <v>0.006785154</v>
      </c>
      <c r="L597" s="1" t="n">
        <v>0.00667882</v>
      </c>
      <c r="M597" s="1" t="n">
        <v>0.0068295</v>
      </c>
      <c r="N597" s="1" t="n">
        <v>0.006729841</v>
      </c>
      <c r="O597" s="1" t="n">
        <v>0.006756306</v>
      </c>
      <c r="P597" s="1" t="n">
        <v>0.00675106</v>
      </c>
      <c r="R597" s="1" t="n">
        <f aca="false">PERCENTILE(G597:P597,0.9)</f>
        <v>0.0143080235</v>
      </c>
      <c r="S597" s="5" t="n">
        <f aca="false">spmv_1!R$18/R597</f>
        <v>5.41924807434095</v>
      </c>
      <c r="T597" s="6" t="n">
        <f aca="false">S597/128</f>
        <v>0.0423378755807886</v>
      </c>
    </row>
    <row r="598" customFormat="false" ht="15" hidden="false" customHeight="false" outlineLevel="0" collapsed="false">
      <c r="A598" s="1" t="s">
        <v>19</v>
      </c>
      <c r="B598" s="1" t="n">
        <v>72</v>
      </c>
      <c r="D598" s="1" t="n">
        <v>290178</v>
      </c>
      <c r="E598" s="1" t="n">
        <v>0.068947</v>
      </c>
      <c r="G598" s="1" t="n">
        <v>0.017865181</v>
      </c>
      <c r="H598" s="1" t="n">
        <v>0.013605595</v>
      </c>
      <c r="I598" s="1" t="n">
        <v>0.007175446</v>
      </c>
      <c r="J598" s="1" t="n">
        <v>0.006749153</v>
      </c>
      <c r="K598" s="1" t="n">
        <v>0.00648427</v>
      </c>
      <c r="L598" s="1" t="n">
        <v>0.006489038</v>
      </c>
      <c r="M598" s="1" t="n">
        <v>0.006475687</v>
      </c>
      <c r="N598" s="1" t="n">
        <v>0.006456137</v>
      </c>
      <c r="O598" s="1" t="n">
        <v>0.006408691</v>
      </c>
      <c r="P598" s="1" t="n">
        <v>0.00646472</v>
      </c>
      <c r="R598" s="1" t="n">
        <f aca="false">PERCENTILE(G598:P598,0.9)</f>
        <v>0.0140315536</v>
      </c>
      <c r="S598" s="5" t="n">
        <f aca="false">spmv_1!R$18/R598</f>
        <v>5.52602591348117</v>
      </c>
      <c r="T598" s="6" t="n">
        <f aca="false">S598/128</f>
        <v>0.0431720774490716</v>
      </c>
    </row>
    <row r="599" customFormat="false" ht="15" hidden="false" customHeight="false" outlineLevel="0" collapsed="false">
      <c r="A599" s="1" t="s">
        <v>19</v>
      </c>
      <c r="B599" s="1" t="n">
        <v>73</v>
      </c>
      <c r="D599" s="1" t="n">
        <v>287618</v>
      </c>
      <c r="E599" s="1" t="n">
        <v>0.066329</v>
      </c>
      <c r="G599" s="1" t="n">
        <v>0.017833948</v>
      </c>
      <c r="H599" s="1" t="n">
        <v>0.013871193</v>
      </c>
      <c r="I599" s="1" t="n">
        <v>0.007366896</v>
      </c>
      <c r="J599" s="1" t="n">
        <v>0.007166147</v>
      </c>
      <c r="K599" s="1" t="n">
        <v>0.006774664</v>
      </c>
      <c r="L599" s="1" t="n">
        <v>0.006690979</v>
      </c>
      <c r="M599" s="1" t="n">
        <v>0.006791592</v>
      </c>
      <c r="N599" s="1" t="n">
        <v>0.006728888</v>
      </c>
      <c r="O599" s="1" t="n">
        <v>0.006749392</v>
      </c>
      <c r="P599" s="1" t="n">
        <v>0.006750822</v>
      </c>
      <c r="R599" s="1" t="n">
        <f aca="false">PERCENTILE(G599:P599,0.9)</f>
        <v>0.0142674685</v>
      </c>
      <c r="S599" s="5" t="n">
        <f aca="false">spmv_1!R$18/R599</f>
        <v>5.43465218093876</v>
      </c>
      <c r="T599" s="6" t="n">
        <f aca="false">S599/128</f>
        <v>0.042458220163584</v>
      </c>
    </row>
    <row r="600" customFormat="false" ht="15" hidden="false" customHeight="false" outlineLevel="0" collapsed="false">
      <c r="A600" s="1" t="s">
        <v>19</v>
      </c>
      <c r="B600" s="1" t="n">
        <v>74</v>
      </c>
      <c r="D600" s="1" t="n">
        <v>284914</v>
      </c>
      <c r="E600" s="1" t="n">
        <v>0.066318</v>
      </c>
      <c r="G600" s="1" t="n">
        <v>0.017519712</v>
      </c>
      <c r="H600" s="1" t="n">
        <v>0.013869524</v>
      </c>
      <c r="I600" s="1" t="n">
        <v>0.007322311</v>
      </c>
      <c r="J600" s="1" t="n">
        <v>0.007176399</v>
      </c>
      <c r="K600" s="1" t="n">
        <v>0.006734133</v>
      </c>
      <c r="L600" s="1" t="n">
        <v>0.006597281</v>
      </c>
      <c r="M600" s="1" t="n">
        <v>0.006771564</v>
      </c>
      <c r="N600" s="1" t="n">
        <v>0.006630659</v>
      </c>
      <c r="O600" s="1" t="n">
        <v>0.006652832</v>
      </c>
      <c r="P600" s="1" t="n">
        <v>0.006649733</v>
      </c>
      <c r="R600" s="1" t="n">
        <f aca="false">PERCENTILE(G600:P600,0.9)</f>
        <v>0.0142345428</v>
      </c>
      <c r="S600" s="5" t="n">
        <f aca="false">spmv_1!R$18/R600</f>
        <v>5.44722299054101</v>
      </c>
      <c r="T600" s="6" t="n">
        <f aca="false">S600/128</f>
        <v>0.0425564296136016</v>
      </c>
    </row>
    <row r="601" customFormat="false" ht="15" hidden="false" customHeight="false" outlineLevel="0" collapsed="false">
      <c r="A601" s="1" t="s">
        <v>19</v>
      </c>
      <c r="B601" s="1" t="n">
        <v>75</v>
      </c>
      <c r="D601" s="1" t="n">
        <v>296984</v>
      </c>
      <c r="E601" s="1" t="n">
        <v>0.06925</v>
      </c>
      <c r="G601" s="1" t="n">
        <v>0.017506361</v>
      </c>
      <c r="H601" s="1" t="n">
        <v>0.013838291</v>
      </c>
      <c r="I601" s="1" t="n">
        <v>0.007310867</v>
      </c>
      <c r="J601" s="1" t="n">
        <v>0.007164717</v>
      </c>
      <c r="K601" s="1" t="n">
        <v>0.006712914</v>
      </c>
      <c r="L601" s="1" t="n">
        <v>0.00655365</v>
      </c>
      <c r="M601" s="1" t="n">
        <v>0.00675869</v>
      </c>
      <c r="N601" s="1" t="n">
        <v>0.006632566</v>
      </c>
      <c r="O601" s="1" t="n">
        <v>0.006647348</v>
      </c>
      <c r="P601" s="1" t="n">
        <v>0.006646633</v>
      </c>
      <c r="R601" s="1" t="n">
        <f aca="false">PERCENTILE(G601:P601,0.9)</f>
        <v>0.014205098</v>
      </c>
      <c r="S601" s="5" t="n">
        <f aca="false">spmv_1!R$18/R601</f>
        <v>5.45851417568538</v>
      </c>
      <c r="T601" s="6" t="n">
        <f aca="false">S601/128</f>
        <v>0.042644641997542</v>
      </c>
    </row>
    <row r="602" customFormat="false" ht="15" hidden="false" customHeight="false" outlineLevel="0" collapsed="false">
      <c r="A602" s="1" t="s">
        <v>19</v>
      </c>
      <c r="B602" s="1" t="n">
        <v>76</v>
      </c>
      <c r="D602" s="1" t="n">
        <v>291127</v>
      </c>
      <c r="E602" s="1" t="n">
        <v>0.068271</v>
      </c>
      <c r="G602" s="1" t="n">
        <v>0.01741004</v>
      </c>
      <c r="H602" s="1" t="n">
        <v>0.013788462</v>
      </c>
      <c r="I602" s="1" t="n">
        <v>0.00723362</v>
      </c>
      <c r="J602" s="1" t="n">
        <v>0.007077456</v>
      </c>
      <c r="K602" s="1" t="n">
        <v>0.006704092</v>
      </c>
      <c r="L602" s="1" t="n">
        <v>0.006532669</v>
      </c>
      <c r="M602" s="1" t="n">
        <v>0.006692171</v>
      </c>
      <c r="N602" s="1" t="n">
        <v>0.006602287</v>
      </c>
      <c r="O602" s="1" t="n">
        <v>0.006621599</v>
      </c>
      <c r="P602" s="1" t="n">
        <v>0.006623745</v>
      </c>
      <c r="R602" s="1" t="n">
        <f aca="false">PERCENTILE(G602:P602,0.9)</f>
        <v>0.0141506198</v>
      </c>
      <c r="S602" s="5" t="n">
        <f aca="false">spmv_1!R$18/R602</f>
        <v>5.47952880480896</v>
      </c>
      <c r="T602" s="6" t="n">
        <f aca="false">S602/128</f>
        <v>0.04280881878757</v>
      </c>
    </row>
    <row r="603" customFormat="false" ht="15" hidden="false" customHeight="false" outlineLevel="0" collapsed="false">
      <c r="A603" s="1" t="s">
        <v>19</v>
      </c>
      <c r="B603" s="1" t="n">
        <v>77</v>
      </c>
      <c r="D603" s="1" t="n">
        <v>286998</v>
      </c>
      <c r="E603" s="1" t="n">
        <v>0.069247</v>
      </c>
      <c r="G603" s="1" t="n">
        <v>0.017261982</v>
      </c>
      <c r="H603" s="1" t="n">
        <v>0.013468981</v>
      </c>
      <c r="I603" s="1" t="n">
        <v>0.007120132</v>
      </c>
      <c r="J603" s="1" t="n">
        <v>0.006691456</v>
      </c>
      <c r="K603" s="1" t="n">
        <v>0.006442308</v>
      </c>
      <c r="L603" s="1" t="n">
        <v>0.006392956</v>
      </c>
      <c r="M603" s="1" t="n">
        <v>0.006417036</v>
      </c>
      <c r="N603" s="1" t="n">
        <v>0.006382704</v>
      </c>
      <c r="O603" s="1" t="n">
        <v>0.006323099</v>
      </c>
      <c r="P603" s="1" t="n">
        <v>0.006390095</v>
      </c>
      <c r="R603" s="1" t="n">
        <f aca="false">PERCENTILE(G603:P603,0.9)</f>
        <v>0.0138482811</v>
      </c>
      <c r="S603" s="5" t="n">
        <f aca="false">spmv_1!R$18/R603</f>
        <v>5.59915907541767</v>
      </c>
      <c r="T603" s="6" t="n">
        <f aca="false">S603/128</f>
        <v>0.0437434302767006</v>
      </c>
    </row>
    <row r="604" customFormat="false" ht="15" hidden="false" customHeight="false" outlineLevel="0" collapsed="false">
      <c r="A604" s="1" t="s">
        <v>19</v>
      </c>
      <c r="B604" s="1" t="n">
        <v>78</v>
      </c>
      <c r="D604" s="1" t="n">
        <v>284617</v>
      </c>
      <c r="E604" s="1" t="n">
        <v>0.067583</v>
      </c>
      <c r="G604" s="1" t="n">
        <v>0.017408371</v>
      </c>
      <c r="H604" s="1" t="n">
        <v>0.013536453</v>
      </c>
      <c r="I604" s="1" t="n">
        <v>0.00719142</v>
      </c>
      <c r="J604" s="1" t="n">
        <v>0.006821394</v>
      </c>
      <c r="K604" s="1" t="n">
        <v>0.006467581</v>
      </c>
      <c r="L604" s="1" t="n">
        <v>0.006495476</v>
      </c>
      <c r="M604" s="1" t="n">
        <v>0.006633759</v>
      </c>
      <c r="N604" s="1" t="n">
        <v>0.006463289</v>
      </c>
      <c r="O604" s="1" t="n">
        <v>0.006404161</v>
      </c>
      <c r="P604" s="1" t="n">
        <v>0.006804943</v>
      </c>
      <c r="R604" s="1" t="n">
        <f aca="false">PERCENTILE(G604:P604,0.9)</f>
        <v>0.0139236448</v>
      </c>
      <c r="S604" s="5" t="n">
        <f aca="false">spmv_1!R$18/R604</f>
        <v>5.5688528337063</v>
      </c>
      <c r="T604" s="6" t="n">
        <f aca="false">S604/128</f>
        <v>0.0435066627633305</v>
      </c>
    </row>
    <row r="605" customFormat="false" ht="15" hidden="false" customHeight="false" outlineLevel="0" collapsed="false">
      <c r="A605" s="1" t="s">
        <v>19</v>
      </c>
      <c r="B605" s="1" t="n">
        <v>79</v>
      </c>
      <c r="D605" s="1" t="n">
        <v>296848</v>
      </c>
      <c r="E605" s="1" t="n">
        <v>0.072379</v>
      </c>
      <c r="G605" s="1" t="n">
        <v>0.016966581</v>
      </c>
      <c r="H605" s="1" t="n">
        <v>0.013351917</v>
      </c>
      <c r="I605" s="1" t="n">
        <v>0.007052898</v>
      </c>
      <c r="J605" s="1" t="n">
        <v>0.006655693</v>
      </c>
      <c r="K605" s="1" t="n">
        <v>0.006372929</v>
      </c>
      <c r="L605" s="1" t="n">
        <v>0.006358862</v>
      </c>
      <c r="M605" s="1" t="n">
        <v>0.006346464</v>
      </c>
      <c r="N605" s="1" t="n">
        <v>0.006309032</v>
      </c>
      <c r="O605" s="1" t="n">
        <v>0.006263256</v>
      </c>
      <c r="P605" s="1" t="n">
        <v>0.006348372</v>
      </c>
      <c r="R605" s="1" t="n">
        <f aca="false">PERCENTILE(G605:P605,0.9)</f>
        <v>0.0137133834</v>
      </c>
      <c r="S605" s="5" t="n">
        <f aca="false">spmv_1!R$18/R605</f>
        <v>5.65423765516539</v>
      </c>
      <c r="T605" s="6" t="n">
        <f aca="false">S605/128</f>
        <v>0.0441737316809796</v>
      </c>
    </row>
    <row r="606" customFormat="false" ht="15" hidden="false" customHeight="false" outlineLevel="0" collapsed="false">
      <c r="A606" s="1" t="s">
        <v>19</v>
      </c>
      <c r="B606" s="1" t="n">
        <v>80</v>
      </c>
      <c r="D606" s="1" t="n">
        <v>290858</v>
      </c>
      <c r="E606" s="1" t="n">
        <v>0.069451</v>
      </c>
      <c r="G606" s="1" t="n">
        <v>0.017277241</v>
      </c>
      <c r="H606" s="1" t="n">
        <v>0.013448238</v>
      </c>
      <c r="I606" s="1" t="n">
        <v>0.007193327</v>
      </c>
      <c r="J606" s="1" t="n">
        <v>0.006824255</v>
      </c>
      <c r="K606" s="1" t="n">
        <v>0.00641799</v>
      </c>
      <c r="L606" s="1" t="n">
        <v>0.006477118</v>
      </c>
      <c r="M606" s="1" t="n">
        <v>0.006602526</v>
      </c>
      <c r="N606" s="1" t="n">
        <v>0.006400347</v>
      </c>
      <c r="O606" s="1" t="n">
        <v>0.006321907</v>
      </c>
      <c r="P606" s="1" t="n">
        <v>0.006796122</v>
      </c>
      <c r="R606" s="1" t="n">
        <f aca="false">PERCENTILE(G606:P606,0.9)</f>
        <v>0.0138311383</v>
      </c>
      <c r="S606" s="5" t="n">
        <f aca="false">spmv_1!R$18/R606</f>
        <v>5.60609887040172</v>
      </c>
      <c r="T606" s="6" t="n">
        <f aca="false">S606/128</f>
        <v>0.0437976474250135</v>
      </c>
    </row>
    <row r="607" customFormat="false" ht="15" hidden="false" customHeight="false" outlineLevel="0" collapsed="false">
      <c r="A607" s="1" t="s">
        <v>19</v>
      </c>
      <c r="B607" s="1" t="n">
        <v>81</v>
      </c>
      <c r="D607" s="1" t="n">
        <v>286423</v>
      </c>
      <c r="E607" s="1" t="n">
        <v>0.068486</v>
      </c>
      <c r="G607" s="1" t="n">
        <v>0.01720047</v>
      </c>
      <c r="H607" s="1" t="n">
        <v>0.013443947</v>
      </c>
      <c r="I607" s="1" t="n">
        <v>0.007159472</v>
      </c>
      <c r="J607" s="1" t="n">
        <v>0.00677681</v>
      </c>
      <c r="K607" s="1" t="n">
        <v>0.006441116</v>
      </c>
      <c r="L607" s="1" t="n">
        <v>0.006476164</v>
      </c>
      <c r="M607" s="1" t="n">
        <v>0.006591558</v>
      </c>
      <c r="N607" s="1" t="n">
        <v>0.006415129</v>
      </c>
      <c r="O607" s="1" t="n">
        <v>0.006348133</v>
      </c>
      <c r="P607" s="1" t="n">
        <v>0.006791115</v>
      </c>
      <c r="R607" s="1" t="n">
        <f aca="false">PERCENTILE(G607:P607,0.9)</f>
        <v>0.0138195993</v>
      </c>
      <c r="S607" s="5" t="n">
        <f aca="false">spmv_1!R$18/R607</f>
        <v>5.61077981472299</v>
      </c>
      <c r="T607" s="6" t="n">
        <f aca="false">S607/128</f>
        <v>0.0438342173025234</v>
      </c>
    </row>
    <row r="608" customFormat="false" ht="15" hidden="false" customHeight="false" outlineLevel="0" collapsed="false">
      <c r="A608" s="1" t="s">
        <v>19</v>
      </c>
      <c r="B608" s="1" t="n">
        <v>82</v>
      </c>
      <c r="D608" s="1" t="n">
        <v>284384</v>
      </c>
      <c r="E608" s="1" t="n">
        <v>0.069922</v>
      </c>
      <c r="G608" s="1" t="n">
        <v>0.016698122</v>
      </c>
      <c r="H608" s="1" t="n">
        <v>0.013298512</v>
      </c>
      <c r="I608" s="1" t="n">
        <v>0.006989479</v>
      </c>
      <c r="J608" s="1" t="n">
        <v>0.006541967</v>
      </c>
      <c r="K608" s="1" t="n">
        <v>0.006343842</v>
      </c>
      <c r="L608" s="1" t="n">
        <v>0.006307364</v>
      </c>
      <c r="M608" s="1" t="n">
        <v>0.006284952</v>
      </c>
      <c r="N608" s="1" t="n">
        <v>0.006295681</v>
      </c>
      <c r="O608" s="1" t="n">
        <v>0.006239653</v>
      </c>
      <c r="P608" s="1" t="n">
        <v>0.006343365</v>
      </c>
      <c r="R608" s="1" t="n">
        <f aca="false">PERCENTILE(G608:P608,0.9)</f>
        <v>0.013638473</v>
      </c>
      <c r="S608" s="5" t="n">
        <f aca="false">spmv_1!R$18/R608</f>
        <v>5.6852940061545</v>
      </c>
      <c r="T608" s="6" t="n">
        <f aca="false">S608/128</f>
        <v>0.044416359423082</v>
      </c>
    </row>
    <row r="609" customFormat="false" ht="15" hidden="false" customHeight="false" outlineLevel="0" collapsed="false">
      <c r="A609" s="1" t="s">
        <v>19</v>
      </c>
      <c r="B609" s="1" t="n">
        <v>83</v>
      </c>
      <c r="D609" s="1" t="n">
        <v>296439</v>
      </c>
      <c r="E609" s="1" t="n">
        <v>0.071093</v>
      </c>
      <c r="G609" s="1" t="n">
        <v>0.017019272</v>
      </c>
      <c r="H609" s="1" t="n">
        <v>0.01342392</v>
      </c>
      <c r="I609" s="1" t="n">
        <v>0.007138729</v>
      </c>
      <c r="J609" s="1" t="n">
        <v>0.006740332</v>
      </c>
      <c r="K609" s="1" t="n">
        <v>0.006433249</v>
      </c>
      <c r="L609" s="1" t="n">
        <v>0.00646472</v>
      </c>
      <c r="M609" s="1" t="n">
        <v>0.006581068</v>
      </c>
      <c r="N609" s="1" t="n">
        <v>0.006416559</v>
      </c>
      <c r="O609" s="1" t="n">
        <v>0.006351471</v>
      </c>
      <c r="P609" s="1" t="n">
        <v>0.00682497</v>
      </c>
      <c r="R609" s="1" t="n">
        <f aca="false">PERCENTILE(G609:P609,0.9)</f>
        <v>0.0137834552</v>
      </c>
      <c r="S609" s="5" t="n">
        <f aca="false">spmv_1!R$18/R609</f>
        <v>5.62549285900389</v>
      </c>
      <c r="T609" s="6" t="n">
        <f aca="false">S609/128</f>
        <v>0.0439491629609679</v>
      </c>
    </row>
    <row r="610" customFormat="false" ht="15" hidden="false" customHeight="false" outlineLevel="0" collapsed="false">
      <c r="A610" s="1" t="s">
        <v>19</v>
      </c>
      <c r="B610" s="1" t="n">
        <v>84</v>
      </c>
      <c r="D610" s="1" t="n">
        <v>290394</v>
      </c>
      <c r="E610" s="1" t="n">
        <v>0.073334</v>
      </c>
      <c r="G610" s="1" t="n">
        <v>0.016571045</v>
      </c>
      <c r="H610" s="1" t="n">
        <v>0.013071775</v>
      </c>
      <c r="I610" s="1" t="n">
        <v>0.006779432</v>
      </c>
      <c r="J610" s="1" t="n">
        <v>0.006321192</v>
      </c>
      <c r="K610" s="1" t="n">
        <v>0.006103754</v>
      </c>
      <c r="L610" s="1" t="n">
        <v>0.006088972</v>
      </c>
      <c r="M610" s="1" t="n">
        <v>0.006062984</v>
      </c>
      <c r="N610" s="1" t="n">
        <v>0.006048203</v>
      </c>
      <c r="O610" s="1" t="n">
        <v>0.006013632</v>
      </c>
      <c r="P610" s="1" t="n">
        <v>0.006136417</v>
      </c>
      <c r="R610" s="1" t="n">
        <f aca="false">PERCENTILE(G610:P610,0.9)</f>
        <v>0.013421702</v>
      </c>
      <c r="S610" s="5" t="n">
        <f aca="false">spmv_1!R$18/R610</f>
        <v>5.77711595742477</v>
      </c>
      <c r="T610" s="6" t="n">
        <f aca="false">S610/128</f>
        <v>0.0451337184173811</v>
      </c>
    </row>
    <row r="611" customFormat="false" ht="15" hidden="false" customHeight="false" outlineLevel="0" collapsed="false">
      <c r="A611" s="1" t="s">
        <v>19</v>
      </c>
      <c r="B611" s="1" t="n">
        <v>85</v>
      </c>
      <c r="D611" s="1" t="n">
        <v>286018</v>
      </c>
      <c r="E611" s="1" t="n">
        <v>0.071014</v>
      </c>
      <c r="G611" s="1" t="n">
        <v>0.016417503</v>
      </c>
      <c r="H611" s="1" t="n">
        <v>0.013141632</v>
      </c>
      <c r="I611" s="1" t="n">
        <v>0.00701952</v>
      </c>
      <c r="J611" s="1" t="n">
        <v>0.006497622</v>
      </c>
      <c r="K611" s="1" t="n">
        <v>0.006301165</v>
      </c>
      <c r="L611" s="1" t="n">
        <v>0.006226063</v>
      </c>
      <c r="M611" s="1" t="n">
        <v>0.006229401</v>
      </c>
      <c r="N611" s="1" t="n">
        <v>0.006212473</v>
      </c>
      <c r="O611" s="1" t="n">
        <v>0.006201744</v>
      </c>
      <c r="P611" s="1" t="n">
        <v>0.006305218</v>
      </c>
      <c r="R611" s="1" t="n">
        <f aca="false">PERCENTILE(G611:P611,0.9)</f>
        <v>0.0134692191</v>
      </c>
      <c r="S611" s="5" t="n">
        <f aca="false">spmv_1!R$18/R611</f>
        <v>5.75673528096369</v>
      </c>
      <c r="T611" s="6" t="n">
        <f aca="false">S611/128</f>
        <v>0.0449744943825288</v>
      </c>
    </row>
    <row r="612" customFormat="false" ht="15" hidden="false" customHeight="false" outlineLevel="0" collapsed="false">
      <c r="A612" s="1" t="s">
        <v>19</v>
      </c>
      <c r="B612" s="1" t="n">
        <v>86</v>
      </c>
      <c r="D612" s="1" t="n">
        <v>284784</v>
      </c>
      <c r="E612" s="1" t="n">
        <v>0.069013</v>
      </c>
      <c r="G612" s="1" t="n">
        <v>0.016741991</v>
      </c>
      <c r="H612" s="1" t="n">
        <v>0.013273478</v>
      </c>
      <c r="I612" s="1" t="n">
        <v>0.007093906</v>
      </c>
      <c r="J612" s="1" t="n">
        <v>0.006695509</v>
      </c>
      <c r="K612" s="1" t="n">
        <v>0.006385326</v>
      </c>
      <c r="L612" s="1" t="n">
        <v>0.006393671</v>
      </c>
      <c r="M612" s="1" t="n">
        <v>0.006510496</v>
      </c>
      <c r="N612" s="1" t="n">
        <v>0.006340027</v>
      </c>
      <c r="O612" s="1" t="n">
        <v>0.006312609</v>
      </c>
      <c r="P612" s="1" t="n">
        <v>0.006783962</v>
      </c>
      <c r="R612" s="1" t="n">
        <f aca="false">PERCENTILE(G612:P612,0.9)</f>
        <v>0.0136203293</v>
      </c>
      <c r="S612" s="5" t="n">
        <f aca="false">spmv_1!R$18/R612</f>
        <v>5.69286741106913</v>
      </c>
      <c r="T612" s="6" t="n">
        <f aca="false">S612/128</f>
        <v>0.0444755266489776</v>
      </c>
    </row>
    <row r="613" customFormat="false" ht="15" hidden="false" customHeight="false" outlineLevel="0" collapsed="false">
      <c r="A613" s="1" t="s">
        <v>19</v>
      </c>
      <c r="B613" s="1" t="n">
        <v>87</v>
      </c>
      <c r="D613" s="1" t="n">
        <v>296470</v>
      </c>
      <c r="E613" s="1" t="n">
        <v>0.075493</v>
      </c>
      <c r="G613" s="1" t="n">
        <v>0.016262531</v>
      </c>
      <c r="H613" s="1" t="n">
        <v>0.012984991</v>
      </c>
      <c r="I613" s="1" t="n">
        <v>0.00671339</v>
      </c>
      <c r="J613" s="1" t="n">
        <v>0.006300688</v>
      </c>
      <c r="K613" s="1" t="n">
        <v>0.006094456</v>
      </c>
      <c r="L613" s="1" t="n">
        <v>0.006036997</v>
      </c>
      <c r="M613" s="1" t="n">
        <v>0.006017208</v>
      </c>
      <c r="N613" s="1" t="n">
        <v>0.005996227</v>
      </c>
      <c r="O613" s="1" t="n">
        <v>0.006006241</v>
      </c>
      <c r="P613" s="1" t="n">
        <v>0.006129503</v>
      </c>
      <c r="R613" s="1" t="n">
        <f aca="false">PERCENTILE(G613:P613,0.9)</f>
        <v>0.013312745</v>
      </c>
      <c r="S613" s="5" t="n">
        <f aca="false">spmv_1!R$18/R613</f>
        <v>5.82439825896162</v>
      </c>
      <c r="T613" s="6" t="n">
        <f aca="false">S613/128</f>
        <v>0.0455031113981377</v>
      </c>
    </row>
    <row r="614" customFormat="false" ht="15" hidden="false" customHeight="false" outlineLevel="0" collapsed="false">
      <c r="A614" s="1" t="s">
        <v>19</v>
      </c>
      <c r="B614" s="1" t="n">
        <v>88</v>
      </c>
      <c r="D614" s="1" t="n">
        <v>291396</v>
      </c>
      <c r="E614" s="1" t="n">
        <v>0.070841</v>
      </c>
      <c r="G614" s="1" t="n">
        <v>0.016599417</v>
      </c>
      <c r="H614" s="1" t="n">
        <v>0.013259172</v>
      </c>
      <c r="I614" s="1" t="n">
        <v>0.007050037</v>
      </c>
      <c r="J614" s="1" t="n">
        <v>0.006670475</v>
      </c>
      <c r="K614" s="1" t="n">
        <v>0.006343842</v>
      </c>
      <c r="L614" s="1" t="n">
        <v>0.006376982</v>
      </c>
      <c r="M614" s="1" t="n">
        <v>0.006524563</v>
      </c>
      <c r="N614" s="1" t="n">
        <v>0.006364346</v>
      </c>
      <c r="O614" s="1" t="n">
        <v>0.006274223</v>
      </c>
      <c r="P614" s="1" t="n">
        <v>0.006804228</v>
      </c>
      <c r="R614" s="1" t="n">
        <f aca="false">PERCENTILE(G614:P614,0.9)</f>
        <v>0.0135931965</v>
      </c>
      <c r="S614" s="5" t="n">
        <f aca="false">spmv_1!R$18/R614</f>
        <v>5.70423070099811</v>
      </c>
      <c r="T614" s="6" t="n">
        <f aca="false">S614/128</f>
        <v>0.0445643023515477</v>
      </c>
    </row>
    <row r="615" customFormat="false" ht="15" hidden="false" customHeight="false" outlineLevel="0" collapsed="false">
      <c r="A615" s="1" t="s">
        <v>19</v>
      </c>
      <c r="B615" s="1" t="n">
        <v>89</v>
      </c>
      <c r="D615" s="1" t="n">
        <v>285868</v>
      </c>
      <c r="E615" s="1" t="n">
        <v>0.069248</v>
      </c>
      <c r="G615" s="1" t="n">
        <v>0.016106606</v>
      </c>
      <c r="H615" s="1" t="n">
        <v>0.013344288</v>
      </c>
      <c r="I615" s="1" t="n">
        <v>0.007045746</v>
      </c>
      <c r="J615" s="1" t="n">
        <v>0.006948709</v>
      </c>
      <c r="K615" s="1" t="n">
        <v>0.006543636</v>
      </c>
      <c r="L615" s="1" t="n">
        <v>0.0063591</v>
      </c>
      <c r="M615" s="1" t="n">
        <v>0.006514072</v>
      </c>
      <c r="N615" s="1" t="n">
        <v>0.006541729</v>
      </c>
      <c r="O615" s="1" t="n">
        <v>0.006546974</v>
      </c>
      <c r="P615" s="1" t="n">
        <v>0.006612778</v>
      </c>
      <c r="R615" s="1" t="n">
        <f aca="false">PERCENTILE(G615:P615,0.9)</f>
        <v>0.0136205198</v>
      </c>
      <c r="S615" s="5" t="n">
        <f aca="false">spmv_1!R$18/R615</f>
        <v>5.69278778920023</v>
      </c>
      <c r="T615" s="6" t="n">
        <f aca="false">S615/128</f>
        <v>0.0444749046031268</v>
      </c>
    </row>
    <row r="616" customFormat="false" ht="15" hidden="false" customHeight="false" outlineLevel="0" collapsed="false">
      <c r="A616" s="1" t="s">
        <v>19</v>
      </c>
      <c r="B616" s="1" t="n">
        <v>90</v>
      </c>
      <c r="D616" s="1" t="n">
        <v>285254</v>
      </c>
      <c r="E616" s="1" t="n">
        <v>0.070095</v>
      </c>
      <c r="G616" s="1" t="n">
        <v>0.016091585</v>
      </c>
      <c r="H616" s="1" t="n">
        <v>0.013439894</v>
      </c>
      <c r="I616" s="1" t="n">
        <v>0.00705862</v>
      </c>
      <c r="J616" s="1" t="n">
        <v>0.006660223</v>
      </c>
      <c r="K616" s="1" t="n">
        <v>0.006322145</v>
      </c>
      <c r="L616" s="1" t="n">
        <v>0.006410837</v>
      </c>
      <c r="M616" s="1" t="n">
        <v>0.006339073</v>
      </c>
      <c r="N616" s="1" t="n">
        <v>0.006288052</v>
      </c>
      <c r="O616" s="1" t="n">
        <v>0.006235361</v>
      </c>
      <c r="P616" s="1" t="n">
        <v>0.006545067</v>
      </c>
      <c r="R616" s="1" t="n">
        <f aca="false">PERCENTILE(G616:P616,0.9)</f>
        <v>0.0137050631</v>
      </c>
      <c r="S616" s="5" t="n">
        <f aca="false">spmv_1!R$18/R616</f>
        <v>5.65767032477216</v>
      </c>
      <c r="T616" s="6" t="n">
        <f aca="false">S616/128</f>
        <v>0.0442005494122825</v>
      </c>
    </row>
    <row r="617" customFormat="false" ht="15" hidden="false" customHeight="false" outlineLevel="0" collapsed="false">
      <c r="A617" s="1" t="s">
        <v>19</v>
      </c>
      <c r="B617" s="1" t="n">
        <v>91</v>
      </c>
      <c r="D617" s="1" t="n">
        <v>296916</v>
      </c>
      <c r="E617" s="1" t="n">
        <v>0.072077</v>
      </c>
      <c r="G617" s="1" t="n">
        <v>0.016232729</v>
      </c>
      <c r="H617" s="1" t="n">
        <v>0.013788939</v>
      </c>
      <c r="I617" s="1" t="n">
        <v>0.007003784</v>
      </c>
      <c r="J617" s="1" t="n">
        <v>0.006673574</v>
      </c>
      <c r="K617" s="1" t="n">
        <v>0.006355524</v>
      </c>
      <c r="L617" s="1" t="n">
        <v>0.006387711</v>
      </c>
      <c r="M617" s="1" t="n">
        <v>0.006533861</v>
      </c>
      <c r="N617" s="1" t="n">
        <v>0.006355762</v>
      </c>
      <c r="O617" s="1" t="n">
        <v>0.006261826</v>
      </c>
      <c r="P617" s="1" t="n">
        <v>0.006794691</v>
      </c>
      <c r="R617" s="1" t="n">
        <f aca="false">PERCENTILE(G617:P617,0.9)</f>
        <v>0.014033318</v>
      </c>
      <c r="S617" s="5" t="n">
        <f aca="false">spmv_1!R$18/R617</f>
        <v>5.52533112981549</v>
      </c>
      <c r="T617" s="6" t="n">
        <f aca="false">S617/128</f>
        <v>0.0431666494516835</v>
      </c>
    </row>
    <row r="618" customFormat="false" ht="15" hidden="false" customHeight="false" outlineLevel="0" collapsed="false">
      <c r="A618" s="1" t="s">
        <v>19</v>
      </c>
      <c r="B618" s="1" t="n">
        <v>92</v>
      </c>
      <c r="D618" s="1" t="n">
        <v>291150</v>
      </c>
      <c r="E618" s="1" t="n">
        <v>0.074756</v>
      </c>
      <c r="G618" s="1" t="n">
        <v>0.015628338</v>
      </c>
      <c r="H618" s="1" t="n">
        <v>0.01358676</v>
      </c>
      <c r="I618" s="1" t="n">
        <v>0.006612062</v>
      </c>
      <c r="J618" s="1" t="n">
        <v>0.006237745</v>
      </c>
      <c r="K618" s="1" t="n">
        <v>0.00600934</v>
      </c>
      <c r="L618" s="1" t="n">
        <v>0.005976439</v>
      </c>
      <c r="M618" s="1" t="n">
        <v>0.005955935</v>
      </c>
      <c r="N618" s="1" t="n">
        <v>0.00596118</v>
      </c>
      <c r="O618" s="1" t="n">
        <v>0.005872726</v>
      </c>
      <c r="P618" s="1" t="n">
        <v>0.006052971</v>
      </c>
      <c r="R618" s="1" t="n">
        <f aca="false">PERCENTILE(G618:P618,0.9)</f>
        <v>0.0137909178</v>
      </c>
      <c r="S618" s="5" t="n">
        <f aca="false">spmv_1!R$18/R618</f>
        <v>5.62244876842062</v>
      </c>
      <c r="T618" s="6" t="n">
        <f aca="false">S618/128</f>
        <v>0.0439253810032861</v>
      </c>
    </row>
    <row r="619" customFormat="false" ht="15" hidden="false" customHeight="false" outlineLevel="0" collapsed="false">
      <c r="A619" s="1" t="s">
        <v>19</v>
      </c>
      <c r="B619" s="1" t="n">
        <v>93</v>
      </c>
      <c r="D619" s="1" t="n">
        <v>286838</v>
      </c>
      <c r="E619" s="1" t="n">
        <v>0.069522</v>
      </c>
      <c r="G619" s="1" t="n">
        <v>0.015716314</v>
      </c>
      <c r="H619" s="1" t="n">
        <v>0.014018774</v>
      </c>
      <c r="I619" s="1" t="n">
        <v>0.006984949</v>
      </c>
      <c r="J619" s="1" t="n">
        <v>0.006898165</v>
      </c>
      <c r="K619" s="1" t="n">
        <v>0.006525517</v>
      </c>
      <c r="L619" s="1" t="n">
        <v>0.006367207</v>
      </c>
      <c r="M619" s="1" t="n">
        <v>0.006468773</v>
      </c>
      <c r="N619" s="1" t="n">
        <v>0.006491899</v>
      </c>
      <c r="O619" s="1" t="n">
        <v>0.006469727</v>
      </c>
      <c r="P619" s="1" t="n">
        <v>0.006575346</v>
      </c>
      <c r="R619" s="1" t="n">
        <f aca="false">PERCENTILE(G619:P619,0.9)</f>
        <v>0.014188528</v>
      </c>
      <c r="S619" s="5" t="n">
        <f aca="false">spmv_1!R$18/R619</f>
        <v>5.46488887360267</v>
      </c>
      <c r="T619" s="6" t="n">
        <f aca="false">S619/128</f>
        <v>0.0426944443250209</v>
      </c>
    </row>
    <row r="620" customFormat="false" ht="15" hidden="false" customHeight="false" outlineLevel="0" collapsed="false">
      <c r="A620" s="1" t="s">
        <v>19</v>
      </c>
      <c r="B620" s="1" t="n">
        <v>94</v>
      </c>
      <c r="D620" s="1" t="n">
        <v>285536</v>
      </c>
      <c r="E620" s="1" t="n">
        <v>0.071746</v>
      </c>
      <c r="G620" s="1" t="n">
        <v>0.015399456</v>
      </c>
      <c r="H620" s="1" t="n">
        <v>0.013804436</v>
      </c>
      <c r="I620" s="1" t="n">
        <v>0.00705719</v>
      </c>
      <c r="J620" s="1" t="n">
        <v>0.006403208</v>
      </c>
      <c r="K620" s="1" t="n">
        <v>0.006210804</v>
      </c>
      <c r="L620" s="1" t="n">
        <v>0.006095648</v>
      </c>
      <c r="M620" s="1" t="n">
        <v>0.00617981</v>
      </c>
      <c r="N620" s="1" t="n">
        <v>0.006143332</v>
      </c>
      <c r="O620" s="1" t="n">
        <v>0.006051064</v>
      </c>
      <c r="P620" s="1" t="n">
        <v>0.006251812</v>
      </c>
      <c r="R620" s="1" t="n">
        <f aca="false">PERCENTILE(G620:P620,0.9)</f>
        <v>0.013963938</v>
      </c>
      <c r="S620" s="5" t="n">
        <f aca="false">spmv_1!R$18/R620</f>
        <v>5.55278380640189</v>
      </c>
      <c r="T620" s="6" t="n">
        <f aca="false">S620/128</f>
        <v>0.0433811234875148</v>
      </c>
    </row>
    <row r="621" customFormat="false" ht="15" hidden="false" customHeight="false" outlineLevel="0" collapsed="false">
      <c r="A621" s="1" t="s">
        <v>19</v>
      </c>
      <c r="B621" s="1" t="n">
        <v>95</v>
      </c>
      <c r="D621" s="1" t="n">
        <v>297492</v>
      </c>
      <c r="E621" s="1" t="n">
        <v>0.072816</v>
      </c>
      <c r="G621" s="1" t="n">
        <v>0.015673876</v>
      </c>
      <c r="H621" s="1" t="n">
        <v>0.013854504</v>
      </c>
      <c r="I621" s="1" t="n">
        <v>0.007184505</v>
      </c>
      <c r="J621" s="1" t="n">
        <v>0.006621599</v>
      </c>
      <c r="K621" s="1" t="n">
        <v>0.006304979</v>
      </c>
      <c r="L621" s="1" t="n">
        <v>0.006308556</v>
      </c>
      <c r="M621" s="1" t="n">
        <v>0.006503105</v>
      </c>
      <c r="N621" s="1" t="n">
        <v>0.006287336</v>
      </c>
      <c r="O621" s="1" t="n">
        <v>0.006180763</v>
      </c>
      <c r="P621" s="1" t="n">
        <v>0.006791115</v>
      </c>
      <c r="R621" s="1" t="n">
        <f aca="false">PERCENTILE(G621:P621,0.9)</f>
        <v>0.0140364412</v>
      </c>
      <c r="S621" s="5" t="n">
        <f aca="false">spmv_1!R$18/R621</f>
        <v>5.52410170748979</v>
      </c>
      <c r="T621" s="6" t="n">
        <f aca="false">S621/128</f>
        <v>0.043157044589764</v>
      </c>
    </row>
    <row r="622" customFormat="false" ht="15" hidden="false" customHeight="false" outlineLevel="0" collapsed="false">
      <c r="A622" s="1" t="s">
        <v>19</v>
      </c>
      <c r="B622" s="1" t="n">
        <v>96</v>
      </c>
      <c r="D622" s="1" t="n">
        <v>290977</v>
      </c>
      <c r="E622" s="1" t="n">
        <v>0.066752</v>
      </c>
      <c r="G622" s="1" t="n">
        <v>0.015639067</v>
      </c>
      <c r="H622" s="1" t="n">
        <v>0.014182568</v>
      </c>
      <c r="I622" s="1" t="n">
        <v>0.008906364</v>
      </c>
      <c r="J622" s="1" t="n">
        <v>0.007586241</v>
      </c>
      <c r="K622" s="1" t="n">
        <v>0.006582499</v>
      </c>
      <c r="L622" s="1" t="n">
        <v>0.00757885</v>
      </c>
      <c r="M622" s="1" t="n">
        <v>0.006708384</v>
      </c>
      <c r="N622" s="1" t="n">
        <v>0.006592035</v>
      </c>
      <c r="O622" s="1" t="n">
        <v>0.0065341</v>
      </c>
      <c r="P622" s="1" t="n">
        <v>0.006871462</v>
      </c>
      <c r="R622" s="1" t="n">
        <f aca="false">PERCENTILE(G622:P622,0.9)</f>
        <v>0.0143282179</v>
      </c>
      <c r="S622" s="5" t="n">
        <f aca="false">spmv_1!R$18/R622</f>
        <v>5.41161010679493</v>
      </c>
      <c r="T622" s="6" t="n">
        <f aca="false">S622/128</f>
        <v>0.0422782039593354</v>
      </c>
    </row>
    <row r="623" customFormat="false" ht="15" hidden="false" customHeight="false" outlineLevel="0" collapsed="false">
      <c r="A623" s="1" t="s">
        <v>19</v>
      </c>
      <c r="B623" s="1" t="n">
        <v>97</v>
      </c>
      <c r="D623" s="1" t="n">
        <v>287086</v>
      </c>
      <c r="E623" s="1" t="n">
        <v>0.065767</v>
      </c>
      <c r="G623" s="1" t="n">
        <v>0.015487194</v>
      </c>
      <c r="H623" s="1" t="n">
        <v>0.014191389</v>
      </c>
      <c r="I623" s="1" t="n">
        <v>0.008957148</v>
      </c>
      <c r="J623" s="1" t="n">
        <v>0.0076406</v>
      </c>
      <c r="K623" s="1" t="n">
        <v>0.006607533</v>
      </c>
      <c r="L623" s="1" t="n">
        <v>0.007586718</v>
      </c>
      <c r="M623" s="1" t="n">
        <v>0.006746054</v>
      </c>
      <c r="N623" s="1" t="n">
        <v>0.006616116</v>
      </c>
      <c r="O623" s="1" t="n">
        <v>0.006572723</v>
      </c>
      <c r="P623" s="1" t="n">
        <v>0.006899118</v>
      </c>
      <c r="R623" s="1" t="n">
        <f aca="false">PERCENTILE(G623:P623,0.9)</f>
        <v>0.0143209695</v>
      </c>
      <c r="S623" s="5" t="n">
        <f aca="false">spmv_1!R$18/R623</f>
        <v>5.41434913327621</v>
      </c>
      <c r="T623" s="6" t="n">
        <f aca="false">S623/128</f>
        <v>0.0422996026037204</v>
      </c>
    </row>
    <row r="624" customFormat="false" ht="15" hidden="false" customHeight="false" outlineLevel="0" collapsed="false">
      <c r="A624" s="1" t="s">
        <v>19</v>
      </c>
      <c r="B624" s="1" t="n">
        <v>98</v>
      </c>
      <c r="D624" s="1" t="n">
        <v>284903</v>
      </c>
      <c r="E624" s="1" t="n">
        <v>0.06548</v>
      </c>
      <c r="G624" s="1" t="n">
        <v>0.015483141</v>
      </c>
      <c r="H624" s="1" t="n">
        <v>0.014132977</v>
      </c>
      <c r="I624" s="1" t="n">
        <v>0.008930445</v>
      </c>
      <c r="J624" s="1" t="n">
        <v>0.007616043</v>
      </c>
      <c r="K624" s="1" t="n">
        <v>0.006570339</v>
      </c>
      <c r="L624" s="1" t="n">
        <v>0.007568598</v>
      </c>
      <c r="M624" s="1" t="n">
        <v>0.006721497</v>
      </c>
      <c r="N624" s="1" t="n">
        <v>0.006591797</v>
      </c>
      <c r="O624" s="1" t="n">
        <v>0.006532669</v>
      </c>
      <c r="P624" s="1" t="n">
        <v>0.006872177</v>
      </c>
      <c r="R624" s="1" t="n">
        <f aca="false">PERCENTILE(G624:P624,0.9)</f>
        <v>0.0142679934</v>
      </c>
      <c r="S624" s="5" t="n">
        <f aca="false">spmv_1!R$18/R624</f>
        <v>5.43445224750384</v>
      </c>
      <c r="T624" s="6" t="n">
        <f aca="false">S624/128</f>
        <v>0.0424566581836238</v>
      </c>
    </row>
    <row r="625" customFormat="false" ht="15" hidden="false" customHeight="false" outlineLevel="0" collapsed="false">
      <c r="A625" s="1" t="s">
        <v>19</v>
      </c>
      <c r="B625" s="1" t="n">
        <v>99</v>
      </c>
      <c r="D625" s="1" t="n">
        <v>297860</v>
      </c>
      <c r="E625" s="1" t="n">
        <v>0.067776</v>
      </c>
      <c r="G625" s="1" t="n">
        <v>0.015870094</v>
      </c>
      <c r="H625" s="1" t="n">
        <v>0.014431</v>
      </c>
      <c r="I625" s="1" t="n">
        <v>0.009673834</v>
      </c>
      <c r="J625" s="1" t="n">
        <v>0.007683992</v>
      </c>
      <c r="K625" s="1" t="n">
        <v>0.006524801</v>
      </c>
      <c r="L625" s="1" t="n">
        <v>0.007432699</v>
      </c>
      <c r="M625" s="1" t="n">
        <v>0.006578684</v>
      </c>
      <c r="N625" s="1" t="n">
        <v>0.006479979</v>
      </c>
      <c r="O625" s="1" t="n">
        <v>0.006417274</v>
      </c>
      <c r="P625" s="1" t="n">
        <v>0.006802797</v>
      </c>
      <c r="R625" s="1" t="n">
        <f aca="false">PERCENTILE(G625:P625,0.9)</f>
        <v>0.0145749094</v>
      </c>
      <c r="S625" s="5" t="n">
        <f aca="false">spmv_1!R$18/R625</f>
        <v>5.3200144626628</v>
      </c>
      <c r="T625" s="6" t="n">
        <f aca="false">S625/128</f>
        <v>0.0415626129895531</v>
      </c>
    </row>
    <row r="626" customFormat="false" ht="15" hidden="false" customHeight="false" outlineLevel="0" collapsed="false">
      <c r="A626" s="1" t="s">
        <v>19</v>
      </c>
      <c r="B626" s="1" t="n">
        <v>100</v>
      </c>
      <c r="D626" s="1" t="n">
        <v>290203</v>
      </c>
      <c r="E626" s="1" t="n">
        <v>0.067584</v>
      </c>
      <c r="G626" s="1" t="n">
        <v>0.015044928</v>
      </c>
      <c r="H626" s="1" t="n">
        <v>0.013919115</v>
      </c>
      <c r="I626" s="1" t="n">
        <v>0.009575129</v>
      </c>
      <c r="J626" s="1" t="n">
        <v>0.007574558</v>
      </c>
      <c r="K626" s="1" t="n">
        <v>0.006467342</v>
      </c>
      <c r="L626" s="1" t="n">
        <v>0.007244825</v>
      </c>
      <c r="M626" s="1" t="n">
        <v>0.006531239</v>
      </c>
      <c r="N626" s="1" t="n">
        <v>0.006407738</v>
      </c>
      <c r="O626" s="1" t="n">
        <v>0.006402016</v>
      </c>
      <c r="P626" s="1" t="n">
        <v>0.006712198</v>
      </c>
      <c r="R626" s="1" t="n">
        <f aca="false">PERCENTILE(G626:P626,0.9)</f>
        <v>0.0140316963</v>
      </c>
      <c r="S626" s="5" t="n">
        <f aca="false">spmv_1!R$18/R626</f>
        <v>5.52596971472366</v>
      </c>
      <c r="T626" s="6" t="n">
        <f aca="false">S626/128</f>
        <v>0.0431716383962786</v>
      </c>
    </row>
    <row r="627" customFormat="false" ht="15" hidden="false" customHeight="false" outlineLevel="0" collapsed="false">
      <c r="A627" s="1" t="s">
        <v>19</v>
      </c>
      <c r="B627" s="1" t="n">
        <v>101</v>
      </c>
      <c r="D627" s="1" t="n">
        <v>287095</v>
      </c>
      <c r="E627" s="1" t="n">
        <v>0.067056</v>
      </c>
      <c r="G627" s="1" t="n">
        <v>0.015024424</v>
      </c>
      <c r="H627" s="1" t="n">
        <v>0.013887644</v>
      </c>
      <c r="I627" s="1" t="n">
        <v>0.009577751</v>
      </c>
      <c r="J627" s="1" t="n">
        <v>0.007531404</v>
      </c>
      <c r="K627" s="1" t="n">
        <v>0.006442547</v>
      </c>
      <c r="L627" s="1" t="n">
        <v>0.00718236</v>
      </c>
      <c r="M627" s="1" t="n">
        <v>0.006512642</v>
      </c>
      <c r="N627" s="1" t="n">
        <v>0.006387472</v>
      </c>
      <c r="O627" s="1" t="n">
        <v>0.006383181</v>
      </c>
      <c r="P627" s="1" t="n">
        <v>0.006698847</v>
      </c>
      <c r="R627" s="1" t="n">
        <f aca="false">PERCENTILE(G627:P627,0.9)</f>
        <v>0.014001322</v>
      </c>
      <c r="S627" s="5" t="n">
        <f aca="false">spmv_1!R$18/R627</f>
        <v>5.5379576871384</v>
      </c>
      <c r="T627" s="6" t="n">
        <f aca="false">S627/128</f>
        <v>0.0432652944307688</v>
      </c>
    </row>
    <row r="628" customFormat="false" ht="15" hidden="false" customHeight="false" outlineLevel="0" collapsed="false">
      <c r="A628" s="1" t="s">
        <v>19</v>
      </c>
      <c r="B628" s="1" t="n">
        <v>102</v>
      </c>
      <c r="D628" s="1" t="n">
        <v>285306</v>
      </c>
      <c r="E628" s="1" t="n">
        <v>0.066755</v>
      </c>
      <c r="G628" s="1" t="n">
        <v>0.014940262</v>
      </c>
      <c r="H628" s="1" t="n">
        <v>0.013870001</v>
      </c>
      <c r="I628" s="1" t="n">
        <v>0.00960803</v>
      </c>
      <c r="J628" s="1" t="n">
        <v>0.007517099</v>
      </c>
      <c r="K628" s="1" t="n">
        <v>0.006428003</v>
      </c>
      <c r="L628" s="1" t="n">
        <v>0.007169485</v>
      </c>
      <c r="M628" s="1" t="n">
        <v>0.006507635</v>
      </c>
      <c r="N628" s="1" t="n">
        <v>0.006396294</v>
      </c>
      <c r="O628" s="1" t="n">
        <v>0.006369352</v>
      </c>
      <c r="P628" s="1" t="n">
        <v>0.006672859</v>
      </c>
      <c r="R628" s="1" t="n">
        <f aca="false">PERCENTILE(G628:P628,0.9)</f>
        <v>0.0139770271</v>
      </c>
      <c r="S628" s="5" t="n">
        <f aca="false">spmv_1!R$18/R628</f>
        <v>5.547583777669</v>
      </c>
      <c r="T628" s="6" t="n">
        <f aca="false">S628/128</f>
        <v>0.0433404982630391</v>
      </c>
    </row>
    <row r="629" customFormat="false" ht="15" hidden="false" customHeight="false" outlineLevel="0" collapsed="false">
      <c r="A629" s="1" t="s">
        <v>19</v>
      </c>
      <c r="B629" s="1" t="n">
        <v>103</v>
      </c>
      <c r="D629" s="1" t="n">
        <v>297948</v>
      </c>
      <c r="E629" s="1" t="n">
        <v>0.069485</v>
      </c>
      <c r="G629" s="1" t="n">
        <v>0.01469326</v>
      </c>
      <c r="H629" s="1" t="n">
        <v>0.01392746</v>
      </c>
      <c r="I629" s="1" t="n">
        <v>0.009437084</v>
      </c>
      <c r="J629" s="1" t="n">
        <v>0.007565498</v>
      </c>
      <c r="K629" s="1" t="n">
        <v>0.006476402</v>
      </c>
      <c r="L629" s="1" t="n">
        <v>0.007310152</v>
      </c>
      <c r="M629" s="1" t="n">
        <v>0.006632566</v>
      </c>
      <c r="N629" s="1" t="n">
        <v>0.006527662</v>
      </c>
      <c r="O629" s="1" t="n">
        <v>0.006444454</v>
      </c>
      <c r="P629" s="1" t="n">
        <v>0.006744385</v>
      </c>
      <c r="R629" s="1" t="n">
        <f aca="false">PERCENTILE(G629:P629,0.9)</f>
        <v>0.01400404</v>
      </c>
      <c r="S629" s="5" t="n">
        <f aca="false">spmv_1!R$18/R629</f>
        <v>5.53688284237977</v>
      </c>
      <c r="T629" s="6" t="n">
        <f aca="false">S629/128</f>
        <v>0.043256897206092</v>
      </c>
    </row>
    <row r="630" customFormat="false" ht="15" hidden="false" customHeight="false" outlineLevel="0" collapsed="false">
      <c r="A630" s="1" t="s">
        <v>19</v>
      </c>
      <c r="B630" s="1" t="n">
        <v>104</v>
      </c>
      <c r="D630" s="1" t="n">
        <v>291079</v>
      </c>
      <c r="E630" s="1" t="n">
        <v>0.068221</v>
      </c>
      <c r="G630" s="1" t="n">
        <v>0.014643192</v>
      </c>
      <c r="H630" s="1" t="n">
        <v>0.013903379</v>
      </c>
      <c r="I630" s="1" t="n">
        <v>0.009431839</v>
      </c>
      <c r="J630" s="1" t="n">
        <v>0.007521629</v>
      </c>
      <c r="K630" s="1" t="n">
        <v>0.006439924</v>
      </c>
      <c r="L630" s="1" t="n">
        <v>0.007260799</v>
      </c>
      <c r="M630" s="1" t="n">
        <v>0.006588221</v>
      </c>
      <c r="N630" s="1" t="n">
        <v>0.006480217</v>
      </c>
      <c r="O630" s="1" t="n">
        <v>0.006398678</v>
      </c>
      <c r="P630" s="1" t="n">
        <v>0.00666666</v>
      </c>
      <c r="R630" s="1" t="n">
        <f aca="false">PERCENTILE(G630:P630,0.9)</f>
        <v>0.0139773603</v>
      </c>
      <c r="S630" s="5" t="n">
        <f aca="false">spmv_1!R$18/R630</f>
        <v>5.54745153131668</v>
      </c>
      <c r="T630" s="6" t="n">
        <f aca="false">S630/128</f>
        <v>0.0433394650884116</v>
      </c>
    </row>
    <row r="631" customFormat="false" ht="15" hidden="false" customHeight="false" outlineLevel="0" collapsed="false">
      <c r="A631" s="1" t="s">
        <v>19</v>
      </c>
      <c r="B631" s="1" t="n">
        <v>105</v>
      </c>
      <c r="D631" s="1" t="n">
        <v>286653</v>
      </c>
      <c r="E631" s="1" t="n">
        <v>0.069286</v>
      </c>
      <c r="G631" s="1" t="n">
        <v>0.014472485</v>
      </c>
      <c r="H631" s="1" t="n">
        <v>0.013628006</v>
      </c>
      <c r="I631" s="1" t="n">
        <v>0.009272099</v>
      </c>
      <c r="J631" s="1" t="n">
        <v>0.007230997</v>
      </c>
      <c r="K631" s="1" t="n">
        <v>0.00621748</v>
      </c>
      <c r="L631" s="1" t="n">
        <v>0.006996393</v>
      </c>
      <c r="M631" s="1" t="n">
        <v>0.006230831</v>
      </c>
      <c r="N631" s="1" t="n">
        <v>0.006183386</v>
      </c>
      <c r="O631" s="1" t="n">
        <v>0.006181955</v>
      </c>
      <c r="P631" s="1" t="n">
        <v>0.006330729</v>
      </c>
      <c r="R631" s="1" t="n">
        <f aca="false">PERCENTILE(G631:P631,0.9)</f>
        <v>0.0137124539</v>
      </c>
      <c r="S631" s="5" t="n">
        <f aca="false">spmv_1!R$18/R631</f>
        <v>5.654620928206</v>
      </c>
      <c r="T631" s="6" t="n">
        <f aca="false">S631/128</f>
        <v>0.0441767260016094</v>
      </c>
    </row>
    <row r="632" customFormat="false" ht="15" hidden="false" customHeight="false" outlineLevel="0" collapsed="false">
      <c r="A632" s="1" t="s">
        <v>19</v>
      </c>
      <c r="B632" s="1" t="n">
        <v>106</v>
      </c>
      <c r="D632" s="1" t="n">
        <v>285711</v>
      </c>
      <c r="E632" s="1" t="n">
        <v>0.069671</v>
      </c>
      <c r="G632" s="1" t="n">
        <v>0.014177084</v>
      </c>
      <c r="H632" s="1" t="n">
        <v>0.013578176</v>
      </c>
      <c r="I632" s="1" t="n">
        <v>0.009254932</v>
      </c>
      <c r="J632" s="1" t="n">
        <v>0.007178783</v>
      </c>
      <c r="K632" s="1" t="n">
        <v>0.006169081</v>
      </c>
      <c r="L632" s="1" t="n">
        <v>0.006890297</v>
      </c>
      <c r="M632" s="1" t="n">
        <v>0.006197691</v>
      </c>
      <c r="N632" s="1" t="n">
        <v>0.006147385</v>
      </c>
      <c r="O632" s="1" t="n">
        <v>0.006149054</v>
      </c>
      <c r="P632" s="1" t="n">
        <v>0.006275177</v>
      </c>
      <c r="R632" s="1" t="n">
        <f aca="false">PERCENTILE(G632:P632,0.9)</f>
        <v>0.0136380668</v>
      </c>
      <c r="S632" s="5" t="n">
        <f aca="false">spmv_1!R$18/R632</f>
        <v>5.68546333854297</v>
      </c>
      <c r="T632" s="6" t="n">
        <f aca="false">S632/128</f>
        <v>0.0444176823323669</v>
      </c>
    </row>
    <row r="633" customFormat="false" ht="15" hidden="false" customHeight="false" outlineLevel="0" collapsed="false">
      <c r="A633" s="1" t="s">
        <v>19</v>
      </c>
      <c r="B633" s="1" t="n">
        <v>107</v>
      </c>
      <c r="D633" s="1" t="n">
        <v>297561</v>
      </c>
      <c r="E633" s="1" t="n">
        <v>0.072667</v>
      </c>
      <c r="G633" s="1" t="n">
        <v>0.014213324</v>
      </c>
      <c r="H633" s="1" t="n">
        <v>0.01347208</v>
      </c>
      <c r="I633" s="1" t="n">
        <v>0.009275436</v>
      </c>
      <c r="J633" s="1" t="n">
        <v>0.007216692</v>
      </c>
      <c r="K633" s="1" t="n">
        <v>0.006169558</v>
      </c>
      <c r="L633" s="1" t="n">
        <v>0.006842375</v>
      </c>
      <c r="M633" s="1" t="n">
        <v>0.006186724</v>
      </c>
      <c r="N633" s="1" t="n">
        <v>0.006124973</v>
      </c>
      <c r="O633" s="1" t="n">
        <v>0.006129265</v>
      </c>
      <c r="P633" s="1" t="n">
        <v>0.006266356</v>
      </c>
      <c r="R633" s="1" t="n">
        <f aca="false">PERCENTILE(G633:P633,0.9)</f>
        <v>0.0135462044</v>
      </c>
      <c r="S633" s="5" t="n">
        <f aca="false">spmv_1!R$18/R633</f>
        <v>5.72401881076001</v>
      </c>
      <c r="T633" s="6" t="n">
        <f aca="false">S633/128</f>
        <v>0.0447188969590626</v>
      </c>
    </row>
    <row r="634" customFormat="false" ht="15" hidden="false" customHeight="false" outlineLevel="0" collapsed="false">
      <c r="A634" s="1" t="s">
        <v>19</v>
      </c>
      <c r="B634" s="1" t="n">
        <v>108</v>
      </c>
      <c r="D634" s="1" t="n">
        <v>290552</v>
      </c>
      <c r="E634" s="1" t="n">
        <v>0.070041</v>
      </c>
      <c r="G634" s="1" t="n">
        <v>0.01415062</v>
      </c>
      <c r="H634" s="1" t="n">
        <v>0.01349473</v>
      </c>
      <c r="I634" s="1" t="n">
        <v>0.009528399</v>
      </c>
      <c r="J634" s="1" t="n">
        <v>0.007452726</v>
      </c>
      <c r="K634" s="1" t="n">
        <v>0.006283998</v>
      </c>
      <c r="L634" s="1" t="n">
        <v>0.006785631</v>
      </c>
      <c r="M634" s="1" t="n">
        <v>0.006346464</v>
      </c>
      <c r="N634" s="1" t="n">
        <v>0.006251812</v>
      </c>
      <c r="O634" s="1" t="n">
        <v>0.006231546</v>
      </c>
      <c r="P634" s="1" t="n">
        <v>0.006440878</v>
      </c>
      <c r="R634" s="1" t="n">
        <f aca="false">PERCENTILE(G634:P634,0.9)</f>
        <v>0.013560319</v>
      </c>
      <c r="S634" s="5" t="n">
        <f aca="false">spmv_1!R$18/R634</f>
        <v>5.71806082143053</v>
      </c>
      <c r="T634" s="6" t="n">
        <f aca="false">S634/128</f>
        <v>0.044672350167426</v>
      </c>
    </row>
    <row r="635" customFormat="false" ht="15" hidden="false" customHeight="false" outlineLevel="0" collapsed="false">
      <c r="A635" s="1" t="s">
        <v>19</v>
      </c>
      <c r="B635" s="1" t="n">
        <v>109</v>
      </c>
      <c r="D635" s="1" t="n">
        <v>286615</v>
      </c>
      <c r="E635" s="1" t="n">
        <v>0.069497</v>
      </c>
      <c r="G635" s="1" t="n">
        <v>0.014065742</v>
      </c>
      <c r="H635" s="1" t="n">
        <v>0.013452291</v>
      </c>
      <c r="I635" s="1" t="n">
        <v>0.009534359</v>
      </c>
      <c r="J635" s="1" t="n">
        <v>0.007403135</v>
      </c>
      <c r="K635" s="1" t="n">
        <v>0.006232023</v>
      </c>
      <c r="L635" s="1" t="n">
        <v>0.006703854</v>
      </c>
      <c r="M635" s="1" t="n">
        <v>0.006309509</v>
      </c>
      <c r="N635" s="1" t="n">
        <v>0.00621438</v>
      </c>
      <c r="O635" s="1" t="n">
        <v>0.006168842</v>
      </c>
      <c r="P635" s="1" t="n">
        <v>0.006398439</v>
      </c>
      <c r="R635" s="1" t="n">
        <f aca="false">PERCENTILE(G635:P635,0.9)</f>
        <v>0.0135136361</v>
      </c>
      <c r="S635" s="5" t="n">
        <f aca="false">spmv_1!R$18/R635</f>
        <v>5.73781388119516</v>
      </c>
      <c r="T635" s="6" t="n">
        <f aca="false">S635/128</f>
        <v>0.0448266709468372</v>
      </c>
    </row>
    <row r="636" customFormat="false" ht="15" hidden="false" customHeight="false" outlineLevel="0" collapsed="false">
      <c r="A636" s="1" t="s">
        <v>19</v>
      </c>
      <c r="B636" s="1" t="n">
        <v>110</v>
      </c>
      <c r="D636" s="1" t="n">
        <v>285064</v>
      </c>
      <c r="E636" s="1" t="n">
        <v>0.070302</v>
      </c>
      <c r="G636" s="1" t="n">
        <v>0.014018059</v>
      </c>
      <c r="H636" s="1" t="n">
        <v>0.013314962</v>
      </c>
      <c r="I636" s="1" t="n">
        <v>0.009305716</v>
      </c>
      <c r="J636" s="1" t="n">
        <v>0.00720644</v>
      </c>
      <c r="K636" s="1" t="n">
        <v>0.006101847</v>
      </c>
      <c r="L636" s="1" t="n">
        <v>0.006645918</v>
      </c>
      <c r="M636" s="1" t="n">
        <v>0.006117105</v>
      </c>
      <c r="N636" s="1" t="n">
        <v>0.006085157</v>
      </c>
      <c r="O636" s="1" t="n">
        <v>0.006091833</v>
      </c>
      <c r="P636" s="1" t="n">
        <v>0.006209373</v>
      </c>
      <c r="R636" s="1" t="n">
        <f aca="false">PERCENTILE(G636:P636,0.9)</f>
        <v>0.0133852717</v>
      </c>
      <c r="S636" s="5" t="n">
        <f aca="false">spmv_1!R$18/R636</f>
        <v>5.79283936388082</v>
      </c>
      <c r="T636" s="6" t="n">
        <f aca="false">S636/128</f>
        <v>0.0452565575303189</v>
      </c>
    </row>
    <row r="637" customFormat="false" ht="15" hidden="false" customHeight="false" outlineLevel="0" collapsed="false">
      <c r="A637" s="1" t="s">
        <v>19</v>
      </c>
      <c r="B637" s="1" t="n">
        <v>111</v>
      </c>
      <c r="D637" s="1" t="n">
        <v>296951</v>
      </c>
      <c r="E637" s="1" t="n">
        <v>0.072581</v>
      </c>
      <c r="G637" s="1" t="n">
        <v>0.013612032</v>
      </c>
      <c r="H637" s="1" t="n">
        <v>0.013375282</v>
      </c>
      <c r="I637" s="1" t="n">
        <v>0.009560108</v>
      </c>
      <c r="J637" s="1" t="n">
        <v>0.007436991</v>
      </c>
      <c r="K637" s="1" t="n">
        <v>0.006204367</v>
      </c>
      <c r="L637" s="1" t="n">
        <v>0.006584406</v>
      </c>
      <c r="M637" s="1" t="n">
        <v>0.006298304</v>
      </c>
      <c r="N637" s="1" t="n">
        <v>0.006188631</v>
      </c>
      <c r="O637" s="1" t="n">
        <v>0.006179333</v>
      </c>
      <c r="P637" s="1" t="n">
        <v>0.006386995</v>
      </c>
      <c r="R637" s="1" t="n">
        <f aca="false">PERCENTILE(G637:P637,0.9)</f>
        <v>0.013398957</v>
      </c>
      <c r="S637" s="5" t="n">
        <f aca="false">spmv_1!R$18/R637</f>
        <v>5.78692272838849</v>
      </c>
      <c r="T637" s="6" t="n">
        <f aca="false">S637/128</f>
        <v>0.0452103338155351</v>
      </c>
    </row>
    <row r="638" customFormat="false" ht="15" hidden="false" customHeight="false" outlineLevel="0" collapsed="false">
      <c r="A638" s="1" t="s">
        <v>19</v>
      </c>
      <c r="B638" s="1" t="n">
        <v>112</v>
      </c>
      <c r="D638" s="1" t="n">
        <v>290515</v>
      </c>
      <c r="E638" s="1" t="n">
        <v>0.069427</v>
      </c>
      <c r="G638" s="1" t="n">
        <v>0.01362896</v>
      </c>
      <c r="H638" s="1" t="n">
        <v>0.013058662</v>
      </c>
      <c r="I638" s="1" t="n">
        <v>0.009056568</v>
      </c>
      <c r="J638" s="1" t="n">
        <v>0.0074296</v>
      </c>
      <c r="K638" s="1" t="n">
        <v>0.006780386</v>
      </c>
      <c r="L638" s="1" t="n">
        <v>0.007009983</v>
      </c>
      <c r="M638" s="1" t="n">
        <v>0.006850481</v>
      </c>
      <c r="N638" s="1" t="n">
        <v>0.00666213</v>
      </c>
      <c r="O638" s="1" t="n">
        <v>0.006636858</v>
      </c>
      <c r="P638" s="1" t="n">
        <v>0.006575584</v>
      </c>
      <c r="R638" s="1" t="n">
        <f aca="false">PERCENTILE(G638:P638,0.9)</f>
        <v>0.0131156918</v>
      </c>
      <c r="S638" s="5" t="n">
        <f aca="false">spmv_1!R$18/R638</f>
        <v>5.91190537124393</v>
      </c>
      <c r="T638" s="6" t="n">
        <f aca="false">S638/128</f>
        <v>0.0461867607128432</v>
      </c>
    </row>
    <row r="639" customFormat="false" ht="15" hidden="false" customHeight="false" outlineLevel="0" collapsed="false">
      <c r="A639" s="1" t="s">
        <v>19</v>
      </c>
      <c r="B639" s="1" t="n">
        <v>113</v>
      </c>
      <c r="D639" s="1" t="n">
        <v>286209</v>
      </c>
      <c r="E639" s="1" t="n">
        <v>0.067121</v>
      </c>
      <c r="G639" s="1" t="n">
        <v>0.013709307</v>
      </c>
      <c r="H639" s="1" t="n">
        <v>0.013256788</v>
      </c>
      <c r="I639" s="1" t="n">
        <v>0.009209394</v>
      </c>
      <c r="J639" s="1" t="n">
        <v>0.00763011</v>
      </c>
      <c r="K639" s="1" t="n">
        <v>0.007003307</v>
      </c>
      <c r="L639" s="1" t="n">
        <v>0.007024527</v>
      </c>
      <c r="M639" s="1" t="n">
        <v>0.007021427</v>
      </c>
      <c r="N639" s="1" t="n">
        <v>0.006837368</v>
      </c>
      <c r="O639" s="1" t="n">
        <v>0.006774902</v>
      </c>
      <c r="P639" s="1" t="n">
        <v>0.00681448</v>
      </c>
      <c r="R639" s="1" t="n">
        <f aca="false">PERCENTILE(G639:P639,0.9)</f>
        <v>0.0133020399</v>
      </c>
      <c r="S639" s="5" t="n">
        <f aca="false">spmv_1!R$18/R639</f>
        <v>5.82908556754517</v>
      </c>
      <c r="T639" s="6" t="n">
        <f aca="false">S639/128</f>
        <v>0.0455397309964466</v>
      </c>
    </row>
    <row r="640" customFormat="false" ht="15" hidden="false" customHeight="false" outlineLevel="0" collapsed="false">
      <c r="A640" s="1" t="s">
        <v>19</v>
      </c>
      <c r="B640" s="1" t="n">
        <v>114</v>
      </c>
      <c r="D640" s="1" t="n">
        <v>285112</v>
      </c>
      <c r="E640" s="1" t="n">
        <v>0.065665</v>
      </c>
      <c r="G640" s="1" t="n">
        <v>0.013618946</v>
      </c>
      <c r="H640" s="1" t="n">
        <v>0.01334548</v>
      </c>
      <c r="I640" s="1" t="n">
        <v>0.009334803</v>
      </c>
      <c r="J640" s="1" t="n">
        <v>0.007848263</v>
      </c>
      <c r="K640" s="1" t="n">
        <v>0.007191896</v>
      </c>
      <c r="L640" s="1" t="n">
        <v>0.007153511</v>
      </c>
      <c r="M640" s="1" t="n">
        <v>0.007166147</v>
      </c>
      <c r="N640" s="1" t="n">
        <v>0.007059813</v>
      </c>
      <c r="O640" s="1" t="n">
        <v>0.006971121</v>
      </c>
      <c r="P640" s="1" t="n">
        <v>0.007148266</v>
      </c>
      <c r="R640" s="1" t="n">
        <f aca="false">PERCENTILE(G640:P640,0.9)</f>
        <v>0.0133728266</v>
      </c>
      <c r="S640" s="5" t="n">
        <f aca="false">spmv_1!R$18/R640</f>
        <v>5.79823033075147</v>
      </c>
      <c r="T640" s="6" t="n">
        <f aca="false">S640/128</f>
        <v>0.0452986744589958</v>
      </c>
    </row>
    <row r="641" customFormat="false" ht="15" hidden="false" customHeight="false" outlineLevel="0" collapsed="false">
      <c r="A641" s="1" t="s">
        <v>19</v>
      </c>
      <c r="B641" s="1" t="n">
        <v>115</v>
      </c>
      <c r="D641" s="1" t="n">
        <v>296957</v>
      </c>
      <c r="E641" s="1" t="n">
        <v>0.068563</v>
      </c>
      <c r="G641" s="1" t="n">
        <v>0.01362896</v>
      </c>
      <c r="H641" s="1" t="n">
        <v>0.013344049</v>
      </c>
      <c r="I641" s="1" t="n">
        <v>0.009311676</v>
      </c>
      <c r="J641" s="1" t="n">
        <v>0.007848978</v>
      </c>
      <c r="K641" s="1" t="n">
        <v>0.007190466</v>
      </c>
      <c r="L641" s="1" t="n">
        <v>0.007143736</v>
      </c>
      <c r="M641" s="1" t="n">
        <v>0.0071733</v>
      </c>
      <c r="N641" s="1" t="n">
        <v>0.007011414</v>
      </c>
      <c r="O641" s="1" t="n">
        <v>0.006968975</v>
      </c>
      <c r="P641" s="1" t="n">
        <v>0.007001877</v>
      </c>
      <c r="R641" s="1" t="n">
        <f aca="false">PERCENTILE(G641:P641,0.9)</f>
        <v>0.0133725401</v>
      </c>
      <c r="S641" s="5" t="n">
        <f aca="false">spmv_1!R$18/R641</f>
        <v>5.79835455494353</v>
      </c>
      <c r="T641" s="6" t="n">
        <f aca="false">S641/128</f>
        <v>0.0452996449604963</v>
      </c>
    </row>
    <row r="642" customFormat="false" ht="15" hidden="false" customHeight="false" outlineLevel="0" collapsed="false">
      <c r="A642" s="1" t="s">
        <v>19</v>
      </c>
      <c r="B642" s="1" t="n">
        <v>116</v>
      </c>
      <c r="D642" s="1" t="n">
        <v>290248</v>
      </c>
      <c r="E642" s="1" t="n">
        <v>0.069917</v>
      </c>
      <c r="G642" s="1" t="n">
        <v>0.013350487</v>
      </c>
      <c r="H642" s="1" t="n">
        <v>0.013036966</v>
      </c>
      <c r="I642" s="1" t="n">
        <v>0.008978605</v>
      </c>
      <c r="J642" s="1" t="n">
        <v>0.007400036</v>
      </c>
      <c r="K642" s="1" t="n">
        <v>0.006731033</v>
      </c>
      <c r="L642" s="1" t="n">
        <v>0.006901741</v>
      </c>
      <c r="M642" s="1" t="n">
        <v>0.006828785</v>
      </c>
      <c r="N642" s="1" t="n">
        <v>0.006675005</v>
      </c>
      <c r="O642" s="1" t="n">
        <v>0.0065732</v>
      </c>
      <c r="P642" s="1" t="n">
        <v>0.006550789</v>
      </c>
      <c r="R642" s="1" t="n">
        <f aca="false">PERCENTILE(G642:P642,0.9)</f>
        <v>0.0130683181</v>
      </c>
      <c r="S642" s="5" t="n">
        <f aca="false">spmv_1!R$18/R642</f>
        <v>5.93333650181044</v>
      </c>
      <c r="T642" s="6" t="n">
        <f aca="false">S642/128</f>
        <v>0.046354191420394</v>
      </c>
    </row>
    <row r="643" customFormat="false" ht="15" hidden="false" customHeight="false" outlineLevel="0" collapsed="false">
      <c r="A643" s="1" t="s">
        <v>19</v>
      </c>
      <c r="B643" s="1" t="n">
        <v>117</v>
      </c>
      <c r="D643" s="1" t="n">
        <v>286767</v>
      </c>
      <c r="E643" s="1" t="n">
        <v>0.066333</v>
      </c>
      <c r="G643" s="1" t="n">
        <v>0.013432503</v>
      </c>
      <c r="H643" s="1" t="n">
        <v>0.013367414</v>
      </c>
      <c r="I643" s="1" t="n">
        <v>0.009348869</v>
      </c>
      <c r="J643" s="1" t="n">
        <v>0.00785017</v>
      </c>
      <c r="K643" s="1" t="n">
        <v>0.00717783</v>
      </c>
      <c r="L643" s="1" t="n">
        <v>0.007106304</v>
      </c>
      <c r="M643" s="1" t="n">
        <v>0.007173777</v>
      </c>
      <c r="N643" s="1" t="n">
        <v>0.006991625</v>
      </c>
      <c r="O643" s="1" t="n">
        <v>0.006949186</v>
      </c>
      <c r="P643" s="1" t="n">
        <v>0.007065773</v>
      </c>
      <c r="R643" s="1" t="n">
        <f aca="false">PERCENTILE(G643:P643,0.9)</f>
        <v>0.0133739229</v>
      </c>
      <c r="S643" s="5" t="n">
        <f aca="false">spmv_1!R$18/R643</f>
        <v>5.79775503266884</v>
      </c>
      <c r="T643" s="6" t="n">
        <f aca="false">S643/128</f>
        <v>0.0452949611927253</v>
      </c>
    </row>
    <row r="644" customFormat="false" ht="15" hidden="false" customHeight="false" outlineLevel="0" collapsed="false">
      <c r="A644" s="1" t="s">
        <v>19</v>
      </c>
      <c r="B644" s="1" t="n">
        <v>118</v>
      </c>
      <c r="D644" s="1" t="n">
        <v>285250</v>
      </c>
      <c r="E644" s="1" t="n">
        <v>0.066627</v>
      </c>
      <c r="G644" s="1" t="n">
        <v>0.013241529</v>
      </c>
      <c r="H644" s="1" t="n">
        <v>0.013294935</v>
      </c>
      <c r="I644" s="1" t="n">
        <v>0.009238243</v>
      </c>
      <c r="J644" s="1" t="n">
        <v>0.00778532</v>
      </c>
      <c r="K644" s="1" t="n">
        <v>0.007115126</v>
      </c>
      <c r="L644" s="1" t="n">
        <v>0.007085323</v>
      </c>
      <c r="M644" s="1" t="n">
        <v>0.007102489</v>
      </c>
      <c r="N644" s="1" t="n">
        <v>0.006918907</v>
      </c>
      <c r="O644" s="1" t="n">
        <v>0.006906033</v>
      </c>
      <c r="P644" s="1" t="n">
        <v>0.006938219</v>
      </c>
      <c r="R644" s="1" t="n">
        <f aca="false">PERCENTILE(G644:P644,0.9)</f>
        <v>0.0132468696</v>
      </c>
      <c r="S644" s="5" t="n">
        <f aca="false">spmv_1!R$18/R644</f>
        <v>5.85336242760327</v>
      </c>
      <c r="T644" s="6" t="n">
        <f aca="false">S644/128</f>
        <v>0.0457293939656506</v>
      </c>
    </row>
    <row r="645" customFormat="false" ht="15" hidden="false" customHeight="false" outlineLevel="0" collapsed="false">
      <c r="A645" s="1" t="s">
        <v>19</v>
      </c>
      <c r="B645" s="1" t="n">
        <v>119</v>
      </c>
      <c r="D645" s="1" t="n">
        <v>296756</v>
      </c>
      <c r="E645" s="1" t="n">
        <v>0.06975</v>
      </c>
      <c r="G645" s="1" t="n">
        <v>0.013173342</v>
      </c>
      <c r="H645" s="1" t="n">
        <v>0.013254166</v>
      </c>
      <c r="I645" s="1" t="n">
        <v>0.009174347</v>
      </c>
      <c r="J645" s="1" t="n">
        <v>0.007720709</v>
      </c>
      <c r="K645" s="1" t="n">
        <v>0.007080793</v>
      </c>
      <c r="L645" s="1" t="n">
        <v>0.00701046</v>
      </c>
      <c r="M645" s="1" t="n">
        <v>0.007057905</v>
      </c>
      <c r="N645" s="1" t="n">
        <v>0.006894827</v>
      </c>
      <c r="O645" s="1" t="n">
        <v>0.006841421</v>
      </c>
      <c r="P645" s="1" t="n">
        <v>0.006883383</v>
      </c>
      <c r="R645" s="1" t="n">
        <f aca="false">PERCENTILE(G645:P645,0.9)</f>
        <v>0.0131814244</v>
      </c>
      <c r="S645" s="5" t="n">
        <f aca="false">spmv_1!R$18/R645</f>
        <v>5.88242411798834</v>
      </c>
      <c r="T645" s="6" t="n">
        <f aca="false">S645/128</f>
        <v>0.0459564384217839</v>
      </c>
    </row>
    <row r="646" customFormat="false" ht="15" hidden="false" customHeight="false" outlineLevel="0" collapsed="false">
      <c r="A646" s="1" t="s">
        <v>19</v>
      </c>
      <c r="B646" s="1" t="n">
        <v>120</v>
      </c>
      <c r="D646" s="1" t="n">
        <v>290199</v>
      </c>
      <c r="E646" s="1" t="n">
        <v>0.068605</v>
      </c>
      <c r="G646" s="1" t="n">
        <v>0.012866735</v>
      </c>
      <c r="H646" s="1" t="n">
        <v>0.013182878</v>
      </c>
      <c r="I646" s="1" t="n">
        <v>0.009157181</v>
      </c>
      <c r="J646" s="1" t="n">
        <v>0.007715702</v>
      </c>
      <c r="K646" s="1" t="n">
        <v>0.007076502</v>
      </c>
      <c r="L646" s="1" t="n">
        <v>0.007004023</v>
      </c>
      <c r="M646" s="1" t="n">
        <v>0.007042885</v>
      </c>
      <c r="N646" s="1" t="n">
        <v>0.006838083</v>
      </c>
      <c r="O646" s="1" t="n">
        <v>0.006841898</v>
      </c>
      <c r="P646" s="1" t="n">
        <v>0.006874323</v>
      </c>
      <c r="R646" s="1" t="n">
        <f aca="false">PERCENTILE(G646:P646,0.9)</f>
        <v>0.0128983493</v>
      </c>
      <c r="S646" s="5" t="n">
        <f aca="false">spmv_1!R$18/R646</f>
        <v>6.01152341253466</v>
      </c>
      <c r="T646" s="6" t="n">
        <f aca="false">S646/128</f>
        <v>0.046965026660427</v>
      </c>
    </row>
    <row r="647" customFormat="false" ht="15" hidden="false" customHeight="false" outlineLevel="0" collapsed="false">
      <c r="A647" s="1" t="s">
        <v>19</v>
      </c>
      <c r="B647" s="1" t="n">
        <v>121</v>
      </c>
      <c r="D647" s="1" t="n">
        <v>287072</v>
      </c>
      <c r="E647" s="1" t="n">
        <v>0.068871</v>
      </c>
      <c r="G647" s="1" t="n">
        <v>0.012853384</v>
      </c>
      <c r="H647" s="1" t="n">
        <v>0.013047457</v>
      </c>
      <c r="I647" s="1" t="n">
        <v>0.009047985</v>
      </c>
      <c r="J647" s="1" t="n">
        <v>0.007570982</v>
      </c>
      <c r="K647" s="1" t="n">
        <v>0.00688982</v>
      </c>
      <c r="L647" s="1" t="n">
        <v>0.006884813</v>
      </c>
      <c r="M647" s="1" t="n">
        <v>0.006920815</v>
      </c>
      <c r="N647" s="1" t="n">
        <v>0.006722927</v>
      </c>
      <c r="O647" s="1" t="n">
        <v>0.006705999</v>
      </c>
      <c r="P647" s="1" t="n">
        <v>0.006720543</v>
      </c>
      <c r="R647" s="1" t="n">
        <f aca="false">PERCENTILE(G647:P647,0.9)</f>
        <v>0.0128727913</v>
      </c>
      <c r="S647" s="5" t="n">
        <f aca="false">spmv_1!R$18/R647</f>
        <v>6.02345885930738</v>
      </c>
      <c r="T647" s="6" t="n">
        <f aca="false">S647/128</f>
        <v>0.0470582723383389</v>
      </c>
    </row>
    <row r="648" customFormat="false" ht="15" hidden="false" customHeight="false" outlineLevel="0" collapsed="false">
      <c r="A648" s="1" t="s">
        <v>19</v>
      </c>
      <c r="B648" s="1" t="n">
        <v>122</v>
      </c>
      <c r="D648" s="1" t="n">
        <v>284843</v>
      </c>
      <c r="E648" s="1" t="n">
        <v>0.069201</v>
      </c>
      <c r="G648" s="1" t="n">
        <v>0.012672901</v>
      </c>
      <c r="H648" s="1" t="n">
        <v>0.012973309</v>
      </c>
      <c r="I648" s="1" t="n">
        <v>0.009037495</v>
      </c>
      <c r="J648" s="1" t="n">
        <v>0.00744915</v>
      </c>
      <c r="K648" s="1" t="n">
        <v>0.006792545</v>
      </c>
      <c r="L648" s="1" t="n">
        <v>0.006815434</v>
      </c>
      <c r="M648" s="1" t="n">
        <v>0.006798267</v>
      </c>
      <c r="N648" s="1" t="n">
        <v>0.006588936</v>
      </c>
      <c r="O648" s="1" t="n">
        <v>0.006574154</v>
      </c>
      <c r="P648" s="1" t="n">
        <v>0.006621122</v>
      </c>
      <c r="R648" s="1" t="n">
        <f aca="false">PERCENTILE(G648:P648,0.9)</f>
        <v>0.0127029418</v>
      </c>
      <c r="S648" s="5" t="n">
        <f aca="false">spmv_1!R$18/R648</f>
        <v>6.10399779994269</v>
      </c>
      <c r="T648" s="6" t="n">
        <f aca="false">S648/128</f>
        <v>0.0476874828120522</v>
      </c>
    </row>
    <row r="649" customFormat="false" ht="15" hidden="false" customHeight="false" outlineLevel="0" collapsed="false">
      <c r="A649" s="1" t="s">
        <v>19</v>
      </c>
      <c r="B649" s="1" t="n">
        <v>123</v>
      </c>
      <c r="D649" s="1" t="n">
        <v>297197</v>
      </c>
      <c r="E649" s="1" t="n">
        <v>0.071929</v>
      </c>
      <c r="G649" s="1" t="n">
        <v>0.01252532</v>
      </c>
      <c r="H649" s="1" t="n">
        <v>0.012930632</v>
      </c>
      <c r="I649" s="1" t="n">
        <v>0.009068727</v>
      </c>
      <c r="J649" s="1" t="n">
        <v>0.00753808</v>
      </c>
      <c r="K649" s="1" t="n">
        <v>0.006855488</v>
      </c>
      <c r="L649" s="1" t="n">
        <v>0.006828785</v>
      </c>
      <c r="M649" s="1" t="n">
        <v>0.006872892</v>
      </c>
      <c r="N649" s="1" t="n">
        <v>0.006687403</v>
      </c>
      <c r="O649" s="1" t="n">
        <v>0.006673574</v>
      </c>
      <c r="P649" s="1" t="n">
        <v>0.006655693</v>
      </c>
      <c r="R649" s="1" t="n">
        <f aca="false">PERCENTILE(G649:P649,0.9)</f>
        <v>0.0125658512</v>
      </c>
      <c r="S649" s="5" t="n">
        <f aca="false">spmv_1!R$18/R649</f>
        <v>6.17059103803489</v>
      </c>
      <c r="T649" s="6" t="n">
        <f aca="false">S649/128</f>
        <v>0.0482077424846476</v>
      </c>
    </row>
    <row r="650" customFormat="false" ht="15" hidden="false" customHeight="false" outlineLevel="0" collapsed="false">
      <c r="A650" s="1" t="s">
        <v>19</v>
      </c>
      <c r="B650" s="1" t="n">
        <v>124</v>
      </c>
      <c r="D650" s="1" t="n">
        <v>290308</v>
      </c>
      <c r="E650" s="1" t="n">
        <v>0.069625</v>
      </c>
      <c r="G650" s="1" t="n">
        <v>0.012454033</v>
      </c>
      <c r="H650" s="1" t="n">
        <v>0.012830257</v>
      </c>
      <c r="I650" s="1" t="n">
        <v>0.009171963</v>
      </c>
      <c r="J650" s="1" t="n">
        <v>0.007650137</v>
      </c>
      <c r="K650" s="1" t="n">
        <v>0.006976604</v>
      </c>
      <c r="L650" s="1" t="n">
        <v>0.006962061</v>
      </c>
      <c r="M650" s="1" t="n">
        <v>0.006967068</v>
      </c>
      <c r="N650" s="1" t="n">
        <v>0.006758451</v>
      </c>
      <c r="O650" s="1" t="n">
        <v>0.006792545</v>
      </c>
      <c r="P650" s="1" t="n">
        <v>0.006829023</v>
      </c>
      <c r="R650" s="1" t="n">
        <f aca="false">PERCENTILE(G650:P650,0.9)</f>
        <v>0.0124916554</v>
      </c>
      <c r="S650" s="5" t="n">
        <f aca="false">spmv_1!R$18/R650</f>
        <v>6.20724206016762</v>
      </c>
      <c r="T650" s="6" t="n">
        <f aca="false">S650/128</f>
        <v>0.0484940785950595</v>
      </c>
    </row>
    <row r="651" customFormat="false" ht="15" hidden="false" customHeight="false" outlineLevel="0" collapsed="false">
      <c r="A651" s="1" t="s">
        <v>19</v>
      </c>
      <c r="B651" s="1" t="n">
        <v>125</v>
      </c>
      <c r="D651" s="1" t="n">
        <v>286855</v>
      </c>
      <c r="E651" s="1" t="n">
        <v>0.069485</v>
      </c>
      <c r="G651" s="1" t="n">
        <v>0.01237011</v>
      </c>
      <c r="H651" s="1" t="n">
        <v>0.012718439</v>
      </c>
      <c r="I651" s="1" t="n">
        <v>0.0091362</v>
      </c>
      <c r="J651" s="1" t="n">
        <v>0.007650614</v>
      </c>
      <c r="K651" s="1" t="n">
        <v>0.006898165</v>
      </c>
      <c r="L651" s="1" t="n">
        <v>0.006836653</v>
      </c>
      <c r="M651" s="1" t="n">
        <v>0.006870985</v>
      </c>
      <c r="N651" s="1" t="n">
        <v>0.00667572</v>
      </c>
      <c r="O651" s="1" t="n">
        <v>0.006672144</v>
      </c>
      <c r="P651" s="1" t="n">
        <v>0.006737471</v>
      </c>
      <c r="R651" s="1" t="n">
        <f aca="false">PERCENTILE(G651:P651,0.9)</f>
        <v>0.0124049429</v>
      </c>
      <c r="S651" s="5" t="n">
        <f aca="false">spmv_1!R$18/R651</f>
        <v>6.25063165748228</v>
      </c>
      <c r="T651" s="6" t="n">
        <f aca="false">S651/128</f>
        <v>0.0488330598240803</v>
      </c>
    </row>
    <row r="652" customFormat="false" ht="15" hidden="false" customHeight="false" outlineLevel="0" collapsed="false">
      <c r="A652" s="1" t="s">
        <v>19</v>
      </c>
      <c r="B652" s="1" t="n">
        <v>126</v>
      </c>
      <c r="D652" s="1" t="n">
        <v>285657</v>
      </c>
      <c r="E652" s="1" t="n">
        <v>0.070848</v>
      </c>
      <c r="G652" s="1" t="n">
        <v>0.011818647</v>
      </c>
      <c r="H652" s="1" t="n">
        <v>0.012626886</v>
      </c>
      <c r="I652" s="1" t="n">
        <v>0.008942366</v>
      </c>
      <c r="J652" s="1" t="n">
        <v>0.007399559</v>
      </c>
      <c r="K652" s="1" t="n">
        <v>0.00673008</v>
      </c>
      <c r="L652" s="1" t="n">
        <v>0.006733418</v>
      </c>
      <c r="M652" s="1" t="n">
        <v>0.006762028</v>
      </c>
      <c r="N652" s="1" t="n">
        <v>0.00652957</v>
      </c>
      <c r="O652" s="1" t="n">
        <v>0.006508589</v>
      </c>
      <c r="P652" s="1" t="n">
        <v>0.006588697</v>
      </c>
      <c r="R652" s="1" t="n">
        <f aca="false">PERCENTILE(G652:P652,0.9)</f>
        <v>0.0118994709</v>
      </c>
      <c r="S652" s="5" t="n">
        <f aca="false">spmv_1!R$18/R652</f>
        <v>6.5161492852594</v>
      </c>
      <c r="T652" s="6" t="n">
        <f aca="false">S652/128</f>
        <v>0.050907416291089</v>
      </c>
    </row>
    <row r="653" customFormat="false" ht="15" hidden="false" customHeight="false" outlineLevel="0" collapsed="false">
      <c r="A653" s="1" t="s">
        <v>19</v>
      </c>
      <c r="B653" s="1" t="n">
        <v>127</v>
      </c>
      <c r="D653" s="1" t="n">
        <v>297697</v>
      </c>
      <c r="E653" s="1" t="n">
        <v>0.07376</v>
      </c>
      <c r="G653" s="1" t="n">
        <v>0.011719704</v>
      </c>
      <c r="H653" s="1" t="n">
        <v>0.012557268</v>
      </c>
      <c r="I653" s="1" t="n">
        <v>0.00890398</v>
      </c>
      <c r="J653" s="1" t="n">
        <v>0.007467031</v>
      </c>
      <c r="K653" s="1" t="n">
        <v>0.006774187</v>
      </c>
      <c r="L653" s="1" t="n">
        <v>0.006714582</v>
      </c>
      <c r="M653" s="1" t="n">
        <v>0.006780386</v>
      </c>
      <c r="N653" s="1" t="n">
        <v>0.00663352</v>
      </c>
      <c r="O653" s="1" t="n">
        <v>0.006575823</v>
      </c>
      <c r="P653" s="1" t="n">
        <v>0.006593466</v>
      </c>
      <c r="R653" s="1" t="n">
        <f aca="false">PERCENTILE(G653:P653,0.9)</f>
        <v>0.0118034604</v>
      </c>
      <c r="S653" s="5" t="n">
        <f aca="false">spmv_1!R$18/R653</f>
        <v>6.56915228012287</v>
      </c>
      <c r="T653" s="6" t="n">
        <f aca="false">S653/128</f>
        <v>0.0513215021884599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77"/>
  <sheetViews>
    <sheetView showFormulas="false" showGridLines="true" showRowColHeaders="true" showZeros="true" rightToLeft="false" tabSelected="true" showOutlineSymbols="true" defaultGridColor="true" view="normal" topLeftCell="K25" colorId="64" zoomScale="100" zoomScaleNormal="100" zoomScalePageLayoutView="100" workbookViewId="0">
      <selection pane="topLeft" activeCell="M41" activeCellId="0" sqref="M41"/>
    </sheetView>
  </sheetViews>
  <sheetFormatPr defaultColWidth="10.4921875" defaultRowHeight="13.8" customHeight="true" zeroHeight="false" outlineLevelRow="0" outlineLevelCol="0"/>
  <cols>
    <col collapsed="false" customWidth="true" hidden="false" outlineLevel="0" max="2" min="1" style="1" width="14.05"/>
    <col collapsed="false" customWidth="true" hidden="false" outlineLevel="0" max="3" min="3" style="1" width="5.79"/>
    <col collapsed="false" customWidth="true" hidden="false" outlineLevel="0" max="7" min="4" style="1" width="14.05"/>
    <col collapsed="false" customWidth="true" hidden="false" outlineLevel="0" max="8" min="8" style="1" width="5.79"/>
    <col collapsed="false" customWidth="true" hidden="false" outlineLevel="0" max="10" min="9" style="5" width="14.05"/>
    <col collapsed="false" customWidth="true" hidden="false" outlineLevel="0" max="19" min="13" style="1" width="14.05"/>
  </cols>
  <sheetData>
    <row r="1" customFormat="false" ht="13.8" hidden="false" customHeight="false" outlineLevel="0" collapsed="false">
      <c r="A1" s="4" t="s">
        <v>22</v>
      </c>
      <c r="B1" s="4" t="s">
        <v>0</v>
      </c>
      <c r="C1" s="4"/>
      <c r="D1" s="4" t="s">
        <v>23</v>
      </c>
      <c r="E1" s="4" t="s">
        <v>24</v>
      </c>
      <c r="F1" s="4" t="s">
        <v>25</v>
      </c>
      <c r="G1" s="4" t="s">
        <v>26</v>
      </c>
      <c r="H1" s="4"/>
      <c r="I1" s="11" t="s">
        <v>27</v>
      </c>
      <c r="J1" s="11" t="s">
        <v>28</v>
      </c>
      <c r="N1" s="1" t="s">
        <v>29</v>
      </c>
      <c r="O1" s="1" t="s">
        <v>30</v>
      </c>
      <c r="P1" s="1" t="s">
        <v>31</v>
      </c>
      <c r="Q1" s="1" t="s">
        <v>32</v>
      </c>
      <c r="R1" s="1" t="s">
        <v>33</v>
      </c>
      <c r="S1" s="1" t="s">
        <v>34</v>
      </c>
      <c r="T1" s="1" t="s">
        <v>35</v>
      </c>
    </row>
    <row r="2" customFormat="false" ht="13.8" hidden="false" customHeight="false" outlineLevel="0" collapsed="false">
      <c r="A2" s="12" t="n">
        <v>2</v>
      </c>
      <c r="B2" s="1" t="str">
        <f aca="false">spmv_1!A$2</f>
        <v>bmwcra_1.mtx</v>
      </c>
      <c r="D2" s="1" t="n">
        <f aca="false">MAX(spmv_2!$D$2:$D$3)</f>
        <v>5326150</v>
      </c>
      <c r="E2" s="1" t="n">
        <f aca="false">MIN(spmv_2!$D$2:$D$3)</f>
        <v>5317852</v>
      </c>
      <c r="F2" s="1" t="n">
        <f aca="false">AVERAGE(spmv_2!$D$2:$D$3)</f>
        <v>5322001</v>
      </c>
      <c r="G2" s="1" t="n">
        <f aca="false">D2/F2</f>
        <v>1.00077959399106</v>
      </c>
      <c r="I2" s="5" t="n">
        <f aca="false">MAX(spmv_2!$S$2:$S$3)</f>
        <v>2.22443957414495</v>
      </c>
      <c r="J2" s="5" t="n">
        <f aca="false">MIN(spmv_2!$S$2:$S$3)</f>
        <v>2.22060710326182</v>
      </c>
      <c r="N2" s="1" t="n">
        <f aca="false">A2</f>
        <v>2</v>
      </c>
      <c r="O2" s="5" t="n">
        <f aca="false">I2</f>
        <v>2.22443957414495</v>
      </c>
      <c r="P2" s="5" t="n">
        <f aca="false">I3</f>
        <v>2.1878736490374</v>
      </c>
      <c r="Q2" s="5" t="n">
        <f aca="false">I4</f>
        <v>2.13691595839035</v>
      </c>
      <c r="R2" s="5" t="n">
        <f aca="false">I5</f>
        <v>1.89365027361533</v>
      </c>
      <c r="S2" s="1" t="n">
        <f aca="false">I6</f>
        <v>2.84187954717803</v>
      </c>
      <c r="T2" s="1" t="n">
        <v>2</v>
      </c>
    </row>
    <row r="3" customFormat="false" ht="13.8" hidden="false" customHeight="false" outlineLevel="0" collapsed="false">
      <c r="A3" s="12"/>
      <c r="B3" s="1" t="str">
        <f aca="false">spmv_1!A$6</f>
        <v>ML_Geer.mtx</v>
      </c>
      <c r="D3" s="1" t="n">
        <f aca="false">MAX(spmv_2!$D$7:$D$8)</f>
        <v>55439986</v>
      </c>
      <c r="E3" s="1" t="n">
        <f aca="false">MIN(spmv_2!$D$7:$D$8)</f>
        <v>55439986</v>
      </c>
      <c r="F3" s="1" t="n">
        <f aca="false">AVERAGE(spmv_2!$D$7:$D$8)</f>
        <v>55439986</v>
      </c>
      <c r="G3" s="1" t="n">
        <f aca="false">D3/F3</f>
        <v>1</v>
      </c>
      <c r="I3" s="5" t="n">
        <f aca="false">MAX(spmv_2!$S$7:$S$8)</f>
        <v>2.1878736490374</v>
      </c>
      <c r="J3" s="5" t="n">
        <f aca="false">MIN(spmv_2!$S$7:$S$8)</f>
        <v>2.17147566073991</v>
      </c>
      <c r="N3" s="1" t="n">
        <f aca="false">A8</f>
        <v>4</v>
      </c>
      <c r="O3" s="5" t="n">
        <f aca="false">I8</f>
        <v>4.62697222111497</v>
      </c>
      <c r="P3" s="5" t="n">
        <f aca="false">I9</f>
        <v>4.10967742244383</v>
      </c>
      <c r="Q3" s="5" t="n">
        <f aca="false">I10</f>
        <v>4.20002585112758</v>
      </c>
      <c r="R3" s="5" t="n">
        <f aca="false">I11</f>
        <v>3.00667071512143</v>
      </c>
      <c r="S3" s="5" t="n">
        <f aca="false">I12</f>
        <v>5.22114601226045</v>
      </c>
      <c r="T3" s="1" t="n">
        <v>4</v>
      </c>
    </row>
    <row r="4" customFormat="false" ht="13.8" hidden="false" customHeight="false" outlineLevel="0" collapsed="false">
      <c r="A4" s="12"/>
      <c r="B4" s="1" t="str">
        <f aca="false">spmv_1!A$10</f>
        <v>msdoor.mtx</v>
      </c>
      <c r="D4" s="1" t="n">
        <f aca="false">MAX(spmv_2!$D$12:$D$13)</f>
        <v>10126363</v>
      </c>
      <c r="E4" s="1" t="n">
        <f aca="false">MIN(spmv_2!$D$12:$D$13)</f>
        <v>10114572</v>
      </c>
      <c r="F4" s="1" t="n">
        <f aca="false">AVERAGE(spmv_2!$D$12:$D$13)</f>
        <v>10120467.5</v>
      </c>
      <c r="G4" s="1" t="n">
        <f aca="false">D4/F4</f>
        <v>1.00058253237807</v>
      </c>
      <c r="I4" s="5" t="n">
        <f aca="false">MAX(spmv_2!$S$12:$S$13)</f>
        <v>2.13691595839035</v>
      </c>
      <c r="J4" s="5" t="n">
        <f aca="false">MIN(spmv_2!$S$12:$S$13)</f>
        <v>2.1099038674411</v>
      </c>
      <c r="N4" s="1" t="n">
        <v>8</v>
      </c>
      <c r="O4" s="5" t="n">
        <f aca="false">I14</f>
        <v>6.38596332274275</v>
      </c>
      <c r="P4" s="5" t="n">
        <f aca="false">I15</f>
        <v>5.92253241376383</v>
      </c>
      <c r="Q4" s="5" t="n">
        <f aca="false">I16</f>
        <v>4.97027308653408</v>
      </c>
      <c r="R4" s="5" t="n">
        <f aca="false">I17</f>
        <v>3.21704223369461</v>
      </c>
      <c r="S4" s="5" t="n">
        <f aca="false">I18</f>
        <v>7.22124403008274</v>
      </c>
      <c r="T4" s="1" t="n">
        <v>8</v>
      </c>
    </row>
    <row r="5" customFormat="false" ht="13.8" hidden="false" customHeight="false" outlineLevel="0" collapsed="false">
      <c r="A5" s="12"/>
      <c r="B5" s="13" t="str">
        <f aca="false">spmv_1!A$14</f>
        <v>nlpkkt240.mtx</v>
      </c>
      <c r="C5" s="13"/>
      <c r="D5" s="1" t="n">
        <f aca="false">MAX(spmv_2!$D$17:$D$18)</f>
        <v>387236176</v>
      </c>
      <c r="E5" s="1" t="n">
        <f aca="false">MIN(spmv_2!$D$17:$D$18)</f>
        <v>387236176</v>
      </c>
      <c r="F5" s="1" t="n">
        <f aca="false">AVERAGE(spmv_2!$D$17:$D$18)</f>
        <v>387236176</v>
      </c>
      <c r="G5" s="1" t="n">
        <f aca="false">D5/F5</f>
        <v>1</v>
      </c>
      <c r="I5" s="5" t="n">
        <f aca="false">MAX(spmv_2!$S$17:$S$18)</f>
        <v>1.89365027361533</v>
      </c>
      <c r="J5" s="5" t="n">
        <f aca="false">MIN(spmv_2!$S$17:$S$18)</f>
        <v>1.84490504231248</v>
      </c>
      <c r="N5" s="1" t="n">
        <v>16</v>
      </c>
      <c r="O5" s="5" t="n">
        <f aca="false">I20</f>
        <v>11.4102969143128</v>
      </c>
      <c r="P5" s="5" t="n">
        <f aca="false">I21</f>
        <v>10.0532721335726</v>
      </c>
      <c r="Q5" s="5" t="n">
        <f aca="false">I22</f>
        <v>7.11843226390198</v>
      </c>
      <c r="R5" s="5" t="n">
        <f aca="false">I23</f>
        <v>4.56954599475706</v>
      </c>
      <c r="S5" s="5" t="n">
        <f aca="false">I24</f>
        <v>11.8553171961688</v>
      </c>
      <c r="T5" s="1" t="n">
        <v>16</v>
      </c>
    </row>
    <row r="6" customFormat="false" ht="13.8" hidden="false" customHeight="false" outlineLevel="0" collapsed="false">
      <c r="A6" s="12"/>
      <c r="B6" s="1" t="str">
        <f aca="false">spmv_1!A$18</f>
        <v>Pflow_742.mtx</v>
      </c>
      <c r="D6" s="1" t="n">
        <f aca="false">MAX(spmv_2!$D$22:$D$23)</f>
        <v>18698254</v>
      </c>
      <c r="E6" s="1" t="n">
        <f aca="false">MIN(spmv_2!$D$22:$D$23)</f>
        <v>18440207</v>
      </c>
      <c r="F6" s="1" t="n">
        <f aca="false">AVERAGE(spmv_2!$D$22:$D$23)</f>
        <v>18569230.5</v>
      </c>
      <c r="G6" s="1" t="n">
        <f aca="false">D6/F6</f>
        <v>1.00694824160861</v>
      </c>
      <c r="I6" s="5" t="n">
        <f aca="false">MAX(spmv_2!$S$22:$S$23)</f>
        <v>2.84187954717803</v>
      </c>
      <c r="J6" s="5" t="n">
        <f aca="false">MIN(spmv_2!$S$22:$S$23)</f>
        <v>2.75483079792726</v>
      </c>
      <c r="N6" s="1" t="n">
        <v>32</v>
      </c>
      <c r="O6" s="5" t="n">
        <f aca="false">I32</f>
        <v>7.53455590927924</v>
      </c>
      <c r="P6" s="5" t="n">
        <f aca="false">I33</f>
        <v>8.02461752390682</v>
      </c>
      <c r="Q6" s="5" t="n">
        <f aca="false">I34</f>
        <v>6.58372984273629</v>
      </c>
      <c r="R6" s="5" t="n">
        <f aca="false">I35</f>
        <v>2.45173835246441</v>
      </c>
      <c r="S6" s="1" t="n">
        <f aca="false">I36</f>
        <v>6.63496958923842</v>
      </c>
      <c r="T6" s="1" t="n">
        <v>32</v>
      </c>
    </row>
    <row r="7" customFormat="false" ht="13.8" hidden="false" customHeight="true" outlineLevel="0" collapsed="false">
      <c r="N7" s="1" t="n">
        <v>64</v>
      </c>
      <c r="O7" s="5" t="n">
        <f aca="false">I44</f>
        <v>6.66865045631934</v>
      </c>
      <c r="P7" s="5" t="n">
        <f aca="false">I45</f>
        <v>6.68589882988214</v>
      </c>
      <c r="Q7" s="5" t="n">
        <f aca="false">I46</f>
        <v>4.36778793140474</v>
      </c>
      <c r="R7" s="5" t="n">
        <f aca="false">I47</f>
        <v>2.87028865707347</v>
      </c>
      <c r="S7" s="5" t="n">
        <f aca="false">I48</f>
        <v>11.9938256617041</v>
      </c>
      <c r="T7" s="1" t="n">
        <v>64</v>
      </c>
    </row>
    <row r="8" customFormat="false" ht="13.8" hidden="false" customHeight="false" outlineLevel="0" collapsed="false">
      <c r="A8" s="12" t="n">
        <v>4</v>
      </c>
      <c r="B8" s="1" t="str">
        <f aca="false">spmv_1!A$2</f>
        <v>bmwcra_1.mtx</v>
      </c>
      <c r="D8" s="1" t="n">
        <f aca="false">MAX(spmv_4!$D$2:$D$5)</f>
        <v>2663504</v>
      </c>
      <c r="E8" s="1" t="n">
        <f aca="false">MIN(spmv_4!$D$2:$D$5)</f>
        <v>2658799</v>
      </c>
      <c r="F8" s="1" t="n">
        <f aca="false">AVERAGE(spmv_4!$D$2:$D$5)</f>
        <v>2661000.5</v>
      </c>
      <c r="G8" s="1" t="n">
        <f aca="false">D8/F8</f>
        <v>1.00094081154814</v>
      </c>
      <c r="I8" s="5" t="n">
        <f aca="false">MAX(spmv_4!$S$2:$S$5)</f>
        <v>4.62697222111497</v>
      </c>
      <c r="J8" s="5" t="n">
        <f aca="false">MIN(spmv_4!$S$2:$S$5)</f>
        <v>4.25614322754742</v>
      </c>
      <c r="N8" s="1" t="n">
        <v>128</v>
      </c>
      <c r="O8" s="5" t="n">
        <f aca="false">I56</f>
        <v>5.2706343998207</v>
      </c>
      <c r="P8" s="5" t="n">
        <f aca="false">I57</f>
        <v>8.90590202298243</v>
      </c>
      <c r="Q8" s="5" t="n">
        <f aca="false">I58</f>
        <v>3.5860228622631</v>
      </c>
      <c r="R8" s="5" t="n">
        <f aca="false">I59</f>
        <v>3.27592698714147</v>
      </c>
      <c r="S8" s="5" t="n">
        <f aca="false">I60</f>
        <v>5.18745891912083</v>
      </c>
      <c r="T8" s="1" t="n">
        <v>128</v>
      </c>
    </row>
    <row r="9" customFormat="false" ht="13.8" hidden="false" customHeight="false" outlineLevel="0" collapsed="false">
      <c r="A9" s="12"/>
      <c r="B9" s="1" t="str">
        <f aca="false">spmv_1!A$6</f>
        <v>ML_Geer.mtx</v>
      </c>
      <c r="D9" s="1" t="n">
        <f aca="false">MAX(spmv_4!$D$9:$D$12)</f>
        <v>27720684</v>
      </c>
      <c r="E9" s="1" t="n">
        <f aca="false">MIN(spmv_4!$D$9:$D$12)</f>
        <v>27719302</v>
      </c>
      <c r="F9" s="1" t="n">
        <f aca="false">AVERAGE(spmv_4!$D$9:$D$12)</f>
        <v>27719993</v>
      </c>
      <c r="G9" s="1" t="n">
        <f aca="false">D9/F9</f>
        <v>1.00002492785622</v>
      </c>
      <c r="I9" s="5" t="n">
        <f aca="false">MAX(spmv_4!$S$9:$S$12)</f>
        <v>4.10967742244383</v>
      </c>
      <c r="J9" s="5" t="n">
        <f aca="false">MIN(spmv_4!$S$9:$S$12)</f>
        <v>4.04488583668892</v>
      </c>
    </row>
    <row r="10" customFormat="false" ht="13.8" hidden="false" customHeight="false" outlineLevel="0" collapsed="false">
      <c r="A10" s="12"/>
      <c r="B10" s="1" t="str">
        <f aca="false">spmv_1!A$10</f>
        <v>msdoor.mtx</v>
      </c>
      <c r="D10" s="1" t="n">
        <f aca="false">MAX(spmv_4!$D$16:$D$19)</f>
        <v>5063792</v>
      </c>
      <c r="E10" s="1" t="n">
        <f aca="false">MIN(spmv_4!$D$16:$D$19)</f>
        <v>5055857</v>
      </c>
      <c r="F10" s="1" t="n">
        <f aca="false">AVERAGE(spmv_4!$D$16:$D$19)</f>
        <v>5060233.75</v>
      </c>
      <c r="G10" s="1" t="n">
        <f aca="false">D10/F10</f>
        <v>1.00070317897864</v>
      </c>
      <c r="I10" s="5" t="n">
        <f aca="false">MAX(spmv_4!$S$16:$S$19)</f>
        <v>4.20002585112758</v>
      </c>
      <c r="J10" s="5" t="n">
        <f aca="false">MIN(spmv_4!$S$16:$S$19)</f>
        <v>4.05118637715644</v>
      </c>
    </row>
    <row r="11" customFormat="false" ht="13.8" hidden="false" customHeight="false" outlineLevel="0" collapsed="false">
      <c r="A11" s="12"/>
      <c r="B11" s="13" t="str">
        <f aca="false">spmv_1!A$14</f>
        <v>nlpkkt240.mtx</v>
      </c>
      <c r="C11" s="13"/>
      <c r="D11" s="1" t="n">
        <f aca="false">MAX(spmv_4!$D$23:$D$26)</f>
        <v>193620960</v>
      </c>
      <c r="E11" s="1" t="n">
        <f aca="false">MIN(spmv_4!$D$23:$D$26)</f>
        <v>193615216</v>
      </c>
      <c r="F11" s="1" t="n">
        <f aca="false">AVERAGE(spmv_4!$D$23:$D$26)</f>
        <v>193618088</v>
      </c>
      <c r="G11" s="1" t="n">
        <f aca="false">D11/F11</f>
        <v>1.00001483332487</v>
      </c>
      <c r="I11" s="5" t="n">
        <f aca="false">MAX(spmv_4!$S$23:$S$26)</f>
        <v>3.00667071512143</v>
      </c>
      <c r="J11" s="5" t="n">
        <f aca="false">MIN(spmv_4!$S$23:$S$26)</f>
        <v>2.94783881302564</v>
      </c>
    </row>
    <row r="12" customFormat="false" ht="13.8" hidden="false" customHeight="false" outlineLevel="0" collapsed="false">
      <c r="A12" s="12"/>
      <c r="B12" s="1" t="str">
        <f aca="false">spmv_1!A$18</f>
        <v>Pflow_742.mtx</v>
      </c>
      <c r="D12" s="1" t="n">
        <f aca="false">MAX(spmv_4!$D$30:$D$33)</f>
        <v>9513472</v>
      </c>
      <c r="E12" s="1" t="n">
        <f aca="false">MIN(spmv_4!$D$30:$D$33)</f>
        <v>9138104</v>
      </c>
      <c r="F12" s="1" t="n">
        <f aca="false">AVERAGE(spmv_4!$D$30:$D$33)</f>
        <v>9284615.25</v>
      </c>
      <c r="G12" s="1" t="n">
        <f aca="false">D12/F12</f>
        <v>1.02464902894064</v>
      </c>
      <c r="I12" s="5" t="n">
        <f aca="false">MAX(spmv_4!$S$30:$S$33)</f>
        <v>5.22114601226045</v>
      </c>
      <c r="J12" s="5" t="n">
        <f aca="false">MIN(spmv_4!$S$30:$S$33)</f>
        <v>3.14415181803382</v>
      </c>
    </row>
    <row r="14" customFormat="false" ht="13.8" hidden="false" customHeight="false" outlineLevel="0" collapsed="false">
      <c r="A14" s="12" t="n">
        <v>8</v>
      </c>
      <c r="B14" s="1" t="str">
        <f aca="false">spmv_1!A$2</f>
        <v>bmwcra_1.mtx</v>
      </c>
      <c r="D14" s="1" t="n">
        <f aca="false">MAX(spmv_8!$D$2:$D$9)</f>
        <v>1332084</v>
      </c>
      <c r="E14" s="1" t="n">
        <f aca="false">MIN(spmv_8!$D$2:$D$9)</f>
        <v>1329155</v>
      </c>
      <c r="F14" s="1" t="n">
        <f aca="false">AVERAGE(spmv_8!$D$2:$D$9)</f>
        <v>1330500.25</v>
      </c>
      <c r="G14" s="1" t="n">
        <f aca="false">D14/F14</f>
        <v>1.00119034175304</v>
      </c>
      <c r="I14" s="5" t="n">
        <f aca="false">MAX(spmv_8!$S$2:$S$9)</f>
        <v>6.38596332274275</v>
      </c>
      <c r="J14" s="5" t="n">
        <f aca="false">MIN(spmv_8!$S$2:$S$9)</f>
        <v>4.28670189209563</v>
      </c>
    </row>
    <row r="15" customFormat="false" ht="13.8" hidden="false" customHeight="false" outlineLevel="0" collapsed="false">
      <c r="A15" s="12"/>
      <c r="B15" s="1" t="str">
        <f aca="false">spmv_1!A$6</f>
        <v>ML_Geer.mtx</v>
      </c>
      <c r="D15" s="1" t="n">
        <f aca="false">MAX(spmv_8!$D$13:$D$20)</f>
        <v>13862028</v>
      </c>
      <c r="E15" s="1" t="n">
        <f aca="false">MIN(spmv_8!$D$13:$D$20)</f>
        <v>13858656</v>
      </c>
      <c r="F15" s="1" t="n">
        <f aca="false">AVERAGE(spmv_8!$D$13:$D$20)</f>
        <v>13859996.5</v>
      </c>
      <c r="G15" s="1" t="n">
        <f aca="false">D15/F15</f>
        <v>1.00014657290859</v>
      </c>
      <c r="I15" s="5" t="n">
        <f aca="false">MAX(spmv_8!$S$13:$S$20)</f>
        <v>5.92253241376383</v>
      </c>
      <c r="J15" s="5" t="n">
        <f aca="false">MIN(spmv_8!$S$13:$S$20)</f>
        <v>5.45560256771244</v>
      </c>
    </row>
    <row r="16" customFormat="false" ht="13.8" hidden="false" customHeight="false" outlineLevel="0" collapsed="false">
      <c r="A16" s="12"/>
      <c r="B16" s="1" t="str">
        <f aca="false">spmv_1!A$10</f>
        <v>msdoor.mtx</v>
      </c>
      <c r="D16" s="1" t="n">
        <f aca="false">MAX(spmv_8!$D$24:$D$31)</f>
        <v>2540545</v>
      </c>
      <c r="E16" s="1" t="n">
        <f aca="false">MIN(spmv_8!$D$24:$D$31)</f>
        <v>2520034</v>
      </c>
      <c r="F16" s="1" t="n">
        <f aca="false">AVERAGE(spmv_8!$D$24:$D$31)</f>
        <v>2530116.875</v>
      </c>
      <c r="G16" s="1" t="n">
        <f aca="false">D16/F16</f>
        <v>1.00412159813764</v>
      </c>
      <c r="I16" s="5" t="n">
        <f aca="false">MAX(spmv_8!$S$24:$S$31)</f>
        <v>4.97027308653408</v>
      </c>
      <c r="J16" s="5" t="n">
        <f aca="false">MIN(spmv_8!$S$24:$S$31)</f>
        <v>4.62454122036969</v>
      </c>
    </row>
    <row r="17" customFormat="false" ht="13.8" hidden="false" customHeight="false" outlineLevel="0" collapsed="false">
      <c r="A17" s="12"/>
      <c r="B17" s="13" t="str">
        <f aca="false">spmv_1!A$14</f>
        <v>nlpkkt240.mtx</v>
      </c>
      <c r="C17" s="13"/>
      <c r="D17" s="1" t="n">
        <f aca="false">MAX(spmv_8!$D$35:$D$42)</f>
        <v>96810480</v>
      </c>
      <c r="E17" s="1" t="n">
        <f aca="false">MIN(spmv_8!$D$35:$D$42)</f>
        <v>96804736</v>
      </c>
      <c r="F17" s="1" t="n">
        <f aca="false">AVERAGE(spmv_8!$D$35:$D$42)</f>
        <v>96809044</v>
      </c>
      <c r="G17" s="1" t="n">
        <f aca="false">D17/F17</f>
        <v>1.00001483332487</v>
      </c>
      <c r="I17" s="5" t="n">
        <f aca="false">MAX(spmv_8!$S$35:$S$42)</f>
        <v>3.21704223369461</v>
      </c>
      <c r="J17" s="5" t="n">
        <f aca="false">MIN(spmv_8!$S$35:$S$42)</f>
        <v>2.54538589673561</v>
      </c>
    </row>
    <row r="18" customFormat="false" ht="13.8" hidden="false" customHeight="false" outlineLevel="0" collapsed="false">
      <c r="A18" s="12"/>
      <c r="B18" s="1" t="str">
        <f aca="false">spmv_1!A$18</f>
        <v>Pflow_742.mtx</v>
      </c>
      <c r="D18" s="1" t="n">
        <f aca="false">MAX(spmv_8!$D$46:$D$53)</f>
        <v>4757611</v>
      </c>
      <c r="E18" s="1" t="n">
        <f aca="false">MIN(spmv_8!$D$46:$D$53)</f>
        <v>4568376</v>
      </c>
      <c r="F18" s="1" t="n">
        <f aca="false">AVERAGE(spmv_8!$D$46:$D$53)</f>
        <v>4642307.625</v>
      </c>
      <c r="G18" s="1" t="n">
        <f aca="false">D18/F18</f>
        <v>1.02483751278762</v>
      </c>
      <c r="I18" s="5" t="n">
        <f aca="false">MAX(spmv_8!$S$46:$S$53)</f>
        <v>7.22124403008274</v>
      </c>
      <c r="J18" s="5" t="n">
        <f aca="false">MIN(spmv_8!$S$46:$S$53)</f>
        <v>6.45580796285763</v>
      </c>
    </row>
    <row r="20" customFormat="false" ht="13.8" hidden="false" customHeight="false" outlineLevel="0" collapsed="false">
      <c r="A20" s="12" t="s">
        <v>36</v>
      </c>
      <c r="B20" s="1" t="str">
        <f aca="false">spmv_1!A$2</f>
        <v>bmwcra_1.mtx</v>
      </c>
      <c r="D20" s="1" t="n">
        <f aca="false">MAX(spmv_1x16!$D$2:$D$17)</f>
        <v>667685</v>
      </c>
      <c r="E20" s="1" t="n">
        <f aca="false">MIN(spmv_1x16!$D$2:$D$17)</f>
        <v>662698</v>
      </c>
      <c r="F20" s="1" t="n">
        <f aca="false">AVERAGE(spmv_1x16!$D$2:$D$17)</f>
        <v>665250.125</v>
      </c>
      <c r="G20" s="1" t="n">
        <f aca="false">D20/F20</f>
        <v>1.00366008950393</v>
      </c>
      <c r="I20" s="5" t="n">
        <f aca="false">MAX(spmv_1x16!$S$2:$S$17)</f>
        <v>11.4102969143128</v>
      </c>
      <c r="J20" s="5" t="n">
        <f aca="false">MIN(spmv_1x16!$S$2:$S$17)</f>
        <v>9.91337225607395</v>
      </c>
    </row>
    <row r="21" customFormat="false" ht="13.8" hidden="false" customHeight="false" outlineLevel="0" collapsed="false">
      <c r="A21" s="12"/>
      <c r="B21" s="1" t="str">
        <f aca="false">spmv_1!A$6</f>
        <v>ML_Geer.mtx</v>
      </c>
      <c r="D21" s="1" t="n">
        <f aca="false">MAX(spmv_1x16!$D$21:$D$36)</f>
        <v>6931306</v>
      </c>
      <c r="E21" s="1" t="n">
        <f aca="false">MIN(spmv_1x16!$D$21:$D$36)</f>
        <v>6928026</v>
      </c>
      <c r="F21" s="1" t="n">
        <f aca="false">AVERAGE(spmv_1x16!$D$21:$D$36)</f>
        <v>6929998.25</v>
      </c>
      <c r="G21" s="1" t="n">
        <f aca="false">D21/F21</f>
        <v>1.00018870856136</v>
      </c>
      <c r="I21" s="5" t="n">
        <f aca="false">MAX(spmv_1x16!$S$21:$S$36)</f>
        <v>10.0532721335726</v>
      </c>
      <c r="J21" s="5" t="n">
        <f aca="false">MIN(spmv_1x16!$S$21:$S$36)</f>
        <v>8.95643159095949</v>
      </c>
    </row>
    <row r="22" customFormat="false" ht="13.8" hidden="false" customHeight="false" outlineLevel="0" collapsed="false">
      <c r="A22" s="12"/>
      <c r="B22" s="1" t="str">
        <f aca="false">spmv_1!A$10</f>
        <v>msdoor.mtx</v>
      </c>
      <c r="D22" s="1" t="n">
        <f aca="false">MAX(spmv_1x16!$D$40:$D$55)</f>
        <v>1271596</v>
      </c>
      <c r="E22" s="1" t="n">
        <f aca="false">MIN(spmv_1x16!$D$40:$D$55)</f>
        <v>1259548</v>
      </c>
      <c r="F22" s="1" t="n">
        <f aca="false">AVERAGE(spmv_1x16!$D$40:$D$55)</f>
        <v>1265058.4375</v>
      </c>
      <c r="G22" s="1" t="n">
        <f aca="false">D22/F22</f>
        <v>1.00516779486718</v>
      </c>
      <c r="I22" s="5" t="n">
        <f aca="false">MAX(spmv_1x16!$S$40:$S$55)</f>
        <v>7.11843226390198</v>
      </c>
      <c r="J22" s="5" t="n">
        <f aca="false">MIN(spmv_1x16!$S$40:$S$55)</f>
        <v>6.01524195527604</v>
      </c>
    </row>
    <row r="23" customFormat="false" ht="13.8" hidden="false" customHeight="false" outlineLevel="0" collapsed="false">
      <c r="A23" s="12"/>
      <c r="B23" s="13" t="str">
        <f aca="false">spmv_1!A$14</f>
        <v>nlpkkt240.mtx</v>
      </c>
      <c r="C23" s="13"/>
      <c r="D23" s="1" t="n">
        <f aca="false">MAX(spmv_1x16!$D$59:$D$74)</f>
        <v>48405240</v>
      </c>
      <c r="E23" s="1" t="n">
        <f aca="false">MIN(spmv_1x16!$D$59:$D$74)</f>
        <v>48399496</v>
      </c>
      <c r="F23" s="1" t="n">
        <f aca="false">AVERAGE(spmv_1x16!$D$59:$D$74)</f>
        <v>48404522</v>
      </c>
      <c r="G23" s="1" t="n">
        <f aca="false">D23/F23</f>
        <v>1.00001483332487</v>
      </c>
      <c r="I23" s="5" t="n">
        <f aca="false">MAX(spmv_1x16!$S$59:$S$74)</f>
        <v>4.56954599475706</v>
      </c>
      <c r="J23" s="5" t="n">
        <f aca="false">MIN(spmv_1x16!$S$59:$S$74)</f>
        <v>2.87879688754507</v>
      </c>
    </row>
    <row r="24" customFormat="false" ht="13.8" hidden="false" customHeight="false" outlineLevel="0" collapsed="false">
      <c r="A24" s="12"/>
      <c r="B24" s="1" t="str">
        <f aca="false">spmv_1!A$18</f>
        <v>Pflow_742.mtx</v>
      </c>
      <c r="D24" s="1" t="n">
        <f aca="false">MAX(spmv_1x16!$D$78:$D$93)</f>
        <v>2379648</v>
      </c>
      <c r="E24" s="1" t="n">
        <f aca="false">MIN(spmv_1x16!$D$78:$D$93)</f>
        <v>2283175</v>
      </c>
      <c r="F24" s="1" t="n">
        <f aca="false">AVERAGE(spmv_1x16!$D$78:$D$93)</f>
        <v>2321153.8125</v>
      </c>
      <c r="G24" s="1" t="n">
        <f aca="false">D24/F24</f>
        <v>1.02520047882437</v>
      </c>
      <c r="I24" s="5" t="n">
        <f aca="false">MAX(spmv_1x16!$S$78:$S$93)</f>
        <v>11.8553171961688</v>
      </c>
      <c r="J24" s="5" t="n">
        <f aca="false">MIN(spmv_1x16!$S$78:$S$93)</f>
        <v>10.4265240058851</v>
      </c>
      <c r="N24" s="1" t="s">
        <v>29</v>
      </c>
      <c r="O24" s="1" t="s">
        <v>30</v>
      </c>
      <c r="P24" s="1" t="s">
        <v>31</v>
      </c>
      <c r="Q24" s="1" t="s">
        <v>32</v>
      </c>
      <c r="R24" s="1" t="s">
        <v>33</v>
      </c>
      <c r="S24" s="1" t="s">
        <v>34</v>
      </c>
      <c r="T24" s="1" t="s">
        <v>35</v>
      </c>
    </row>
    <row r="25" customFormat="false" ht="13.8" hidden="false" customHeight="true" outlineLevel="0" collapsed="false">
      <c r="N25" s="1" t="n">
        <v>2</v>
      </c>
      <c r="O25" s="5" t="n">
        <v>2.22443957414495</v>
      </c>
      <c r="P25" s="5" t="n">
        <v>2.1878736490374</v>
      </c>
      <c r="Q25" s="5" t="n">
        <v>2.13691595839035</v>
      </c>
      <c r="R25" s="5" t="n">
        <v>1.89365027361533</v>
      </c>
      <c r="S25" s="1" t="n">
        <v>2.84187954717803</v>
      </c>
      <c r="T25" s="1" t="n">
        <v>2</v>
      </c>
    </row>
    <row r="26" customFormat="false" ht="13.8" hidden="false" customHeight="false" outlineLevel="0" collapsed="false">
      <c r="A26" s="12" t="s">
        <v>37</v>
      </c>
      <c r="B26" s="1" t="str">
        <f aca="false">spmv_1!A$2</f>
        <v>bmwcra_1.mtx</v>
      </c>
      <c r="D26" s="1" t="n">
        <f aca="false">MAX(spmv_2x8!$D$2:$D$17)</f>
        <v>667685</v>
      </c>
      <c r="E26" s="1" t="n">
        <f aca="false">MIN(spmv_2x8!$D$2:$D$17)</f>
        <v>662698</v>
      </c>
      <c r="F26" s="1" t="n">
        <f aca="false">AVERAGE(spmv_2x8!$D$2:$D$17)</f>
        <v>665250.125</v>
      </c>
      <c r="G26" s="1" t="n">
        <f aca="false">D26/F26</f>
        <v>1.00366008950393</v>
      </c>
      <c r="I26" s="5" t="n">
        <f aca="false">MAX(spmv_2x8!$S$2:$S$17)</f>
        <v>9.11747778251533</v>
      </c>
      <c r="J26" s="5" t="n">
        <f aca="false">MIN(spmv_2x8!$S$2:$S$17)</f>
        <v>6.13120162131954</v>
      </c>
      <c r="N26" s="1" t="n">
        <v>4</v>
      </c>
      <c r="O26" s="5" t="n">
        <v>4.62697222111497</v>
      </c>
      <c r="P26" s="5" t="n">
        <v>4.10967742244383</v>
      </c>
      <c r="Q26" s="5" t="n">
        <v>4.20002585112758</v>
      </c>
      <c r="R26" s="5" t="n">
        <v>3.00667071512143</v>
      </c>
      <c r="S26" s="5" t="n">
        <v>5.22114601226045</v>
      </c>
      <c r="T26" s="1" t="n">
        <v>4</v>
      </c>
    </row>
    <row r="27" customFormat="false" ht="13.8" hidden="false" customHeight="false" outlineLevel="0" collapsed="false">
      <c r="A27" s="12"/>
      <c r="B27" s="1" t="str">
        <f aca="false">spmv_1!A$6</f>
        <v>ML_Geer.mtx</v>
      </c>
      <c r="D27" s="1" t="n">
        <f aca="false">MAX(spmv_2x8!$D$21:$D$36)</f>
        <v>6931306</v>
      </c>
      <c r="E27" s="1" t="n">
        <f aca="false">MIN(spmv_2x8!$D$21:$D$36)</f>
        <v>6928026</v>
      </c>
      <c r="F27" s="1" t="n">
        <f aca="false">AVERAGE(spmv_2x8!$D$21:$D$36)</f>
        <v>6929998.25</v>
      </c>
      <c r="G27" s="1" t="n">
        <f aca="false">D27/F27</f>
        <v>1.00018870856136</v>
      </c>
      <c r="I27" s="5" t="n">
        <f aca="false">MAX(spmv_2x8!$S$21:$S$36)</f>
        <v>6.94270225552735</v>
      </c>
      <c r="J27" s="5" t="n">
        <f aca="false">MIN(spmv_2x8!$S$21:$S$36)</f>
        <v>4.51970442152718</v>
      </c>
      <c r="N27" s="1" t="n">
        <v>8</v>
      </c>
      <c r="O27" s="5" t="n">
        <v>6.38596332274275</v>
      </c>
      <c r="P27" s="5" t="n">
        <v>5.92253241376383</v>
      </c>
      <c r="Q27" s="5" t="n">
        <v>4.97027308653408</v>
      </c>
      <c r="R27" s="5" t="n">
        <v>3.21704223369461</v>
      </c>
      <c r="S27" s="5" t="n">
        <v>7.22124403008274</v>
      </c>
      <c r="T27" s="1" t="n">
        <v>8</v>
      </c>
    </row>
    <row r="28" customFormat="false" ht="13.8" hidden="false" customHeight="false" outlineLevel="0" collapsed="false">
      <c r="A28" s="12"/>
      <c r="B28" s="1" t="str">
        <f aca="false">spmv_1!A$10</f>
        <v>msdoor.mtx</v>
      </c>
      <c r="D28" s="1" t="n">
        <f aca="false">MAX(spmv_2x8!$D$40:$D$55)</f>
        <v>1271596</v>
      </c>
      <c r="E28" s="1" t="n">
        <f aca="false">MIN(spmv_2x8!$D$40:$D$55)</f>
        <v>1259548</v>
      </c>
      <c r="F28" s="1" t="n">
        <f aca="false">AVERAGE(spmv_2x8!$D$40:$D$55)</f>
        <v>1265058.4375</v>
      </c>
      <c r="G28" s="1" t="n">
        <f aca="false">D28/F28</f>
        <v>1.00516779486718</v>
      </c>
      <c r="I28" s="5" t="n">
        <f aca="false">MAX(spmv_2x8!$S$40:$S$55)</f>
        <v>4.70767841804204</v>
      </c>
      <c r="J28" s="5" t="n">
        <f aca="false">MIN(spmv_2x8!$S$40:$S$55)</f>
        <v>3.4278004791111</v>
      </c>
      <c r="N28" s="1" t="n">
        <v>16</v>
      </c>
      <c r="O28" s="5" t="n">
        <f aca="false">I26</f>
        <v>9.11747778251533</v>
      </c>
      <c r="P28" s="5" t="n">
        <f aca="false">I27</f>
        <v>6.94270225552735</v>
      </c>
      <c r="Q28" s="1" t="n">
        <f aca="false">I28</f>
        <v>4.70767841804204</v>
      </c>
      <c r="R28" s="1" t="n">
        <f aca="false">I29</f>
        <v>2.61176591746573</v>
      </c>
      <c r="S28" s="1" t="n">
        <f aca="false">I30</f>
        <v>7.10326801215249</v>
      </c>
      <c r="T28" s="1" t="n">
        <v>16</v>
      </c>
    </row>
    <row r="29" customFormat="false" ht="13.8" hidden="false" customHeight="false" outlineLevel="0" collapsed="false">
      <c r="A29" s="12"/>
      <c r="B29" s="13" t="str">
        <f aca="false">spmv_1!A$14</f>
        <v>nlpkkt240.mtx</v>
      </c>
      <c r="C29" s="13"/>
      <c r="D29" s="1" t="n">
        <f aca="false">MAX(spmv_2x8!$D$59:$D$74)</f>
        <v>48405240</v>
      </c>
      <c r="E29" s="1" t="n">
        <f aca="false">MIN(spmv_2x8!$D$59:$D$74)</f>
        <v>48399496</v>
      </c>
      <c r="F29" s="1" t="n">
        <f aca="false">AVERAGE(spmv_2x8!$D$59:$D$74)</f>
        <v>48404522</v>
      </c>
      <c r="G29" s="1" t="n">
        <f aca="false">D29/F29</f>
        <v>1.00001483332487</v>
      </c>
      <c r="I29" s="5" t="n">
        <f aca="false">MAX(spmv_2x8!$S$59:$S$74)</f>
        <v>2.61176591746573</v>
      </c>
      <c r="J29" s="5" t="n">
        <f aca="false">MIN(spmv_2x8!$S$59:$S$74)</f>
        <v>1.37961284055052</v>
      </c>
      <c r="N29" s="1" t="n">
        <v>32</v>
      </c>
      <c r="O29" s="5" t="n">
        <f aca="false">I38</f>
        <v>7.66470923086534</v>
      </c>
      <c r="P29" s="5" t="n">
        <f aca="false">I38</f>
        <v>7.66470923086534</v>
      </c>
      <c r="Q29" s="1" t="n">
        <f aca="false">I40</f>
        <v>5.62664737371453</v>
      </c>
      <c r="R29" s="1" t="n">
        <f aca="false">I41</f>
        <v>3.00081607631945</v>
      </c>
      <c r="S29" s="1" t="n">
        <f aca="false">I42</f>
        <v>7.40797001727364</v>
      </c>
      <c r="T29" s="1" t="n">
        <v>32</v>
      </c>
    </row>
    <row r="30" customFormat="false" ht="13.8" hidden="false" customHeight="false" outlineLevel="0" collapsed="false">
      <c r="A30" s="12"/>
      <c r="B30" s="1" t="str">
        <f aca="false">spmv_1!A$18</f>
        <v>Pflow_742.mtx</v>
      </c>
      <c r="D30" s="1" t="n">
        <f aca="false">MAX(spmv_2x8!$D$78:$D$93)</f>
        <v>2379648</v>
      </c>
      <c r="E30" s="1" t="n">
        <f aca="false">MIN(spmv_2x8!$D$78:$D$93)</f>
        <v>2283175</v>
      </c>
      <c r="F30" s="1" t="n">
        <f aca="false">AVERAGE(spmv_2x8!$D$78:$D$93)</f>
        <v>2321153.8125</v>
      </c>
      <c r="G30" s="1" t="n">
        <f aca="false">D30/F30</f>
        <v>1.02520047882437</v>
      </c>
      <c r="I30" s="5" t="n">
        <f aca="false">MAX(spmv_2x8!$S$78:$S$93)</f>
        <v>7.10326801215249</v>
      </c>
      <c r="J30" s="5" t="n">
        <f aca="false">MIN(spmv_2x8!$S$78:$S$93)</f>
        <v>5.63182507186106</v>
      </c>
      <c r="N30" s="1" t="n">
        <v>64</v>
      </c>
      <c r="O30" s="5" t="n">
        <f aca="false">I50</f>
        <v>4.62934677588117</v>
      </c>
      <c r="P30" s="5" t="n">
        <f aca="false">I50</f>
        <v>4.62934677588117</v>
      </c>
      <c r="Q30" s="1" t="n">
        <f aca="false">I52</f>
        <v>3.30072391497882</v>
      </c>
      <c r="R30" s="1" t="n">
        <f aca="false">I53</f>
        <v>3.85678624510524</v>
      </c>
      <c r="S30" s="5" t="n">
        <f aca="false">I54</f>
        <v>12.7973765773141</v>
      </c>
      <c r="T30" s="1" t="n">
        <v>64</v>
      </c>
    </row>
    <row r="31" customFormat="false" ht="13.8" hidden="false" customHeight="true" outlineLevel="0" collapsed="false">
      <c r="N31" s="1" t="n">
        <v>128</v>
      </c>
      <c r="O31" s="5" t="n">
        <f aca="false">I62</f>
        <v>5.80074777074911</v>
      </c>
      <c r="P31" s="5" t="n">
        <f aca="false">I63</f>
        <v>12.9426551079659</v>
      </c>
      <c r="Q31" s="5" t="n">
        <f aca="false">I64</f>
        <v>5.55046992088078</v>
      </c>
      <c r="R31" s="5" t="n">
        <f aca="false">I65</f>
        <v>3.87915034356113</v>
      </c>
      <c r="S31" s="5" t="n">
        <f aca="false">I66</f>
        <v>8.83236687916106</v>
      </c>
      <c r="T31" s="1" t="n">
        <v>128</v>
      </c>
    </row>
    <row r="32" customFormat="false" ht="13.8" hidden="false" customHeight="false" outlineLevel="0" collapsed="false">
      <c r="A32" s="12" t="s">
        <v>38</v>
      </c>
      <c r="B32" s="1" t="str">
        <f aca="false">spmv_1!A$2</f>
        <v>bmwcra_1.mtx</v>
      </c>
      <c r="D32" s="1" t="n">
        <f aca="false">MAX(spmv_2x16!$D$2:$D$33)</f>
        <v>335777</v>
      </c>
      <c r="E32" s="1" t="n">
        <f aca="false">MIN(spmv_2x16!$D$2:$D$33)</f>
        <v>330539</v>
      </c>
      <c r="F32" s="1" t="n">
        <f aca="false">AVERAGE(spmv_2x16!$D$2:$D$33)</f>
        <v>332625.0625</v>
      </c>
      <c r="G32" s="1" t="n">
        <f aca="false">D32/F32</f>
        <v>1.00947594711087</v>
      </c>
      <c r="I32" s="5" t="n">
        <f aca="false">MAX(spmv_2x16!$S$2:$S$33)</f>
        <v>7.53455590927924</v>
      </c>
      <c r="J32" s="5" t="n">
        <f aca="false">MIN(spmv_2x16!$S$2:$S$33)</f>
        <v>5.85873924607309</v>
      </c>
    </row>
    <row r="33" customFormat="false" ht="13.8" hidden="false" customHeight="false" outlineLevel="0" collapsed="false">
      <c r="A33" s="12"/>
      <c r="B33" s="1" t="str">
        <f aca="false">spmv_1!A$6</f>
        <v>ML_Geer.mtx</v>
      </c>
      <c r="D33" s="1" t="n">
        <f aca="false">MAX(spmv_2x16!$D$37:$D$68)</f>
        <v>3465706</v>
      </c>
      <c r="E33" s="1" t="n">
        <f aca="false">MIN(spmv_2x16!$D$37:$D$68)</f>
        <v>3463690</v>
      </c>
      <c r="F33" s="1" t="n">
        <f aca="false">AVERAGE(spmv_2x16!$D$37:$D$68)</f>
        <v>3464999.125</v>
      </c>
      <c r="G33" s="1" t="n">
        <f aca="false">D33/F33</f>
        <v>1.00020400438052</v>
      </c>
      <c r="I33" s="5" t="n">
        <f aca="false">MAX(spmv_2x16!$S$37:$S$68)</f>
        <v>8.02461752390682</v>
      </c>
      <c r="J33" s="5" t="n">
        <f aca="false">MIN(spmv_2x16!$S$37:$S$68)</f>
        <v>4.34630855471088</v>
      </c>
    </row>
    <row r="34" customFormat="false" ht="13.8" hidden="false" customHeight="false" outlineLevel="0" collapsed="false">
      <c r="A34" s="12"/>
      <c r="B34" s="1" t="str">
        <f aca="false">spmv_1!A$10</f>
        <v>msdoor.mtx</v>
      </c>
      <c r="D34" s="1" t="n">
        <f aca="false">MAX(spmv_2x16!$D$72:$D$103)</f>
        <v>636618</v>
      </c>
      <c r="E34" s="1" t="n">
        <f aca="false">MIN(spmv_2x16!$D$72:$D$103)</f>
        <v>629153</v>
      </c>
      <c r="F34" s="1" t="n">
        <f aca="false">AVERAGE(spmv_2x16!$D$72:$D$103)</f>
        <v>632529.21875</v>
      </c>
      <c r="G34" s="1" t="n">
        <f aca="false">D34/F34</f>
        <v>1.00646417766768</v>
      </c>
      <c r="I34" s="5" t="n">
        <f aca="false">MAX(spmv_2x16!$S$72:$S$103)</f>
        <v>6.58372984273629</v>
      </c>
      <c r="J34" s="5" t="n">
        <f aca="false">MIN(spmv_2x16!$S$72:$S$103)</f>
        <v>3.11988306473677</v>
      </c>
    </row>
    <row r="35" customFormat="false" ht="13.8" hidden="false" customHeight="false" outlineLevel="0" collapsed="false">
      <c r="A35" s="12"/>
      <c r="B35" s="13" t="str">
        <f aca="false">spmv_1!A$14</f>
        <v>nlpkkt240.mtx</v>
      </c>
      <c r="C35" s="13"/>
      <c r="D35" s="1" t="n">
        <f aca="false">MAX(spmv_2x16!$D$107:$D$138)</f>
        <v>24203338</v>
      </c>
      <c r="E35" s="1" t="n">
        <f aca="false">MIN(spmv_2x16!$D$107:$D$138)</f>
        <v>24198312</v>
      </c>
      <c r="F35" s="1" t="n">
        <f aca="false">AVERAGE(spmv_2x16!$D$107:$D$138)</f>
        <v>24202261</v>
      </c>
      <c r="G35" s="1" t="n">
        <f aca="false">D35/F35</f>
        <v>1.00004449997461</v>
      </c>
      <c r="I35" s="5" t="n">
        <f aca="false">MAX(spmv_2x16!$S$107:$S$138)</f>
        <v>2.45173835246441</v>
      </c>
      <c r="J35" s="5" t="n">
        <f aca="false">MIN(spmv_2x16!$S$107:$S$138)</f>
        <v>1.38947251921895</v>
      </c>
    </row>
    <row r="36" customFormat="false" ht="13.8" hidden="false" customHeight="false" outlineLevel="0" collapsed="false">
      <c r="A36" s="12"/>
      <c r="B36" s="1" t="str">
        <f aca="false">spmv_1!A$18</f>
        <v>Pflow_742.mtx</v>
      </c>
      <c r="D36" s="1" t="n">
        <f aca="false">MAX(spmv_2x16!$D$142:$D$173)</f>
        <v>1191523</v>
      </c>
      <c r="E36" s="1" t="n">
        <f aca="false">MIN(spmv_2x16!$D$142:$D$173)</f>
        <v>1141028</v>
      </c>
      <c r="F36" s="1" t="n">
        <f aca="false">AVERAGE(spmv_2x16!$D$142:$D$173)</f>
        <v>1160576.90625</v>
      </c>
      <c r="G36" s="1" t="n">
        <f aca="false">D36/F36</f>
        <v>1.02666440593755</v>
      </c>
      <c r="I36" s="5" t="n">
        <f aca="false">MAX(spmv_2x16!$S$142:$S$173)</f>
        <v>6.63496958923842</v>
      </c>
      <c r="J36" s="5" t="n">
        <f aca="false">MIN(spmv_2x16!$S$142:$S$173)</f>
        <v>4.64282394378649</v>
      </c>
    </row>
    <row r="38" customFormat="false" ht="13.8" hidden="false" customHeight="false" outlineLevel="0" collapsed="false">
      <c r="A38" s="12" t="s">
        <v>39</v>
      </c>
      <c r="B38" s="1" t="str">
        <f aca="false">spmv_1!A$2</f>
        <v>bmwcra_1.mtx</v>
      </c>
      <c r="D38" s="1" t="n">
        <f aca="false">MAX(spmv_4x8!$D$2:$D$33)</f>
        <v>335777</v>
      </c>
      <c r="E38" s="1" t="n">
        <f aca="false">MIN(spmv_4x8!$D$2:$D$33)</f>
        <v>330539</v>
      </c>
      <c r="F38" s="1" t="n">
        <f aca="false">AVERAGE(spmv_4x8!$D$2:$D$33)</f>
        <v>332625.0625</v>
      </c>
      <c r="G38" s="1" t="n">
        <f aca="false">D38/F38</f>
        <v>1.00947594711087</v>
      </c>
      <c r="I38" s="5" t="n">
        <f aca="false">MAX(spmv_4x8!$S$2:$S$33)</f>
        <v>7.66470923086534</v>
      </c>
      <c r="J38" s="5" t="n">
        <f aca="false">MIN(spmv_4x8!$S$2:$S$33)</f>
        <v>5.97988729979693</v>
      </c>
    </row>
    <row r="39" customFormat="false" ht="13.8" hidden="false" customHeight="false" outlineLevel="0" collapsed="false">
      <c r="A39" s="12"/>
      <c r="B39" s="1" t="str">
        <f aca="false">spmv_1!A$6</f>
        <v>ML_Geer.mtx</v>
      </c>
      <c r="D39" s="1" t="n">
        <f aca="false">MAX(spmv_4x8!$D$37:$D$68)</f>
        <v>3465706</v>
      </c>
      <c r="E39" s="1" t="n">
        <f aca="false">MIN(spmv_4x8!$D$37:$D$68)</f>
        <v>3463690</v>
      </c>
      <c r="F39" s="1" t="n">
        <f aca="false">AVERAGE(spmv_4x8!$D$37:$D$68)</f>
        <v>3464999.125</v>
      </c>
      <c r="G39" s="1" t="n">
        <f aca="false">D39/F39</f>
        <v>1.00020400438052</v>
      </c>
      <c r="I39" s="5" t="n">
        <f aca="false">MAX(spmv_4x8!$S$37:$S$68)</f>
        <v>8.57739476128928</v>
      </c>
      <c r="J39" s="5" t="n">
        <f aca="false">MIN(spmv_4x8!$S$37:$S$68)</f>
        <v>6.46144345773946</v>
      </c>
    </row>
    <row r="40" customFormat="false" ht="13.8" hidden="false" customHeight="false" outlineLevel="0" collapsed="false">
      <c r="A40" s="12"/>
      <c r="B40" s="1" t="str">
        <f aca="false">spmv_1!A$10</f>
        <v>msdoor.mtx</v>
      </c>
      <c r="D40" s="1" t="n">
        <f aca="false">MAX(spmv_4x8!$D$72:$D$103)</f>
        <v>636618</v>
      </c>
      <c r="E40" s="1" t="n">
        <f aca="false">MIN(spmv_4x8!$D$72:$D$103)</f>
        <v>629153</v>
      </c>
      <c r="F40" s="1" t="n">
        <f aca="false">AVERAGE(spmv_4x8!$D$72:$D$103)</f>
        <v>632529.21875</v>
      </c>
      <c r="G40" s="1" t="n">
        <f aca="false">D40/F40</f>
        <v>1.00646417766768</v>
      </c>
      <c r="I40" s="5" t="n">
        <f aca="false">MAX(spmv_4x8!$S$72:$S$103)</f>
        <v>5.62664737371453</v>
      </c>
      <c r="J40" s="5" t="n">
        <f aca="false">MIN(spmv_4x8!$S$72:$S$103)</f>
        <v>4.03045051649413</v>
      </c>
    </row>
    <row r="41" customFormat="false" ht="13.8" hidden="false" customHeight="false" outlineLevel="0" collapsed="false">
      <c r="A41" s="12"/>
      <c r="B41" s="13" t="str">
        <f aca="false">spmv_1!A$14</f>
        <v>nlpkkt240.mtx</v>
      </c>
      <c r="C41" s="13"/>
      <c r="D41" s="1" t="n">
        <f aca="false">MAX(spmv_4x8!$D$107:$D$138)</f>
        <v>24203338</v>
      </c>
      <c r="E41" s="1" t="n">
        <f aca="false">MIN(spmv_4x8!$D$107:$D$138)</f>
        <v>24198312</v>
      </c>
      <c r="F41" s="1" t="n">
        <f aca="false">AVERAGE(spmv_4x8!$D$107:$D$138)</f>
        <v>24202261</v>
      </c>
      <c r="G41" s="1" t="n">
        <f aca="false">D41/F41</f>
        <v>1.00004449997461</v>
      </c>
      <c r="I41" s="5" t="n">
        <f aca="false">MAX(spmv_4x8!$S$107:$S$138)</f>
        <v>3.00081607631945</v>
      </c>
      <c r="J41" s="5" t="n">
        <f aca="false">MIN(spmv_4x8!$S$107:$S$138)</f>
        <v>1.8608240171095</v>
      </c>
      <c r="M41" s="1" t="s">
        <v>31</v>
      </c>
      <c r="N41" s="1" t="s">
        <v>29</v>
      </c>
      <c r="O41" s="1" t="s">
        <v>40</v>
      </c>
      <c r="P41" s="1" t="s">
        <v>41</v>
      </c>
    </row>
    <row r="42" customFormat="false" ht="13.8" hidden="false" customHeight="false" outlineLevel="0" collapsed="false">
      <c r="A42" s="12"/>
      <c r="B42" s="1" t="str">
        <f aca="false">spmv_1!A$18</f>
        <v>Pflow_742.mtx</v>
      </c>
      <c r="D42" s="1" t="n">
        <f aca="false">MAX(spmv_4x8!$D$142:$D$173)</f>
        <v>1191523</v>
      </c>
      <c r="E42" s="1" t="n">
        <f aca="false">MIN(spmv_4x8!$D$142:$D$173)</f>
        <v>1141028</v>
      </c>
      <c r="F42" s="1" t="n">
        <f aca="false">AVERAGE(spmv_4x8!$D$142:$D$173)</f>
        <v>1160576.90625</v>
      </c>
      <c r="G42" s="1" t="n">
        <f aca="false">D42/F42</f>
        <v>1.02666440593755</v>
      </c>
      <c r="I42" s="5" t="n">
        <f aca="false">MAX(spmv_4x8!$S$142:$S$173)</f>
        <v>7.40797001727364</v>
      </c>
      <c r="J42" s="5" t="n">
        <f aca="false">MIN(spmv_4x8!$S$142:$S$173)</f>
        <v>6.25913690753723</v>
      </c>
      <c r="N42" s="1" t="n">
        <v>16</v>
      </c>
      <c r="O42" s="5" t="n">
        <v>6.94270225552735</v>
      </c>
      <c r="P42" s="5" t="n">
        <v>10.0532721335726</v>
      </c>
    </row>
    <row r="43" customFormat="false" ht="13.8" hidden="false" customHeight="true" outlineLevel="0" collapsed="false">
      <c r="N43" s="1" t="n">
        <v>32</v>
      </c>
      <c r="O43" s="5" t="n">
        <v>7.66470923086534</v>
      </c>
      <c r="P43" s="5" t="n">
        <v>8.02461752390682</v>
      </c>
    </row>
    <row r="44" customFormat="false" ht="13.8" hidden="false" customHeight="false" outlineLevel="0" collapsed="false">
      <c r="A44" s="12" t="s">
        <v>42</v>
      </c>
      <c r="B44" s="1" t="str">
        <f aca="false">spmv_1!A$2</f>
        <v>bmwcra_1.mtx</v>
      </c>
      <c r="D44" s="1" t="n">
        <f aca="false">MAX(spmv_4x16!$D$2:$D$65)</f>
        <v>169279</v>
      </c>
      <c r="E44" s="1" t="n">
        <f aca="false">MIN(spmv_4x16!$D$2:$D$65)</f>
        <v>164827</v>
      </c>
      <c r="F44" s="1" t="n">
        <f aca="false">AVERAGE(spmv_4x16!$D$2:$D$65)</f>
        <v>166312.53125</v>
      </c>
      <c r="G44" s="1" t="n">
        <f aca="false">D44/F44</f>
        <v>1.01783671216898</v>
      </c>
      <c r="I44" s="5" t="n">
        <f aca="false">MAX(spmv_4x16!$S$2:$S$65)</f>
        <v>6.66865045631934</v>
      </c>
      <c r="J44" s="5" t="n">
        <f aca="false">MIN(spmv_4x16!$S$2:$S$65)</f>
        <v>4.06877174749445</v>
      </c>
      <c r="N44" s="1" t="n">
        <v>64</v>
      </c>
      <c r="O44" s="5" t="n">
        <v>4.62934677588117</v>
      </c>
      <c r="P44" s="5" t="n">
        <v>6.68589882988214</v>
      </c>
    </row>
    <row r="45" customFormat="false" ht="13.8" hidden="false" customHeight="false" outlineLevel="0" collapsed="false">
      <c r="A45" s="12"/>
      <c r="B45" s="1" t="str">
        <f aca="false">spmv_1!A$6</f>
        <v>ML_Geer.mtx</v>
      </c>
      <c r="D45" s="1" t="n">
        <f aca="false">MAX(spmv_4x16!$D$69:$D$132)</f>
        <v>1732896</v>
      </c>
      <c r="E45" s="1" t="n">
        <f aca="false">MIN(spmv_4x16!$D$69:$D$132)</f>
        <v>1731528</v>
      </c>
      <c r="F45" s="1" t="n">
        <f aca="false">AVERAGE(spmv_4x16!$D$69:$D$132)</f>
        <v>1732499.5625</v>
      </c>
      <c r="G45" s="1" t="n">
        <f aca="false">D45/F45</f>
        <v>1.00022882401161</v>
      </c>
      <c r="I45" s="5" t="n">
        <f aca="false">MAX(spmv_4x16!$S$69:$S$132)</f>
        <v>6.68589882988214</v>
      </c>
      <c r="J45" s="5" t="n">
        <f aca="false">MIN(spmv_4x16!$S$69:$S$132)</f>
        <v>4.89110570102913</v>
      </c>
      <c r="N45" s="1" t="n">
        <v>128</v>
      </c>
      <c r="O45" s="5" t="n">
        <v>12.9426551079659</v>
      </c>
      <c r="P45" s="5" t="n">
        <v>8.90590202298243</v>
      </c>
    </row>
    <row r="46" customFormat="false" ht="13.8" hidden="false" customHeight="false" outlineLevel="0" collapsed="false">
      <c r="A46" s="12"/>
      <c r="B46" s="1" t="str">
        <f aca="false">spmv_1!A$10</f>
        <v>msdoor.mtx</v>
      </c>
      <c r="D46" s="1" t="n">
        <f aca="false">MAX(spmv_4x16!$D$136:$D$199)</f>
        <v>318855</v>
      </c>
      <c r="E46" s="1" t="n">
        <f aca="false">MIN(spmv_4x16!$D$136:$D$199)</f>
        <v>313772</v>
      </c>
      <c r="F46" s="1" t="n">
        <f aca="false">AVERAGE(spmv_4x16!$D$136:$D$199)</f>
        <v>316264.609375</v>
      </c>
      <c r="G46" s="1" t="n">
        <f aca="false">D46/F46</f>
        <v>1.00819058012883</v>
      </c>
      <c r="I46" s="5" t="n">
        <f aca="false">MAX(spmv_4x16!$S$136:$S$199)</f>
        <v>4.36778793140474</v>
      </c>
      <c r="J46" s="5" t="n">
        <f aca="false">MIN(spmv_4x16!$S$136:$S$199)</f>
        <v>2.78460730066953</v>
      </c>
    </row>
    <row r="47" customFormat="false" ht="13.8" hidden="false" customHeight="false" outlineLevel="0" collapsed="false">
      <c r="A47" s="12"/>
      <c r="B47" s="13" t="str">
        <f aca="false">spmv_1!A$14</f>
        <v>nlpkkt240.mtx</v>
      </c>
      <c r="C47" s="13"/>
      <c r="D47" s="1" t="n">
        <f aca="false">MAX(spmv_4x16!$D$203:$D$266)</f>
        <v>12105624</v>
      </c>
      <c r="E47" s="1" t="n">
        <f aca="false">MIN(spmv_4x16!$D$203:$D$266)</f>
        <v>12096996</v>
      </c>
      <c r="F47" s="1" t="n">
        <f aca="false">AVERAGE(spmv_4x16!$D$203:$D$266)</f>
        <v>12101130.5</v>
      </c>
      <c r="G47" s="1" t="n">
        <f aca="false">D47/F47</f>
        <v>1.00037132894319</v>
      </c>
      <c r="I47" s="5" t="n">
        <f aca="false">MAX(spmv_4x16!$S$203:$S$266)</f>
        <v>2.87028865707347</v>
      </c>
      <c r="J47" s="5" t="n">
        <f aca="false">MIN(spmv_4x16!$S$203:$S$266)</f>
        <v>1.60876347964435</v>
      </c>
    </row>
    <row r="48" customFormat="false" ht="13.8" hidden="false" customHeight="false" outlineLevel="0" collapsed="false">
      <c r="A48" s="12"/>
      <c r="B48" s="1" t="str">
        <f aca="false">spmv_1!A$18</f>
        <v>Pflow_742.mtx</v>
      </c>
      <c r="D48" s="1" t="n">
        <f aca="false">MAX(spmv_4x16!$D$270:$D$333)</f>
        <v>596533</v>
      </c>
      <c r="E48" s="1" t="n">
        <f aca="false">MIN(spmv_4x16!$D$270:$D$333)</f>
        <v>569433</v>
      </c>
      <c r="F48" s="1" t="n">
        <f aca="false">AVERAGE(spmv_4x16!$D$270:$D$333)</f>
        <v>580288.453125</v>
      </c>
      <c r="G48" s="1" t="n">
        <f aca="false">D48/F48</f>
        <v>1.02799391714159</v>
      </c>
      <c r="I48" s="5" t="n">
        <f aca="false">MAX(spmv_4x16!$S$270:$S$333)</f>
        <v>11.9938256617041</v>
      </c>
      <c r="J48" s="5" t="n">
        <f aca="false">MIN(spmv_4x16!$S$270:$S$333)</f>
        <v>4.57652293424193</v>
      </c>
    </row>
    <row r="50" customFormat="false" ht="13.8" hidden="false" customHeight="false" outlineLevel="0" collapsed="false">
      <c r="A50" s="12" t="s">
        <v>43</v>
      </c>
      <c r="B50" s="1" t="str">
        <f aca="false">spmv_1!A$2</f>
        <v>bmwcra_1.mtx</v>
      </c>
      <c r="D50" s="1" t="n">
        <f aca="false">MAX(spmv_8x8!$D$2:$D$65)</f>
        <v>169279</v>
      </c>
      <c r="E50" s="1" t="n">
        <f aca="false">MIN(spmv_8x8!$D$2:$D$65)</f>
        <v>164827</v>
      </c>
      <c r="F50" s="1" t="n">
        <f aca="false">AVERAGE(spmv_8x8!$D$2:$D$65)</f>
        <v>166312.53125</v>
      </c>
      <c r="G50" s="1" t="n">
        <f aca="false">D50/F50</f>
        <v>1.01783671216898</v>
      </c>
      <c r="I50" s="5" t="n">
        <f aca="false">MAX(spmv_8x8!$S$2:$S$65)</f>
        <v>4.62934677588117</v>
      </c>
      <c r="J50" s="5" t="n">
        <f aca="false">MIN(spmv_8x8!$S$2:$S$65)</f>
        <v>3.44530648493816</v>
      </c>
    </row>
    <row r="51" customFormat="false" ht="13.8" hidden="false" customHeight="false" outlineLevel="0" collapsed="false">
      <c r="A51" s="12"/>
      <c r="B51" s="1" t="str">
        <f aca="false">spmv_1!A$6</f>
        <v>ML_Geer.mtx</v>
      </c>
      <c r="D51" s="1" t="n">
        <f aca="false">MAX(spmv_8x8!$D$69:$D$132)</f>
        <v>1732896</v>
      </c>
      <c r="E51" s="1" t="n">
        <f aca="false">MIN(spmv_8x8!$D$69:$D$132)</f>
        <v>1731528</v>
      </c>
      <c r="F51" s="1" t="n">
        <f aca="false">AVERAGE(spmv_8x8!$D$69:$D$132)</f>
        <v>1732499.5625</v>
      </c>
      <c r="G51" s="1" t="n">
        <f aca="false">D51/F51</f>
        <v>1.00022882401161</v>
      </c>
      <c r="I51" s="5" t="n">
        <f aca="false">MAX(spmv_8x8!$S$69:$S$132)</f>
        <v>7.69761289761533</v>
      </c>
      <c r="J51" s="5" t="n">
        <f aca="false">MIN(spmv_8x8!$S$69:$S$132)</f>
        <v>6.02258976677669</v>
      </c>
    </row>
    <row r="52" customFormat="false" ht="13.8" hidden="false" customHeight="false" outlineLevel="0" collapsed="false">
      <c r="A52" s="12"/>
      <c r="B52" s="1" t="str">
        <f aca="false">spmv_1!A$10</f>
        <v>msdoor.mtx</v>
      </c>
      <c r="D52" s="1" t="n">
        <f aca="false">MAX(spmv_8x8!$D$136:$D$199)</f>
        <v>318855</v>
      </c>
      <c r="E52" s="1" t="n">
        <f aca="false">MIN(spmv_8x8!$D$136:$D$199)</f>
        <v>313772</v>
      </c>
      <c r="F52" s="1" t="n">
        <f aca="false">AVERAGE(spmv_8x8!$D$136:$D$199)</f>
        <v>316264.609375</v>
      </c>
      <c r="G52" s="1" t="n">
        <f aca="false">D52/F52</f>
        <v>1.00819058012883</v>
      </c>
      <c r="I52" s="5" t="n">
        <f aca="false">MAX(spmv_8x8!$S$136:$S$199)</f>
        <v>3.30072391497882</v>
      </c>
      <c r="J52" s="5" t="n">
        <f aca="false">MIN(spmv_8x8!$S$136:$S$199)</f>
        <v>2.62762622082878</v>
      </c>
    </row>
    <row r="53" customFormat="false" ht="13.8" hidden="false" customHeight="false" outlineLevel="0" collapsed="false">
      <c r="A53" s="12"/>
      <c r="B53" s="13" t="str">
        <f aca="false">spmv_1!A$14</f>
        <v>nlpkkt240.mtx</v>
      </c>
      <c r="C53" s="13"/>
      <c r="D53" s="1" t="n">
        <f aca="false">MAX(spmv_8x8!$D$203:$D$266)</f>
        <v>12105624</v>
      </c>
      <c r="E53" s="1" t="n">
        <f aca="false">MIN(spmv_8x8!$D$203:$D$266)</f>
        <v>12096996</v>
      </c>
      <c r="F53" s="1" t="n">
        <f aca="false">AVERAGE(spmv_8x8!$D$203:$D$266)</f>
        <v>12101130.5</v>
      </c>
      <c r="G53" s="1" t="n">
        <f aca="false">D53/F53</f>
        <v>1.00037132894319</v>
      </c>
      <c r="I53" s="5" t="n">
        <f aca="false">MAX(spmv_8x8!$S$203:$S$266)</f>
        <v>3.85678624510524</v>
      </c>
      <c r="J53" s="5" t="n">
        <f aca="false">MIN(spmv_8x8!$S$203:$S$266)</f>
        <v>2.51255383600704</v>
      </c>
    </row>
    <row r="54" customFormat="false" ht="13.8" hidden="false" customHeight="false" outlineLevel="0" collapsed="false">
      <c r="A54" s="12"/>
      <c r="B54" s="1" t="str">
        <f aca="false">spmv_1!A$18</f>
        <v>Pflow_742.mtx</v>
      </c>
      <c r="D54" s="1" t="n">
        <f aca="false">MAX(spmv_8x8!$D$270:$D$333)</f>
        <v>596533</v>
      </c>
      <c r="E54" s="1" t="n">
        <f aca="false">MIN(spmv_8x8!$D$270:$D$333)</f>
        <v>569433</v>
      </c>
      <c r="F54" s="1" t="n">
        <f aca="false">AVERAGE(spmv_8x8!$D$270:$D$333)</f>
        <v>580288.453125</v>
      </c>
      <c r="G54" s="1" t="n">
        <f aca="false">D54/F54</f>
        <v>1.02799391714159</v>
      </c>
      <c r="I54" s="5" t="n">
        <f aca="false">MAX(spmv_8x8!$S$270:$S$333)</f>
        <v>12.7973765773141</v>
      </c>
      <c r="J54" s="5" t="n">
        <f aca="false">MIN(spmv_8x8!$S$270:$S$333)</f>
        <v>7.35772466956191</v>
      </c>
    </row>
    <row r="56" customFormat="false" ht="13.8" hidden="false" customHeight="false" outlineLevel="0" collapsed="false">
      <c r="A56" s="12" t="s">
        <v>44</v>
      </c>
      <c r="B56" s="1" t="str">
        <f aca="false">spmv_1!A$2</f>
        <v>bmwcra_1.mtx</v>
      </c>
      <c r="D56" s="1" t="n">
        <f aca="false">MAX(spmv_8x16!$D$2:$D$129)</f>
        <v>85017</v>
      </c>
      <c r="E56" s="1" t="n">
        <f aca="false">MIN(spmv_8x16!$D$2:$D$129)</f>
        <v>82052</v>
      </c>
      <c r="F56" s="1" t="n">
        <f aca="false">AVERAGE(spmv_8x16!$D$2:$D$129)</f>
        <v>83156.265625</v>
      </c>
      <c r="G56" s="1" t="n">
        <f aca="false">D56/F56</f>
        <v>1.02237635806532</v>
      </c>
      <c r="I56" s="5" t="n">
        <f aca="false">MAX(spmv_8x16!$S$2:$S$129)</f>
        <v>5.2706343998207</v>
      </c>
      <c r="J56" s="5" t="n">
        <f aca="false">MIN(spmv_8x16!$S$2:$S$129)</f>
        <v>3.53842575462814</v>
      </c>
    </row>
    <row r="57" customFormat="false" ht="13.8" hidden="false" customHeight="false" outlineLevel="0" collapsed="false">
      <c r="A57" s="12"/>
      <c r="B57" s="1" t="str">
        <f aca="false">spmv_1!A$6</f>
        <v>ML_Geer.mtx</v>
      </c>
      <c r="D57" s="1" t="n">
        <f aca="false">MAX(spmv_8x16!$D$133:$D$260)</f>
        <v>866524</v>
      </c>
      <c r="E57" s="1" t="n">
        <f aca="false">MIN(spmv_8x16!$D$133:$D$260)</f>
        <v>865644</v>
      </c>
      <c r="F57" s="1" t="n">
        <f aca="false">AVERAGE(spmv_8x16!$D$133:$D$260)</f>
        <v>866249.78125</v>
      </c>
      <c r="G57" s="1" t="n">
        <f aca="false">D57/F57</f>
        <v>1.0003165585215</v>
      </c>
      <c r="I57" s="5" t="n">
        <f aca="false">MAX(spmv_8x16!$S$133:$S$260)</f>
        <v>8.90590202298243</v>
      </c>
      <c r="J57" s="5" t="n">
        <f aca="false">MIN(spmv_8x16!$S$133:$S$260)</f>
        <v>5.43076660896325</v>
      </c>
    </row>
    <row r="58" customFormat="false" ht="13.8" hidden="false" customHeight="false" outlineLevel="0" collapsed="false">
      <c r="A58" s="12"/>
      <c r="B58" s="1" t="str">
        <f aca="false">spmv_1!A$10</f>
        <v>msdoor.mtx</v>
      </c>
      <c r="D58" s="1" t="n">
        <f aca="false">MAX(spmv_8x16!$D$264:$D$391)</f>
        <v>159770</v>
      </c>
      <c r="E58" s="1" t="n">
        <f aca="false">MIN(spmv_8x16!$D$264:$D$391)</f>
        <v>156313</v>
      </c>
      <c r="F58" s="1" t="n">
        <f aca="false">AVERAGE(spmv_8x16!$D$264:$D$391)</f>
        <v>158132.3046875</v>
      </c>
      <c r="G58" s="1" t="n">
        <f aca="false">D58/F58</f>
        <v>1.01035648797845</v>
      </c>
      <c r="I58" s="5" t="n">
        <f aca="false">MAX(spmv_8x16!$S$264:$S$391)</f>
        <v>3.5860228622631</v>
      </c>
      <c r="J58" s="5" t="n">
        <f aca="false">MIN(spmv_8x16!$S$264:$S$391)</f>
        <v>2.47800332447785</v>
      </c>
    </row>
    <row r="59" customFormat="false" ht="13.8" hidden="false" customHeight="false" outlineLevel="0" collapsed="false">
      <c r="A59" s="12"/>
      <c r="B59" s="13" t="str">
        <f aca="false">spmv_1!A$14</f>
        <v>nlpkkt240.mtx</v>
      </c>
      <c r="C59" s="13"/>
      <c r="D59" s="1" t="n">
        <f aca="false">MAX(spmv_8x16!$D$395:$D$522)</f>
        <v>6052818</v>
      </c>
      <c r="E59" s="1" t="n">
        <f aca="false">MIN(spmv_8x16!$D$395:$D$522)</f>
        <v>6048498</v>
      </c>
      <c r="F59" s="1" t="n">
        <f aca="false">AVERAGE(spmv_8x16!$D$395:$D$522)</f>
        <v>6050565.25</v>
      </c>
      <c r="G59" s="1" t="n">
        <f aca="false">D59/F59</f>
        <v>1.00037232058608</v>
      </c>
      <c r="I59" s="5" t="n">
        <f aca="false">MAX(spmv_8x16!$S$395:$S$522)</f>
        <v>3.27592698714147</v>
      </c>
      <c r="J59" s="5" t="n">
        <f aca="false">MIN(spmv_8x16!$S$395:$S$522)</f>
        <v>2.34507646552718</v>
      </c>
    </row>
    <row r="60" customFormat="false" ht="13.8" hidden="false" customHeight="false" outlineLevel="0" collapsed="false">
      <c r="A60" s="12"/>
      <c r="B60" s="1" t="str">
        <f aca="false">spmv_1!A$18</f>
        <v>Pflow_742.mtx</v>
      </c>
      <c r="D60" s="1" t="n">
        <f aca="false">MAX(spmv_8x16!$D$526:$D$653)</f>
        <v>298673</v>
      </c>
      <c r="E60" s="1" t="n">
        <f aca="false">MIN(spmv_8x16!$D$526:$D$653)</f>
        <v>284384</v>
      </c>
      <c r="F60" s="1" t="n">
        <f aca="false">AVERAGE(spmv_8x16!$D$526:$D$653)</f>
        <v>290144.2265625</v>
      </c>
      <c r="G60" s="1" t="n">
        <f aca="false">D60/F60</f>
        <v>1.02939494450241</v>
      </c>
      <c r="I60" s="5" t="n">
        <f aca="false">MAX(spmv_8x16!$S$526:$S$653)</f>
        <v>5.18745891912083</v>
      </c>
      <c r="J60" s="5" t="n">
        <f aca="false">MIN(spmv_8x16!$S$526:$S$653)</f>
        <v>4.00411462831006</v>
      </c>
    </row>
    <row r="62" customFormat="false" ht="13.8" hidden="false" customHeight="false" outlineLevel="0" collapsed="false">
      <c r="A62" s="12" t="s">
        <v>45</v>
      </c>
      <c r="B62" s="1" t="str">
        <f aca="false">spmv_1!A$2</f>
        <v>bmwcra_1.mtx</v>
      </c>
      <c r="D62" s="1" t="n">
        <f aca="false">MAX(spmv_16x8!$D$2:$D$129)</f>
        <v>85017</v>
      </c>
      <c r="E62" s="1" t="n">
        <f aca="false">MIN(spmv_16x8!$D$2:$D$129)</f>
        <v>82052</v>
      </c>
      <c r="F62" s="1" t="n">
        <f aca="false">AVERAGE(spmv_16x8!$D$2:$D$129)</f>
        <v>83156.265625</v>
      </c>
      <c r="G62" s="1" t="n">
        <f aca="false">D62/F62</f>
        <v>1.02237635806532</v>
      </c>
      <c r="I62" s="5" t="n">
        <f aca="false">MAX(spmv_16x8!$S$2:$S$129)</f>
        <v>5.80074777074911</v>
      </c>
      <c r="J62" s="5" t="n">
        <f aca="false">MIN(spmv_16x8!$S$2:$S$129)</f>
        <v>3.26152595007366</v>
      </c>
    </row>
    <row r="63" customFormat="false" ht="13.8" hidden="false" customHeight="false" outlineLevel="0" collapsed="false">
      <c r="A63" s="12"/>
      <c r="B63" s="1" t="str">
        <f aca="false">spmv_1!A$6</f>
        <v>ML_Geer.mtx</v>
      </c>
      <c r="D63" s="1" t="n">
        <f aca="false">MAX(spmv_16x8!$D$133:$D$260)</f>
        <v>866524</v>
      </c>
      <c r="E63" s="1" t="n">
        <f aca="false">MIN(spmv_16x8!$D$133:$D$260)</f>
        <v>865644</v>
      </c>
      <c r="F63" s="1" t="n">
        <f aca="false">AVERAGE(spmv_16x8!$D$133:$D$260)</f>
        <v>866249.78125</v>
      </c>
      <c r="G63" s="1" t="n">
        <f aca="false">D63/F63</f>
        <v>1.0003165585215</v>
      </c>
      <c r="I63" s="5" t="n">
        <f aca="false">MAX(spmv_16x8!$S$133:$S$260)</f>
        <v>12.9426551079659</v>
      </c>
      <c r="J63" s="5" t="n">
        <f aca="false">MIN(spmv_16x8!$S$133:$S$260)</f>
        <v>5.95019006504084</v>
      </c>
    </row>
    <row r="64" customFormat="false" ht="13.8" hidden="false" customHeight="false" outlineLevel="0" collapsed="false">
      <c r="A64" s="12"/>
      <c r="B64" s="1" t="str">
        <f aca="false">spmv_1!A$10</f>
        <v>msdoor.mtx</v>
      </c>
      <c r="D64" s="1" t="n">
        <f aca="false">MAX(spmv_16x8!$D$264:$D$391)</f>
        <v>159770</v>
      </c>
      <c r="E64" s="1" t="n">
        <f aca="false">MIN(spmv_16x8!$D$264:$D$391)</f>
        <v>156313</v>
      </c>
      <c r="F64" s="1" t="n">
        <f aca="false">AVERAGE(spmv_16x8!$D$264:$D$391)</f>
        <v>158132.3046875</v>
      </c>
      <c r="G64" s="1" t="n">
        <f aca="false">D64/F64</f>
        <v>1.01035648797845</v>
      </c>
      <c r="I64" s="5" t="n">
        <f aca="false">MAX(spmv_16x8!$S$264:$S$391)</f>
        <v>5.55046992088078</v>
      </c>
      <c r="J64" s="5" t="n">
        <f aca="false">MIN(spmv_16x8!$S$264:$S$391)</f>
        <v>4.28349437240371</v>
      </c>
    </row>
    <row r="65" customFormat="false" ht="13.8" hidden="false" customHeight="false" outlineLevel="0" collapsed="false">
      <c r="A65" s="12"/>
      <c r="B65" s="13" t="str">
        <f aca="false">spmv_1!A$14</f>
        <v>nlpkkt240.mtx</v>
      </c>
      <c r="C65" s="13"/>
      <c r="D65" s="1" t="n">
        <f aca="false">MAX(spmv_16x8!$D$395:$D$522)</f>
        <v>6052818</v>
      </c>
      <c r="E65" s="1" t="n">
        <f aca="false">MIN(spmv_16x8!$D$395:$D$522)</f>
        <v>6048498</v>
      </c>
      <c r="F65" s="1" t="n">
        <f aca="false">AVERAGE(spmv_16x8!$D$395:$D$522)</f>
        <v>6050565.25</v>
      </c>
      <c r="G65" s="1" t="n">
        <f aca="false">D65/F65</f>
        <v>1.00037232058608</v>
      </c>
      <c r="I65" s="5" t="n">
        <f aca="false">MAX(spmv_16x8!$S$395:$S$522)</f>
        <v>3.87915034356113</v>
      </c>
      <c r="J65" s="5" t="n">
        <f aca="false">MIN(spmv_16x8!$S$395:$S$522)</f>
        <v>2.55468541170913</v>
      </c>
    </row>
    <row r="66" customFormat="false" ht="13.8" hidden="false" customHeight="false" outlineLevel="0" collapsed="false">
      <c r="A66" s="12"/>
      <c r="B66" s="1" t="str">
        <f aca="false">spmv_1!A$18</f>
        <v>Pflow_742.mtx</v>
      </c>
      <c r="D66" s="1" t="n">
        <f aca="false">MAX(spmv_16x8!$D$526:$D$653)</f>
        <v>298673</v>
      </c>
      <c r="E66" s="1" t="n">
        <f aca="false">MIN(spmv_16x8!$D$526:$D$653)</f>
        <v>284384</v>
      </c>
      <c r="F66" s="1" t="n">
        <f aca="false">AVERAGE(spmv_16x8!$D$526:$D$653)</f>
        <v>290144.2265625</v>
      </c>
      <c r="G66" s="1" t="n">
        <f aca="false">D66/F66</f>
        <v>1.02939494450241</v>
      </c>
      <c r="I66" s="5" t="n">
        <f aca="false">MAX(spmv_16x8!$S$526:$S$653)</f>
        <v>8.83236687916106</v>
      </c>
      <c r="J66" s="5" t="n">
        <f aca="false">MIN(spmv_16x8!$S$526:$S$653)</f>
        <v>5.3200144626628</v>
      </c>
    </row>
    <row r="77" customFormat="false" ht="13.8" hidden="false" customHeight="true" outlineLevel="0" collapsed="false">
      <c r="D77" s="10"/>
    </row>
  </sheetData>
  <mergeCells count="11">
    <mergeCell ref="A2:A6"/>
    <mergeCell ref="A8:A12"/>
    <mergeCell ref="A14:A18"/>
    <mergeCell ref="A20:A24"/>
    <mergeCell ref="A26:A30"/>
    <mergeCell ref="A32:A36"/>
    <mergeCell ref="A38:A42"/>
    <mergeCell ref="A44:A48"/>
    <mergeCell ref="A50:A54"/>
    <mergeCell ref="A56:A60"/>
    <mergeCell ref="A62:A66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286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2026-01-02T13:50:35Z</dcterms:created>
  <dc:creator>openpyxl</dc:creator>
  <dc:description/>
  <dc:language>en-US</dc:language>
  <cp:lastModifiedBy/>
  <dcterms:modified xsi:type="dcterms:W3CDTF">2026-01-11T12:25:48Z</dcterms:modified>
  <cp:revision>33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